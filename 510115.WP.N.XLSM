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480" yWindow="480" windowWidth="18195" windowHeight="6945" tabRatio="803"/>
  </bookViews>
  <sheets>
    <sheet name="ImportantDisclosures" sheetId="41" r:id="rId1"/>
    <sheet name="Quarterly Financial Model " sheetId="2" r:id="rId2"/>
    <sheet name="Segment Detail " sheetId="3" r:id="rId3"/>
    <sheet name="Portfolio Manager's Snapshot" sheetId="1" r:id="rId4"/>
    <sheet name="Presentation Format" sheetId="4" r:id="rId5"/>
    <sheet name="DCF Analysis" sheetId="5" r:id="rId6"/>
    <sheet name="PT Interpolation" sheetId="6" r:id="rId7"/>
    <sheet name="IndexInformation" sheetId="42" r:id="rId8"/>
    <sheet name="ModPubIndex" sheetId="43" r:id="rId9"/>
    <sheet name="MW-Cache" sheetId="31" state="veryHidden" r:id="rId10"/>
  </sheets>
  <externalReferences>
    <externalReference r:id="rId11"/>
    <externalReference r:id="rId12"/>
    <externalReference r:id="rId13"/>
    <externalReference r:id="rId14"/>
    <externalReference r:id="rId15"/>
  </externalReferences>
  <definedNames>
    <definedName name="__FDS_HYPERLINK_TOGGLE_STATE__" hidden="1">"ON"</definedName>
    <definedName name="__FDS_UNIQUE_RANGE_ID_GENERATOR_COUNTER" hidden="1">1</definedName>
    <definedName name="__FDS_USED_FOR_REUSING_RANGE_IDS_RECYCLE">{2371,2371,2371,2371,2371,2371,2371,2371,2371,2371,2371,2371,2371,2371,2371,2371,2371,2371,2371,2371,2371,2371,2371,2371,2371,2371,2371,2371,2371,2371,2371,2371,2371,2371}</definedName>
    <definedName name="__YY1">"Label 14"</definedName>
    <definedName name="_1H_96">"assumpt"</definedName>
    <definedName name="_bdm.01B6EBDF170E440CB61B1055444E2308.edm" hidden="1" xml:space="preserve">  '[1]Results tab'!$1:$1048576</definedName>
    <definedName name="_bdm.04FB2EA7A2F94E3C871433BABC09D047.edm" hidden="1" xml:space="preserve">  '[2]P&amp;L Summary'!$1:$1048576</definedName>
    <definedName name="_bdm.06655CED96BD48338DAC9CA71328227D.edm" hidden="1" xml:space="preserve">  '[1]Full SummaryP'!$1:$1048576</definedName>
    <definedName name="_bdm.066E2DDA26704AC394611645311D8619.edm" localSheetId="3" hidden="1">'Portfolio Manager''s Snapshot'!$B$9:$L$55</definedName>
    <definedName name="_bdm.0B5739D41F944C04ABD2F72EFF3E6A1B.edm" localSheetId="4" hidden="1">'Presentation Format'!$B$49:$AF$94</definedName>
    <definedName name="_bdm.0E73FD5AB35042BE9CCAF76D71E45B53.edm" hidden="1" xml:space="preserve">  [3]Summary!$1:$1048576</definedName>
    <definedName name="_bdm.1110D7FAAB944D15AF880CA707D965ED.edm" localSheetId="4" hidden="1">'Presentation Format'!$B$4:$V$44</definedName>
    <definedName name="_bdm.12D51CD5D4D6430E857B5D8C8FF97EBD.edm" localSheetId="4" hidden="1">'Presentation Format'!$B$4:$AA$48</definedName>
    <definedName name="_bdm.17E2F72C01574FCBBE164157D77ED07F.edm" hidden="1" xml:space="preserve">  '[1]Financial Summary'!$1:$1048576</definedName>
    <definedName name="_bdm.1EEAB83372764B1F96120BA19C8A44A2.edm" hidden="1" xml:space="preserve">  [1]Preview!$1:$1048576</definedName>
    <definedName name="_bdm.200FED969BD14D9CBEE3419E6845F199.edm" hidden="1" xml:space="preserve">  [1]Preview!$1:$1048576</definedName>
    <definedName name="_bdm.262783963DD94758852721B94B2AAC78.edm" hidden="1" xml:space="preserve">  '[2]CFS Summary'!$1:$1048576</definedName>
    <definedName name="_bdm.27CD0F55BBB04CD1B28EE40DE0AC0666.edm" hidden="1">'[2]BS Summary'!$1:$1048576</definedName>
    <definedName name="_bdm.2A6C6A9BABCB4691BF2E42926FE75F9E.edm" hidden="1">'[2]CFS Summary'!$1:$1048576</definedName>
    <definedName name="_bdm.2EE385ADC2AA448A9EA8D52713E7251A.edm" localSheetId="4" hidden="1">'Presentation Format'!$B$4:$AF$44</definedName>
    <definedName name="_bdm.306D900679994ECC915DF59F0AB94E7A.edm" hidden="1" xml:space="preserve">  [3]Summary!$1:$1048576</definedName>
    <definedName name="_bdm.30784C8319E44560A737535F4D6C94C2.edm" hidden="1" xml:space="preserve">  '[1]Results tab'!$1:$1048576</definedName>
    <definedName name="_bdm.34347127823D48EFA220DFF5CDA8BF3E.edm" localSheetId="1" hidden="1">'Quarterly Financial Model '!$B$11</definedName>
    <definedName name="_bdm.395C90FB688947579DBE1E28D1EF6CD0.edm" localSheetId="4" hidden="1">'Presentation Format'!$A$49:$AL$95</definedName>
    <definedName name="_bdm.3C421E1EA7B64747A8426C52A24C4B58.edm" hidden="1" xml:space="preserve">  '[1]Results tab'!$1:$1048576</definedName>
    <definedName name="_bdm.3EE6EB332806455EA16C64D7F9737376.edm" hidden="1" xml:space="preserve">  '[2]P&amp;L Summary'!$1:$1048576</definedName>
    <definedName name="_bdm.4356F1F8994D490DA7FF352F3C6436D7.edm" localSheetId="4" hidden="1">'Presentation Format'!$B$4:$AA$47</definedName>
    <definedName name="_bdm.441CF4B495314DF8975617C977B73F12.edm" localSheetId="4" hidden="1">'Presentation Format'!$B$96:$AF$137</definedName>
    <definedName name="_bdm.4F3B9F56309B4718955B55C097EC4A35.edm" hidden="1" xml:space="preserve">  '[2]BS Summary'!$1:$1048576</definedName>
    <definedName name="_bdm.50FB02CF7BA840888C991F156B15A313.edm" hidden="1" xml:space="preserve">  '[2]P&amp;L Summary'!$1:$1048576</definedName>
    <definedName name="_bdm.5319E2EC749242AC94B4BA723CD8980E.edm" localSheetId="4" hidden="1">'Presentation Format'!$A$4:$AA$48</definedName>
    <definedName name="_bdm.5785ECBB66FF4A46B2CA21314510852F.edm" hidden="1" xml:space="preserve">  '[2]P&amp;L Summary'!$1:$1048576</definedName>
    <definedName name="_bdm.5B2CF754A18643EDA22222DD231B8076.edm" hidden="1" xml:space="preserve">  '[2]BS Summary'!$1:$1048576</definedName>
    <definedName name="_bdm.5EABD6EA143C49BCAC135235FFF3C9A5.edm" localSheetId="4" hidden="1">'Presentation Format'!$B$96:$V$137</definedName>
    <definedName name="_bdm.658D2F37D44049DCB2D237FA78DC2A96.edm" hidden="1">'Presentation Format'!$1:$1048576</definedName>
    <definedName name="_bdm.70E268AFFC0B4C1EB37B5A9F179C8DFC.edm" hidden="1" xml:space="preserve">  [1]Preview!$1:$1048576</definedName>
    <definedName name="_bdm.76D986789D7B43B1A77BDCF86DE45A2A.edm" hidden="1" xml:space="preserve">  [3]Summary!$1:$1048576</definedName>
    <definedName name="_bdm.790316EC427F48E3BDFDD7AFB4354096.edm" hidden="1">'[2]P&amp;L Summary'!$1:$1048576</definedName>
    <definedName name="_bdm.8CA8D6B19EC34A2D8CE573B530BE6B81.edm" hidden="1" xml:space="preserve">  '[2]P&amp;L Summary'!$1:$1048576</definedName>
    <definedName name="_bdm.9046CC98EA1D43A1B9A306FE2BD57012.edm" hidden="1" xml:space="preserve">  [3]Summary!$1:$1048576</definedName>
    <definedName name="_bdm.96A9C398C1F7444FA15C7AC28FED35A8.edm" localSheetId="4" hidden="1">'Presentation Format'!$B$49:$AA$94</definedName>
    <definedName name="_bdm.97AABB6B6573466B9F368C27802DCADB.edm" hidden="1" xml:space="preserve">  '[1]Full SummaryP'!$1:$1048576</definedName>
    <definedName name="_bdm.9A96B4DE21C9408FBEDC2E9C30FF68C9.edm" localSheetId="4" hidden="1">'Presentation Format'!$B$96:$AA$137</definedName>
    <definedName name="_bdm.A09149FEEB6644F6A0FA46B54625C9B2.edm" localSheetId="5" hidden="1">'DCF Analysis'!$B$5:$P$51</definedName>
    <definedName name="_bdm.A098D09F82E74F5492ACC42319A91665.edm" hidden="1" xml:space="preserve">  '[2]CFS Summary'!$1:$1048576</definedName>
    <definedName name="_bdm.A172662B282444BDAEBC589096661BEC.edm" localSheetId="4" hidden="1">'Presentation Format'!$A$96:$AL$138</definedName>
    <definedName name="_bdm.A7278A48A5EE4EAB83018AC2A8D96DCA.edm" hidden="1" xml:space="preserve">  '[2]P&amp;L Summary'!$1:$1048576</definedName>
    <definedName name="_bdm.AEED3AFA28DF4EEF9322EF0710B4503A.edm" hidden="1" xml:space="preserve">  '[1]Financial Summary'!$1:$1048576</definedName>
    <definedName name="_bdm.AF8D03973B9A4119A1DF1A0024A775FA.edm" hidden="1" xml:space="preserve">  '[2]P&amp;L Summary'!$1:$1048576</definedName>
    <definedName name="_bdm.B9D9D7C4EC4444EAB549FE6118EDFCC2.edm" hidden="1" xml:space="preserve">  '[1]Financial Summary'!$1:$1048576</definedName>
    <definedName name="_bdm.B9F536456742452F97708ECA3B96041C.edm" hidden="1" xml:space="preserve">  [3]Summary!$1:$1048576</definedName>
    <definedName name="_bdm.BA4879D84E8D49878573258B189CD8CB.edm" localSheetId="3" hidden="1">'Portfolio Manager''s Snapshot'!$B$11:$L$55</definedName>
    <definedName name="_bdm.BD48F820CF514F03A3E95580EC7E41AF.edm" localSheetId="4" hidden="1">'Presentation Format'!$A$49:$AL$95</definedName>
    <definedName name="_bdm.BE27D87FFAE04CC0A4ABB4EA409C5D97.edm" localSheetId="5" hidden="1">'DCF Analysis'!$B$5:$P$59</definedName>
    <definedName name="_bdm.C3AAF8809BEB44A7B215987826283A49.edm" hidden="1">'Portfolio Manager''s Snapshot'!$1:$1048576</definedName>
    <definedName name="_bdm.C55EACED350846CFA2FB8550A2F3C91B.edm" localSheetId="1" hidden="1">'Quarterly Financial Model '!$O$54</definedName>
    <definedName name="_bdm.CD050B8494574BA6BB8FDE5E594BDBD3.edm" hidden="1" xml:space="preserve">  '[2]CFS Summary'!$1:$1048576</definedName>
    <definedName name="_bdm.D5BEA084CC57433298178706A37A6E78.edm" localSheetId="5" hidden="1">'DCF Analysis'!$B$4:$P$59</definedName>
    <definedName name="_bdm.D86DA237F98F4724AE8AA62711E429A4.edm" hidden="1" xml:space="preserve">  '[2]BS Summary'!$1:$1048576</definedName>
    <definedName name="_bdm.DA6EED64E31540CCAD80B827472E4D52.edm" hidden="1" xml:space="preserve">  '[1]Results tab'!$1:$1048576</definedName>
    <definedName name="_bdm.DB137F786FB544BB9BEA520D02601451.edm" hidden="1" xml:space="preserve">  [3]Summary!$1:$1048576</definedName>
    <definedName name="_bdm.DD786CE26AB948C299B66D361059DF86.edm" localSheetId="4" hidden="1">'Presentation Format'!$B$49:$V$95</definedName>
    <definedName name="_bdm.E5DF9D52C97149B6A9325798107AEA14.edm" hidden="1" xml:space="preserve">  '[1]Financial Summary'!$1:$1048576</definedName>
    <definedName name="_bdm.EBDEC06F10CE466A9F94857457EC20B2.edm" hidden="1" xml:space="preserve">  '[2]CFS Summary'!$1:$1048576</definedName>
    <definedName name="_bdm.EDD4E80D37E242CDB73BC15C06594BBE.edm" hidden="1" xml:space="preserve">  '[2]BS Summary'!$1:$1048576</definedName>
    <definedName name="_bdm.EEAFD1E353474E2CADAA72F5DC659D41.edm" hidden="1" xml:space="preserve">  [3]Summary!$1:$1048576</definedName>
    <definedName name="_bdm.F0F3164F527D451381C5EA04EC189B20.edm" hidden="1" xml:space="preserve">  [3]Summary!$1:$1048576</definedName>
    <definedName name="_bdm.F6417A2FF03045ADAE166AF07A6C9D24.edm" hidden="1" xml:space="preserve">  '[1]Full SummaryP'!$1:$1048576</definedName>
    <definedName name="_i3" hidden="1">{"vue1",#N/A,FALSE,"synthese";"vue2",#N/A,FALSE,"synthese"}</definedName>
    <definedName name="_Order1" hidden="1">0</definedName>
    <definedName name="_Order2" hidden="1">255</definedName>
    <definedName name="_R">"Formula removed, name can be deleted."</definedName>
    <definedName name="_Switch">'DCF Analysis'!$B$6</definedName>
    <definedName name="_Toggle">'DCF Analysis'!$A$6</definedName>
    <definedName name="_YY1">"Label 14"</definedName>
    <definedName name="accdep">[1]MasterP!$561:$561</definedName>
    <definedName name="AccessDatabase" hidden="1">"C:\FAME\famework\elyval.mdb"</definedName>
    <definedName name="AdditionalInstructions">IndexInformation!$B$42</definedName>
    <definedName name="Address" localSheetId="0">ImportantDisclosures!$A$2:$A$2</definedName>
    <definedName name="ANA" localSheetId="8">ModPubIndex!$A$7</definedName>
    <definedName name="anscount" hidden="1">1</definedName>
    <definedName name="Authors" localSheetId="0">ImportantDisclosures!$A$7</definedName>
    <definedName name="Authors" localSheetId="7">IndexInformation!$B$18</definedName>
    <definedName name="BRO" localSheetId="8">ModPubIndex!$A$1</definedName>
    <definedName name="capex">[1]MasterP!$504:$504</definedName>
    <definedName name="cd">[0]!cd</definedName>
    <definedName name="CF_OP_GR">"'=BackSheet!$D$239:$AG$239"</definedName>
    <definedName name="CF_PR_DV">"'=BackSheet!$D$241:$AG$241"</definedName>
    <definedName name="Chemin">"DISK_DAVID:Projet AFINE:ESSAI_EXPORT:12007.XLS"</definedName>
    <definedName name="CIQWBGuid" hidden="1">"dee65ffb-e4cf-40f2-a013-55909d5b26a5"</definedName>
    <definedName name="Class_B">68.45</definedName>
    <definedName name="COGS">[4]FY!$15:$15</definedName>
    <definedName name="COGS2">[4]Interim!$11:$11</definedName>
    <definedName name="Conv_default">FRF</definedName>
    <definedName name="Conv_FRF" xml:space="preserve"> 6.55957</definedName>
    <definedName name="Conv_mark">1</definedName>
    <definedName name="Conv_USD" xml:space="preserve"> 1.06</definedName>
    <definedName name="CopieDialogs">[0]!CopieDialogs</definedName>
    <definedName name="Copy">[0]!Copy</definedName>
    <definedName name="CopyrightStamp">ImportantDisclosures!$A$27</definedName>
    <definedName name="COU" localSheetId="8">ModPubIndex!$A$5</definedName>
    <definedName name="CQEnd" localSheetId="7">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sh">"v3.54"</definedName>
    <definedName name="Date" localSheetId="0">ImportantDisclosures!$A$8</definedName>
    <definedName name="DB">"WIREUK"</definedName>
    <definedName name="defaut">FRF</definedName>
    <definedName name="Deleted" localSheetId="7">IndexInformation!$B$27</definedName>
    <definedName name="depr">[1]MasterP!$476:$476</definedName>
    <definedName name="Description" localSheetId="7">IndexInformation!$B$7</definedName>
    <definedName name="DEVELOPMENT">5</definedName>
    <definedName name="Discipline" localSheetId="7">IndexInformation!$B$3</definedName>
    <definedName name="DISCIPLINE" localSheetId="8">ModPubIndex!$A$12</definedName>
    <definedName name="DisclosuresText">ImportantDisclosures!$A$22</definedName>
    <definedName name="DISQUE">"DISK_DAVID"</definedName>
    <definedName name="Distribution" localSheetId="7">IndexInformation!$B$26</definedName>
    <definedName name="DistTable" localSheetId="0">ImportantDisclosures!#REF!</definedName>
    <definedName name="DistTablePreamble" localSheetId="0">ImportantDisclosures!#REF!</definedName>
    <definedName name="DOCDAT" localSheetId="8">ModPubIndex!$A$2</definedName>
    <definedName name="DOCTIME" localSheetId="8">ModPubIndex!$A$3</definedName>
    <definedName name="DocType" localSheetId="7">IndexInformation!$B$5</definedName>
    <definedName name="EMAIL_ALERT" localSheetId="8">ModPubIndex!$A$10</definedName>
    <definedName name="EmailAlert" localSheetId="7">IndexInformation!$B$28</definedName>
    <definedName name="EurosFRF">1</definedName>
    <definedName name="ev.Calculation" hidden="1">-4105</definedName>
    <definedName name="ev.Initialized" hidden="1">FALSE</definedName>
    <definedName name="F2010_" localSheetId="1">'Quarterly Financial Model '!$L:$L</definedName>
    <definedName name="F2011_" localSheetId="1">'Quarterly Financial Model '!$Q:$Q</definedName>
    <definedName name="F2012_" localSheetId="1">'Quarterly Financial Model '!$V:$V</definedName>
    <definedName name="FC_Balance_Q" localSheetId="1">'Quarterly Financial Model '!$B$204</definedName>
    <definedName name="FC_DCF">'DCF Analysis'!$B$1</definedName>
    <definedName name="FC_Revenue" localSheetId="2">'Segment Detail '!$B$1</definedName>
    <definedName name="fdm">[0]!fdm</definedName>
    <definedName name="FermerDialogMaintenance">[0]!FermerDialogMaintenance</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FR_CODE_COPY_LINK">" "</definedName>
    <definedName name="FR_CODE_DOWNLOAD_START">" "</definedName>
    <definedName name="FR_CODE_STOCK_LINK">" "</definedName>
    <definedName name="FR_COM_ABBR">"APPB"</definedName>
    <definedName name="FR_COM_AGG">0</definedName>
    <definedName name="FR_COU_ABBR">"usa"</definedName>
    <definedName name="FR_DATABOX_DOWNLOAD">"Y"</definedName>
    <definedName name="FR_DISP_HIDDEN">FALSE</definedName>
    <definedName name="FR_END_DATE">"'"</definedName>
    <definedName name="FR_LINKS_OVERRUN">TRUE</definedName>
    <definedName name="FR_LOG_END_DATE">"'"</definedName>
    <definedName name="FR_LOG_START_DAT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DS_KEY">1</definedName>
    <definedName name="FR_SHOW_LINK_MARKER">FALSE</definedName>
    <definedName name="FR_START_DATE">"'"</definedName>
    <definedName name="FR_SYBASE_SERVER">"PNYEQFRD01"</definedName>
    <definedName name="FR_TEMPLATE_KEY">"45051|1"</definedName>
    <definedName name="FR_USE_BILLIONS">FALSE</definedName>
    <definedName name="FR_USE_DIMFAC">TRUE</definedName>
    <definedName name="FR_USE_LOCAL_CCY">FALSE</definedName>
    <definedName name="FR_USE_PRICEFACTORING">FALSE</definedName>
    <definedName name="fxr">[1]ROIC!$2:$2</definedName>
    <definedName name="Goodwill_Amortization">25</definedName>
    <definedName name="gtfa">[1]MasterP!$560:$560</definedName>
    <definedName name="GWyears">40</definedName>
    <definedName name="HL" localSheetId="8">ModPubIndex!$A$8</definedName>
    <definedName name="IND" localSheetId="8">ModPubIndex!$A$9</definedName>
    <definedName name="Industry" localSheetId="0">ImportantDisclosures!$A$12</definedName>
    <definedName name="IndustryId">IndexInformation!$B$40</definedName>
    <definedName name="IndustryRating" localSheetId="0">ImportantDisclosures!$A$13</definedName>
    <definedName name="Int_exp">8%</definedName>
    <definedName name="IQ_ADDIN" hidden="1">"AUTO"</definedName>
    <definedName name="IQ_CH" hidden="1">110000</definedName>
    <definedName name="IQ_CQ" hidden="1">5000</definedName>
    <definedName name="IQ_CY" hidden="1">10000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MONTH" hidden="1">15000</definedName>
    <definedName name="IQ_NAMES_REVISION_DATE_" hidden="1">41855.3793287037</definedName>
    <definedName name="IQ_NTM" hidden="1">6000</definedName>
    <definedName name="IQ_TODAY" hidden="1">0</definedName>
    <definedName name="IQ_WEEK" hidden="1">50000</definedName>
    <definedName name="IQ_YTD" hidden="1">3000</definedName>
    <definedName name="KeepVersions" localSheetId="7">IndexInformation!$B$8</definedName>
    <definedName name="KPIs">[5]Data_List!$B$2:$B$22</definedName>
    <definedName name="LanguageCode">IndexInformation!$B$38</definedName>
    <definedName name="LastCell" localSheetId="0">ImportantDisclosures!$A$22</definedName>
    <definedName name="Linking_1">'Presentation Format'!$B$4:$AU$47</definedName>
    <definedName name="Linking_11">'DCF Analysis'!$B$6:$Q$72</definedName>
    <definedName name="Linking_12">'Presentation Format'!$B$4:$BJ$46</definedName>
    <definedName name="Linking_13">'Presentation Format'!$B$49:$BJ$94</definedName>
    <definedName name="Linking_14">'Presentation Format'!$B$96:$BJ$137</definedName>
    <definedName name="Linking_2">'Presentation Format'!$B$49:$AU$94</definedName>
    <definedName name="Linking_3">'Presentation Format'!$B$96:$AU$137</definedName>
    <definedName name="Linking_5">'Presentation Format'!$B$4:$AZ$47</definedName>
    <definedName name="Linking_Range_1">'Presentation Format'!$B$4:$AA$47</definedName>
    <definedName name="Linking_Range_10">'Portfolio Manager''s Snapshot'!$B$11:$L$43</definedName>
    <definedName name="Linking_Range_11">'Presentation Format'!$B$4:$AF$47</definedName>
    <definedName name="Linking_Range_12">'Presentation Format'!$B$49:$AF$94</definedName>
    <definedName name="Linking_Range_13">'Presentation Format'!$B$96:$AF$137</definedName>
    <definedName name="Linking_Range_15">'Presentation Format'!$B$4:$AK$47</definedName>
    <definedName name="Linking_Range_16">'Presentation Format'!$B$96:$AK$137</definedName>
    <definedName name="Linking_Range_17">'Presentation Format'!$B$49:$AK$94</definedName>
    <definedName name="Linking_Range_19">'PT Interpolation'!$B$6:$D$18</definedName>
    <definedName name="Linking_Range_2">'Presentation Format'!$B$49:$AA$94</definedName>
    <definedName name="Linking_Range_26">'Presentation Format'!$B$4:$AP$47</definedName>
    <definedName name="Linking_Range_27">'Presentation Format'!$B$49:$AP$94</definedName>
    <definedName name="Linking_Range_28">'Presentation Format'!$B$96:$AP$137</definedName>
    <definedName name="Linking_Range_29">'DCF Analysis'!$B$5:$Q$70</definedName>
    <definedName name="Linking_Range_3">'Presentation Format'!$B$96:$AA$137</definedName>
    <definedName name="Linking_Range_30">'DCF Analysis'!$B$5:$S$72</definedName>
    <definedName name="Linking_Range_31">'Portfolio Manager''s Snapshot'!$B$11:$L$44</definedName>
    <definedName name="Linking_Range_8">'DCF Analysis'!$B$5:$Q$71</definedName>
    <definedName name="Linking_Range_9">'Presentation Format'!$B$49:$AF$95</definedName>
    <definedName name="Macro1">#N/A</definedName>
    <definedName name="Macro10">#N/A</definedName>
    <definedName name="Macro11">#N/A</definedName>
    <definedName name="Macro12">#N/A</definedName>
    <definedName name="Macro2">#N/A</definedName>
    <definedName name="Macro3">#N/A</definedName>
    <definedName name="Macro4">#N/A</definedName>
    <definedName name="Macro5">#N/A</definedName>
    <definedName name="MacroVersion" localSheetId="7">IndexInformation!$B$1</definedName>
    <definedName name="ModelPrice" localSheetId="0">ImportantDisclosures!$A$14</definedName>
    <definedName name="Multiplier" localSheetId="7">IndexInformation!$B$35</definedName>
    <definedName name="NextYearEPS" localSheetId="7">IndexInformation!$B$13</definedName>
    <definedName name="NextYearTotalRevenue" localSheetId="7">IndexInformation!$B$12</definedName>
    <definedName name="NextYearTotalRevenueActual" localSheetId="7">IndexInformation!$B$33</definedName>
    <definedName name="NvsASD">"V2000-12-31"</definedName>
    <definedName name="NvsAutoDrillOk">"VN"</definedName>
    <definedName name="NvsElapsedTime">0.000516666666953824</definedName>
    <definedName name="NvsEndTime">37585.5170123843</definedName>
    <definedName name="NvsInstSpec">"%"</definedName>
    <definedName name="NvsLayoutType">"M3"</definedName>
    <definedName name="NvsNplSpec">"%,X,RNF..,CNF.."</definedName>
    <definedName name="NvsPanelEffdt">"V1997-07-09"</definedName>
    <definedName name="NvsPanelSetid">"V01"</definedName>
    <definedName name="NvsReqBU">"V01"</definedName>
    <definedName name="NvsReqBUOnly">"VN"</definedName>
    <definedName name="NvsTransLed">"VN"</definedName>
    <definedName name="NvsTreeASD">"V2000-12-31"</definedName>
    <definedName name="NvsValTbl.ACCOUNT">"GL_ACCOUNT_TBL"</definedName>
    <definedName name="ObjectType">IndexInformation!$B$37</definedName>
    <definedName name="PA_Balance_Q" localSheetId="1">'Quarterly Financial Model '!$B$204:$B$267</definedName>
    <definedName name="PA_Cash_Q" localSheetId="1">'Quarterly Financial Model '!$B$141:$B$195</definedName>
    <definedName name="PA_DCF">'DCF Analysis'!$B$1:$R$98</definedName>
    <definedName name="PA_Income_Q" localSheetId="1">'Quarterly Financial Model '!$B$1:$B$78</definedName>
    <definedName name="PA_Revenue" localSheetId="2">'Segment Detail '!$B$1:$B$82</definedName>
    <definedName name="PANA" localSheetId="8">ModPubIndex!$A$11</definedName>
    <definedName name="PathName" localSheetId="7">IndexInformation!$B$25</definedName>
    <definedName name="pbPrinterFormat">"\\SUSNY007\P100088913 on Ne00:"</definedName>
    <definedName name="pooling_Premium">25%</definedName>
    <definedName name="POSI">11</definedName>
    <definedName name="_xlnm.Print_Area">"Formula removed, name can be deleted."</definedName>
    <definedName name="_xlnm.Print_Titles">"Formula removed, name can be deleted."</definedName>
    <definedName name="process_flow">"Picture 13"</definedName>
    <definedName name="PRODUCT" localSheetId="8">ModPubIndex!$A$6</definedName>
    <definedName name="ProjectName">{"Client Name or Project Name"}</definedName>
    <definedName name="PSYM" localSheetId="8">ModPubIndex!$A$4</definedName>
    <definedName name="PublishDate" localSheetId="7">IndexInformation!$B$2</definedName>
    <definedName name="Purchase_Premium_A">25%</definedName>
    <definedName name="Purchase_Premium_B">0.25</definedName>
    <definedName name="qfx">[1]Drivers_QuartersP!$70:$70</definedName>
    <definedName name="qlicences">[1]Drivers_QuartersP!$348:$348</definedName>
    <definedName name="qsales">[1]Drivers_QuartersP!$354:$354</definedName>
    <definedName name="qservices">[1]Drivers_QuartersP!$350:$350</definedName>
    <definedName name="Rating" localSheetId="7">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"DISK_DAVID:Projet AFINE"</definedName>
    <definedName name="ResearchTopic" localSheetId="7">IndexInformation!$B$4</definedName>
    <definedName name="RIC" localSheetId="7">IndexInformation!$B$21</definedName>
    <definedName name="RiskAutoStopPercChange">1.5</definedName>
    <definedName name="RiskCollectDistributionSamples">2</definedName>
    <definedName name="RiskExcelReportsGoInNewWorkbook">TRUE</definedName>
    <definedName name="RiskExcelReportsToGenerate">0</definedName>
    <definedName name="RiskFixedSeed">1</definedName>
    <definedName name="RiskGenerateExcelReportsAtEndOfSimulation">FALSE</definedName>
    <definedName name="RiskHasSettings">TRUE</definedName>
    <definedName name="RiskMinimizeOnStart">FALSE</definedName>
    <definedName name="RiskMonitorConvergence">FALSE</definedName>
    <definedName name="RiskNumIterations">100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howRiskWindowAtEndOfSimulation">TRUE</definedName>
    <definedName name="RiskStandardRecalc">2</definedName>
    <definedName name="RiskTemplateSheetName">"myTemplate"</definedName>
    <definedName name="RiskUpdateDisplay">FALSE</definedName>
    <definedName name="RiskUseDifferentSeedForEachSim">FALSE</definedName>
    <definedName name="RiskUseFixedSeed">FALSE</definedName>
    <definedName name="RiskUseMultipleCPUs">FALSE</definedName>
    <definedName name="rmcAccount">"STINVGES"</definedName>
    <definedName name="rmcApplication">"QB"</definedName>
    <definedName name="rmcCategory">"AVOR2"</definedName>
    <definedName name="rmcFrequency">"YTD"</definedName>
    <definedName name="rmcName">"VAI"</definedName>
    <definedName name="RMCOptions">"*000000000000000"</definedName>
    <definedName name="sales2">[4]Interim!$7:$7</definedName>
    <definedName name="SECSettlement" localSheetId="0">ImportantDisclosures!#REF!</definedName>
    <definedName name="SEDOL" localSheetId="7">IndexInformation!$B$22</definedName>
    <definedName name="SourceDefined" localSheetId="0">ImportantDisclosures!$A$19</definedName>
    <definedName name="StockRating" localSheetId="0">ImportantDisclosures!$A$11</definedName>
    <definedName name="SubjectCode" localSheetId="7">IndexInformation!$B$6</definedName>
    <definedName name="SubmitterUserId">IndexInformation!$B$39</definedName>
    <definedName name="SUPPRESSED" localSheetId="8">ModPubIndex!$A$13</definedName>
    <definedName name="switch">3</definedName>
    <definedName name="TargetPrice" localSheetId="0">ImportantDisclosures!$A$15</definedName>
    <definedName name="tax_rate">38%</definedName>
    <definedName name="Template.WIRE">"DBACCESS"</definedName>
    <definedName name="TemplateRegion">IndexInformation!$B$36</definedName>
    <definedName name="Ticker" localSheetId="0">ImportantDisclosures!$A$10</definedName>
    <definedName name="TickerRegion">IndexInformation!$B$41</definedName>
    <definedName name="Tickers" localSheetId="7">IndexInformation!$B$19</definedName>
    <definedName name="Trace">FALSE</definedName>
    <definedName name="Type">"IndusFR"</definedName>
    <definedName name="UpdateDDM">[0]!UpdateDDM</definedName>
    <definedName name="UpdateReason" localSheetId="7">IndexInformation!$B$17</definedName>
    <definedName name="UpgradeVersion">"v3.54"</definedName>
    <definedName name="USRegDisclosures" localSheetId="0">ImportantDisclosures!#REF!</definedName>
    <definedName name="Version.WIRE">1</definedName>
    <definedName name="YrEnd_FFr_USD">0.1767</definedName>
  </definedNames>
  <calcPr calcId="145621"/>
</workbook>
</file>

<file path=xl/calcChain.xml><?xml version="1.0" encoding="utf-8"?>
<calcChain xmlns="http://schemas.openxmlformats.org/spreadsheetml/2006/main">
  <c r="C68" i="5" l="1"/>
  <c r="AV76" i="2" l="1"/>
  <c r="BB35" i="2" l="1"/>
  <c r="BC35" i="2"/>
  <c r="BD35" i="2"/>
  <c r="BA35" i="2"/>
  <c r="AW35" i="2"/>
  <c r="AX275" i="2"/>
  <c r="AY275" i="2" s="1"/>
  <c r="AW275" i="2"/>
  <c r="AW23" i="2"/>
  <c r="AX23" i="2" s="1"/>
  <c r="AY23" i="2" s="1"/>
  <c r="AV172" i="2"/>
  <c r="BG65" i="2" l="1"/>
  <c r="BH65" i="2" s="1"/>
  <c r="BI65" i="2" s="1"/>
  <c r="BC65" i="2"/>
  <c r="BD65" i="2" s="1"/>
  <c r="BB65" i="2"/>
  <c r="AX65" i="2"/>
  <c r="AY65" i="2"/>
  <c r="AW65" i="2"/>
  <c r="AX35" i="2"/>
  <c r="AY35" i="2" s="1"/>
  <c r="AW29" i="2"/>
  <c r="AX29" i="2" s="1"/>
  <c r="AY29" i="2" s="1"/>
  <c r="AW279" i="2"/>
  <c r="AX279" i="2" s="1"/>
  <c r="AY279" i="2" s="1"/>
  <c r="AX285" i="2"/>
  <c r="AY285" i="2" s="1"/>
  <c r="AW285" i="2"/>
  <c r="AW271" i="2"/>
  <c r="AX271" i="2" s="1"/>
  <c r="AY271" i="2" s="1"/>
  <c r="AV270" i="2"/>
  <c r="AT270" i="2"/>
  <c r="AT264" i="2" l="1"/>
  <c r="AT265" i="2"/>
  <c r="AT266" i="2"/>
  <c r="AT267" i="2"/>
  <c r="AY14" i="3"/>
  <c r="AV14" i="3"/>
  <c r="AW14" i="3"/>
  <c r="AW60" i="3"/>
  <c r="AX60" i="3"/>
  <c r="AY60" i="3"/>
  <c r="AX14" i="3"/>
  <c r="AV60" i="3"/>
  <c r="BN49" i="3"/>
  <c r="BL8" i="3"/>
  <c r="BL9" i="3" s="1"/>
  <c r="BM48" i="3"/>
  <c r="BM49" i="3" s="1"/>
  <c r="AU28" i="3"/>
  <c r="AT28" i="3"/>
  <c r="BL48" i="3"/>
  <c r="AW40" i="3"/>
  <c r="AX40" i="3"/>
  <c r="AY40" i="3"/>
  <c r="AV40" i="3"/>
  <c r="BL29" i="3"/>
  <c r="AT247" i="2"/>
  <c r="AT246" i="2"/>
  <c r="AT178" i="2"/>
  <c r="AT179" i="2"/>
  <c r="AT180" i="2"/>
  <c r="AT182" i="2"/>
  <c r="AT177" i="2"/>
  <c r="AT181" i="2"/>
  <c r="AT187" i="2"/>
  <c r="AT183" i="2"/>
  <c r="AT184" i="2"/>
  <c r="AS182" i="2"/>
  <c r="AT169" i="2"/>
  <c r="AT168" i="2"/>
  <c r="AT158" i="2"/>
  <c r="AT164" i="2"/>
  <c r="AT163" i="2"/>
  <c r="AT162" i="2"/>
  <c r="AT161" i="2"/>
  <c r="AT160" i="2"/>
  <c r="AT159" i="2"/>
  <c r="AT156" i="2"/>
  <c r="AT155" i="2"/>
  <c r="AT153" i="2"/>
  <c r="AT152" i="2"/>
  <c r="AT151" i="2"/>
  <c r="AT150" i="2"/>
  <c r="AT148" i="2"/>
  <c r="AT146" i="2"/>
  <c r="AT220" i="2"/>
  <c r="AT237" i="2"/>
  <c r="AT61" i="2"/>
  <c r="AT46" i="2" l="1"/>
  <c r="AT44" i="2"/>
  <c r="AT32" i="2"/>
  <c r="AT33" i="2"/>
  <c r="AT26" i="2"/>
  <c r="AT27" i="2"/>
  <c r="AT25" i="2"/>
  <c r="AT31" i="2"/>
  <c r="AT20" i="2"/>
  <c r="AT21" i="2"/>
  <c r="AT72" i="3"/>
  <c r="AT77" i="3"/>
  <c r="AT78" i="3"/>
  <c r="AT20" i="3"/>
  <c r="AT21" i="3"/>
  <c r="AT12" i="3"/>
  <c r="AO84" i="3" l="1"/>
  <c r="AJ2" i="3" l="1"/>
  <c r="AT299" i="2" l="1"/>
  <c r="AS299" i="2"/>
  <c r="AR299" i="2"/>
  <c r="AQ299" i="2"/>
  <c r="AS298" i="2"/>
  <c r="AR298" i="2"/>
  <c r="AQ298" i="2"/>
  <c r="AT297" i="2"/>
  <c r="AS297" i="2"/>
  <c r="AR297" i="2"/>
  <c r="AQ297" i="2"/>
  <c r="AS296" i="2"/>
  <c r="AR296" i="2"/>
  <c r="AQ296" i="2"/>
  <c r="AS295" i="2"/>
  <c r="AR295" i="2"/>
  <c r="AQ295" i="2"/>
  <c r="AP299" i="2"/>
  <c r="AP297" i="2"/>
  <c r="AP296" i="2"/>
  <c r="AP295" i="2"/>
  <c r="AS290" i="2"/>
  <c r="AS291" i="2" s="1"/>
  <c r="BB288" i="2"/>
  <c r="BC288" i="2" s="1"/>
  <c r="BD288" i="2" s="1"/>
  <c r="BF288" i="2" s="1"/>
  <c r="BG288" i="2" s="1"/>
  <c r="BH288" i="2" s="1"/>
  <c r="BI288" i="2" s="1"/>
  <c r="AW288" i="2"/>
  <c r="AX288" i="2" s="1"/>
  <c r="AY288" i="2" s="1"/>
  <c r="AT288" i="2"/>
  <c r="AS288" i="2"/>
  <c r="BB287" i="2"/>
  <c r="BC287" i="2" s="1"/>
  <c r="BD287" i="2" s="1"/>
  <c r="BF287" i="2" s="1"/>
  <c r="BG287" i="2" s="1"/>
  <c r="BH287" i="2" s="1"/>
  <c r="BI287" i="2" s="1"/>
  <c r="AW287" i="2"/>
  <c r="AX287" i="2" s="1"/>
  <c r="AY287" i="2" s="1"/>
  <c r="BG286" i="2"/>
  <c r="BH286" i="2" s="1"/>
  <c r="BI286" i="2" s="1"/>
  <c r="BB286" i="2"/>
  <c r="BC286" i="2" s="1"/>
  <c r="BD286" i="2" s="1"/>
  <c r="AX286" i="2"/>
  <c r="AY286" i="2" s="1"/>
  <c r="AW286" i="2"/>
  <c r="BG285" i="2"/>
  <c r="BH285" i="2" s="1"/>
  <c r="BI285" i="2" s="1"/>
  <c r="BB285" i="2"/>
  <c r="BC285" i="2" s="1"/>
  <c r="BD285" i="2" s="1"/>
  <c r="BG284" i="2"/>
  <c r="BH284" i="2" s="1"/>
  <c r="BI284" i="2" s="1"/>
  <c r="BF284" i="2"/>
  <c r="BB284" i="2"/>
  <c r="BC284" i="2" s="1"/>
  <c r="BD284" i="2" s="1"/>
  <c r="BA284" i="2"/>
  <c r="AW284" i="2"/>
  <c r="AX284" i="2" s="1"/>
  <c r="AY284" i="2" s="1"/>
  <c r="AV284" i="2"/>
  <c r="BH283" i="2"/>
  <c r="BI283" i="2" s="1"/>
  <c r="BG283" i="2"/>
  <c r="BB283" i="2"/>
  <c r="BC283" i="2" s="1"/>
  <c r="BD283" i="2" s="1"/>
  <c r="AW283" i="2"/>
  <c r="AX283" i="2" s="1"/>
  <c r="AY283" i="2" s="1"/>
  <c r="BG282" i="2"/>
  <c r="BH282" i="2" s="1"/>
  <c r="BI282" i="2" s="1"/>
  <c r="BB282" i="2"/>
  <c r="BC282" i="2" s="1"/>
  <c r="BD282" i="2" s="1"/>
  <c r="AW282" i="2"/>
  <c r="AX282" i="2" s="1"/>
  <c r="AY282" i="2" s="1"/>
  <c r="BB281" i="2"/>
  <c r="BC281" i="2" s="1"/>
  <c r="BD281" i="2" s="1"/>
  <c r="BF281" i="2" s="1"/>
  <c r="BG281" i="2" s="1"/>
  <c r="BH281" i="2" s="1"/>
  <c r="BI281" i="2" s="1"/>
  <c r="AX281" i="2"/>
  <c r="AY281" i="2" s="1"/>
  <c r="AW281" i="2"/>
  <c r="BG280" i="2"/>
  <c r="BH280" i="2" s="1"/>
  <c r="BI280" i="2" s="1"/>
  <c r="BB280" i="2"/>
  <c r="BC280" i="2" s="1"/>
  <c r="BD280" i="2" s="1"/>
  <c r="AW280" i="2"/>
  <c r="AX280" i="2" s="1"/>
  <c r="AY280" i="2" s="1"/>
  <c r="BA279" i="2"/>
  <c r="BB279" i="2" s="1"/>
  <c r="BC279" i="2" s="1"/>
  <c r="BD279" i="2" s="1"/>
  <c r="BF279" i="2" s="1"/>
  <c r="BG279" i="2" s="1"/>
  <c r="BH279" i="2" s="1"/>
  <c r="BI279" i="2" s="1"/>
  <c r="BG278" i="2"/>
  <c r="BH278" i="2" s="1"/>
  <c r="BI278" i="2" s="1"/>
  <c r="BB278" i="2"/>
  <c r="BC278" i="2" s="1"/>
  <c r="BD278" i="2" s="1"/>
  <c r="AW278" i="2"/>
  <c r="AX278" i="2" s="1"/>
  <c r="AY278" i="2" s="1"/>
  <c r="AW277" i="2"/>
  <c r="AX277" i="2" s="1"/>
  <c r="AY277" i="2" s="1"/>
  <c r="BA277" i="2" s="1"/>
  <c r="BB277" i="2" s="1"/>
  <c r="BC277" i="2" s="1"/>
  <c r="BD277" i="2" s="1"/>
  <c r="BF277" i="2" s="1"/>
  <c r="BG277" i="2" s="1"/>
  <c r="BH277" i="2" s="1"/>
  <c r="BI277" i="2" s="1"/>
  <c r="AT277" i="2"/>
  <c r="AT276" i="2"/>
  <c r="AV276" i="2" s="1"/>
  <c r="AW276" i="2" s="1"/>
  <c r="AX276" i="2" s="1"/>
  <c r="AY276" i="2" s="1"/>
  <c r="BA276" i="2" s="1"/>
  <c r="BB276" i="2" s="1"/>
  <c r="BC276" i="2" s="1"/>
  <c r="BD276" i="2" s="1"/>
  <c r="BF276" i="2" s="1"/>
  <c r="BG276" i="2" s="1"/>
  <c r="BH276" i="2" s="1"/>
  <c r="BI276" i="2" s="1"/>
  <c r="BA275" i="2"/>
  <c r="BB275" i="2" s="1"/>
  <c r="BC275" i="2" s="1"/>
  <c r="BD275" i="2" s="1"/>
  <c r="BF275" i="2" s="1"/>
  <c r="BG275" i="2" s="1"/>
  <c r="BH275" i="2" s="1"/>
  <c r="BI275" i="2" s="1"/>
  <c r="AT274" i="2"/>
  <c r="AV274" i="2" s="1"/>
  <c r="AW274" i="2" s="1"/>
  <c r="AX274" i="2" s="1"/>
  <c r="AY274" i="2" s="1"/>
  <c r="BA274" i="2" s="1"/>
  <c r="BB274" i="2" s="1"/>
  <c r="BC274" i="2" s="1"/>
  <c r="BD274" i="2" s="1"/>
  <c r="BF274" i="2" s="1"/>
  <c r="BG274" i="2" s="1"/>
  <c r="BH274" i="2" s="1"/>
  <c r="BI274" i="2" s="1"/>
  <c r="AW273" i="2"/>
  <c r="AX273" i="2" s="1"/>
  <c r="AY273" i="2" s="1"/>
  <c r="BA273" i="2" s="1"/>
  <c r="BB273" i="2" s="1"/>
  <c r="BC273" i="2" s="1"/>
  <c r="BD273" i="2" s="1"/>
  <c r="BF273" i="2" s="1"/>
  <c r="BG273" i="2" s="1"/>
  <c r="BH273" i="2" s="1"/>
  <c r="BI273" i="2" s="1"/>
  <c r="AT273" i="2"/>
  <c r="AT272" i="2"/>
  <c r="AV272" i="2" s="1"/>
  <c r="AW272" i="2" s="1"/>
  <c r="AX272" i="2" s="1"/>
  <c r="AY272" i="2" s="1"/>
  <c r="BA272" i="2" s="1"/>
  <c r="BB272" i="2" s="1"/>
  <c r="BC272" i="2" s="1"/>
  <c r="BD272" i="2" s="1"/>
  <c r="BF272" i="2" s="1"/>
  <c r="BG272" i="2" s="1"/>
  <c r="BH272" i="2" s="1"/>
  <c r="BI272" i="2" s="1"/>
  <c r="BA271" i="2"/>
  <c r="BB271" i="2" s="1"/>
  <c r="BC271" i="2" s="1"/>
  <c r="BD271" i="2" s="1"/>
  <c r="BF271" i="2" s="1"/>
  <c r="BG271" i="2" s="1"/>
  <c r="BH271" i="2" s="1"/>
  <c r="BI271" i="2" s="1"/>
  <c r="AT271" i="2"/>
  <c r="AR270" i="2"/>
  <c r="AQ270" i="2"/>
  <c r="AW270" i="2" l="1"/>
  <c r="AW290" i="2" s="1"/>
  <c r="AW291" i="2" s="1"/>
  <c r="AV290" i="2"/>
  <c r="AV291" i="2" s="1"/>
  <c r="AQ290" i="2"/>
  <c r="AQ291" i="2" s="1"/>
  <c r="AR290" i="2"/>
  <c r="AR291" i="2" s="1"/>
  <c r="AT290" i="2"/>
  <c r="AT291" i="2" s="1"/>
  <c r="AX270" i="2" l="1"/>
  <c r="AY270" i="2" s="1"/>
  <c r="AX290" i="2" l="1"/>
  <c r="AX291" i="2" s="1"/>
  <c r="AY290" i="2"/>
  <c r="AY291" i="2" s="1"/>
  <c r="BA270" i="2"/>
  <c r="BB270" i="2" l="1"/>
  <c r="BA290" i="2"/>
  <c r="BA291" i="2" s="1"/>
  <c r="BC270" i="2" l="1"/>
  <c r="BB290" i="2"/>
  <c r="BB291" i="2" s="1"/>
  <c r="BC290" i="2" l="1"/>
  <c r="BC291" i="2" s="1"/>
  <c r="BD270" i="2"/>
  <c r="BD290" i="2" l="1"/>
  <c r="BD291" i="2" s="1"/>
  <c r="BF270" i="2"/>
  <c r="BF290" i="2" l="1"/>
  <c r="BF291" i="2" s="1"/>
  <c r="BG270" i="2"/>
  <c r="BG290" i="2" l="1"/>
  <c r="BG291" i="2" s="1"/>
  <c r="BH270" i="2"/>
  <c r="BH290" i="2" l="1"/>
  <c r="BH291" i="2" s="1"/>
  <c r="BI270" i="2"/>
  <c r="BI290" i="2" l="1"/>
  <c r="BI291" i="2" s="1"/>
  <c r="BB267" i="2" l="1"/>
  <c r="BC267" i="2" s="1"/>
  <c r="BD267" i="2" s="1"/>
  <c r="BJ184" i="2" l="1"/>
  <c r="BJ183" i="2"/>
  <c r="BE184" i="2"/>
  <c r="BE183" i="2"/>
  <c r="AZ184" i="2"/>
  <c r="AZ183" i="2"/>
  <c r="Z183" i="2"/>
  <c r="AA183" i="2" s="1"/>
  <c r="V184" i="2"/>
  <c r="V183" i="2"/>
  <c r="AA184" i="2"/>
  <c r="V155" i="2"/>
  <c r="AA155" i="2"/>
  <c r="AH155" i="2"/>
  <c r="AI155" i="2" s="1"/>
  <c r="AD186" i="2"/>
  <c r="AD156" i="2"/>
  <c r="AE156" i="2" s="1"/>
  <c r="AC184" i="2"/>
  <c r="AC155" i="2"/>
  <c r="AD155" i="2" s="1"/>
  <c r="AE155" i="2" s="1"/>
  <c r="AF155" i="2" s="1"/>
  <c r="AH186" i="2"/>
  <c r="AH183" i="2"/>
  <c r="AI183" i="2" s="1"/>
  <c r="AH184" i="2"/>
  <c r="AG156" i="2"/>
  <c r="AH156" i="2" s="1"/>
  <c r="AI156" i="2" s="1"/>
  <c r="AE183" i="2"/>
  <c r="AF183" i="2" s="1"/>
  <c r="AL179" i="2"/>
  <c r="AM184" i="2"/>
  <c r="AN184" i="2" s="1"/>
  <c r="AO184" i="2" s="1"/>
  <c r="AM183" i="2"/>
  <c r="AN183" i="2" s="1"/>
  <c r="AO183" i="2" s="1"/>
  <c r="AM186" i="2"/>
  <c r="AR184" i="2"/>
  <c r="AS184" i="2" s="1"/>
  <c r="AR183" i="2"/>
  <c r="AS183" i="2" s="1"/>
  <c r="AR186" i="2"/>
  <c r="AM156" i="2"/>
  <c r="AM155" i="2"/>
  <c r="AN155" i="2" s="1"/>
  <c r="AO155" i="2" s="1"/>
  <c r="AR156" i="2"/>
  <c r="AR155" i="2"/>
  <c r="AC180" i="2"/>
  <c r="AU230" i="2"/>
  <c r="AV229" i="2"/>
  <c r="AW229" i="2" s="1"/>
  <c r="AX229" i="2" s="1"/>
  <c r="AY229" i="2" s="1"/>
  <c r="L230" i="2"/>
  <c r="L229" i="2"/>
  <c r="Q230" i="2"/>
  <c r="Q229" i="2"/>
  <c r="V230" i="2"/>
  <c r="V229" i="2"/>
  <c r="AA230" i="2"/>
  <c r="AA229" i="2"/>
  <c r="AD250" i="2"/>
  <c r="AC250" i="2"/>
  <c r="AF230" i="2"/>
  <c r="AF229" i="2"/>
  <c r="AL237" i="2"/>
  <c r="AJ237" i="2"/>
  <c r="AK230" i="2"/>
  <c r="AK229" i="2"/>
  <c r="AM237" i="2"/>
  <c r="AN237" i="2"/>
  <c r="AP230" i="2"/>
  <c r="AP229" i="2"/>
  <c r="AQ233" i="2"/>
  <c r="AQ227" i="2"/>
  <c r="AR233" i="2"/>
  <c r="AR227" i="2"/>
  <c r="AJ156" i="2" l="1"/>
  <c r="AU183" i="2"/>
  <c r="AP183" i="2"/>
  <c r="AP184" i="2"/>
  <c r="AS155" i="2"/>
  <c r="AP155" i="2"/>
  <c r="AI184" i="2"/>
  <c r="AD184" i="2"/>
  <c r="AE184" i="2" s="1"/>
  <c r="AU184" i="2"/>
  <c r="AJ155" i="2"/>
  <c r="AK155" i="2" s="1"/>
  <c r="AJ183" i="2"/>
  <c r="AK183" i="2" s="1"/>
  <c r="AU229" i="2"/>
  <c r="AV230" i="2"/>
  <c r="AW230" i="2" s="1"/>
  <c r="AX230" i="2" s="1"/>
  <c r="AY230" i="2" s="1"/>
  <c r="AZ230" i="2" s="1"/>
  <c r="BA229" i="2"/>
  <c r="AZ229" i="2"/>
  <c r="AS233" i="2"/>
  <c r="AS227" i="2"/>
  <c r="AY155" i="2" l="1"/>
  <c r="AJ184" i="2"/>
  <c r="AK184" i="2" s="1"/>
  <c r="AV155" i="2"/>
  <c r="AW155" i="2"/>
  <c r="AU155" i="2"/>
  <c r="BB229" i="2"/>
  <c r="AX155" i="2"/>
  <c r="AF184" i="2"/>
  <c r="BA230" i="2"/>
  <c r="BB230" i="2" s="1"/>
  <c r="BC230" i="2" s="1"/>
  <c r="BD230" i="2" s="1"/>
  <c r="BF230" i="2" s="1"/>
  <c r="BG230" i="2" s="1"/>
  <c r="BH230" i="2" s="1"/>
  <c r="BI230" i="2" s="1"/>
  <c r="BJ230" i="2" s="1"/>
  <c r="BF53" i="3"/>
  <c r="BC53" i="3"/>
  <c r="BA53" i="3"/>
  <c r="AV34" i="2"/>
  <c r="AV28" i="2"/>
  <c r="BL279" i="2"/>
  <c r="AZ155" i="2" l="1"/>
  <c r="BE230" i="2"/>
  <c r="BC229" i="2"/>
  <c r="BB155" i="2"/>
  <c r="BA155" i="2"/>
  <c r="BD229" i="2" l="1"/>
  <c r="BC155" i="2"/>
  <c r="BD155" i="2" l="1"/>
  <c r="BE155" i="2" s="1"/>
  <c r="BF229" i="2"/>
  <c r="BE229" i="2"/>
  <c r="BG229" i="2" l="1"/>
  <c r="BF155" i="2"/>
  <c r="BH229" i="2" l="1"/>
  <c r="BG155" i="2"/>
  <c r="BI229" i="2" l="1"/>
  <c r="BH155" i="2"/>
  <c r="BF63" i="2"/>
  <c r="BA63" i="2"/>
  <c r="AV63" i="2"/>
  <c r="AV22" i="2"/>
  <c r="AV24" i="2"/>
  <c r="AV36" i="2"/>
  <c r="BI91" i="4"/>
  <c r="BH91" i="4"/>
  <c r="BG91" i="4"/>
  <c r="BF91" i="4"/>
  <c r="BI90" i="4"/>
  <c r="BH90" i="4"/>
  <c r="BG90" i="4"/>
  <c r="BF90" i="4"/>
  <c r="BI89" i="4"/>
  <c r="BH89" i="4"/>
  <c r="BG89" i="4"/>
  <c r="BF89" i="4"/>
  <c r="BI88" i="4"/>
  <c r="BH88" i="4"/>
  <c r="BG88" i="4"/>
  <c r="BF88" i="4"/>
  <c r="BI87" i="4"/>
  <c r="BH87" i="4"/>
  <c r="BG87" i="4"/>
  <c r="BF87" i="4"/>
  <c r="BI86" i="4"/>
  <c r="BH86" i="4"/>
  <c r="BG86" i="4"/>
  <c r="BF86" i="4"/>
  <c r="BF85" i="4"/>
  <c r="BI84" i="4"/>
  <c r="BH84" i="4"/>
  <c r="BG84" i="4"/>
  <c r="BF84" i="4"/>
  <c r="BI83" i="4"/>
  <c r="BH83" i="4"/>
  <c r="BG83" i="4"/>
  <c r="BF83" i="4"/>
  <c r="BI82" i="4"/>
  <c r="BH82" i="4"/>
  <c r="BG82" i="4"/>
  <c r="BF82" i="4"/>
  <c r="BI78" i="4"/>
  <c r="BH78" i="4"/>
  <c r="BG78" i="4"/>
  <c r="BF78" i="4"/>
  <c r="BI77" i="4"/>
  <c r="BH77" i="4"/>
  <c r="BG77" i="4"/>
  <c r="BF77" i="4"/>
  <c r="BI76" i="4"/>
  <c r="BH76" i="4"/>
  <c r="BG76" i="4"/>
  <c r="BF76" i="4"/>
  <c r="BI75" i="4"/>
  <c r="BH75" i="4"/>
  <c r="BG75" i="4"/>
  <c r="BF75" i="4"/>
  <c r="BJ62" i="4"/>
  <c r="BI62" i="4"/>
  <c r="BH62" i="4"/>
  <c r="BG62" i="4"/>
  <c r="BF62" i="4"/>
  <c r="BI61" i="4"/>
  <c r="BH61" i="4"/>
  <c r="BG61" i="4"/>
  <c r="BF61" i="4"/>
  <c r="BI60" i="4"/>
  <c r="BH60" i="4"/>
  <c r="BG60" i="4"/>
  <c r="BF60" i="4"/>
  <c r="BI57" i="4"/>
  <c r="BH57" i="4"/>
  <c r="BG57" i="4"/>
  <c r="BF57" i="4"/>
  <c r="BI56" i="4"/>
  <c r="BH56" i="4"/>
  <c r="BG56" i="4"/>
  <c r="BF56" i="4"/>
  <c r="BI55" i="4"/>
  <c r="BH55" i="4"/>
  <c r="BG55" i="4"/>
  <c r="BF55" i="4"/>
  <c r="BJ53" i="4"/>
  <c r="BI53" i="4"/>
  <c r="BH53" i="4"/>
  <c r="BG53" i="4"/>
  <c r="BF53" i="4"/>
  <c r="BJ5" i="4"/>
  <c r="BJ50" i="4" s="1"/>
  <c r="BI5" i="4"/>
  <c r="BI50" i="4" s="1"/>
  <c r="BH5" i="4"/>
  <c r="BH97" i="4" s="1"/>
  <c r="BG5" i="4"/>
  <c r="BF5" i="4"/>
  <c r="BF50" i="4" s="1"/>
  <c r="BD91" i="4"/>
  <c r="BC91" i="4"/>
  <c r="BB91" i="4"/>
  <c r="BA91" i="4"/>
  <c r="BD90" i="4"/>
  <c r="BC90" i="4"/>
  <c r="BB90" i="4"/>
  <c r="BA90" i="4"/>
  <c r="BD89" i="4"/>
  <c r="BC89" i="4"/>
  <c r="BB89" i="4"/>
  <c r="BA89" i="4"/>
  <c r="BD88" i="4"/>
  <c r="BC88" i="4"/>
  <c r="BB88" i="4"/>
  <c r="BA88" i="4"/>
  <c r="BD87" i="4"/>
  <c r="BC87" i="4"/>
  <c r="BB87" i="4"/>
  <c r="BA87" i="4"/>
  <c r="BD86" i="4"/>
  <c r="BC86" i="4"/>
  <c r="BB86" i="4"/>
  <c r="BA86" i="4"/>
  <c r="BA85" i="4"/>
  <c r="BD84" i="4"/>
  <c r="BC84" i="4"/>
  <c r="BB84" i="4"/>
  <c r="BA84" i="4"/>
  <c r="BD83" i="4"/>
  <c r="BC83" i="4"/>
  <c r="BB83" i="4"/>
  <c r="BA83" i="4"/>
  <c r="BD82" i="4"/>
  <c r="BC82" i="4"/>
  <c r="BB82" i="4"/>
  <c r="BA82" i="4"/>
  <c r="BD78" i="4"/>
  <c r="BC78" i="4"/>
  <c r="BB78" i="4"/>
  <c r="BA78" i="4"/>
  <c r="BD77" i="4"/>
  <c r="BC77" i="4"/>
  <c r="BB77" i="4"/>
  <c r="BA77" i="4"/>
  <c r="BD76" i="4"/>
  <c r="BC76" i="4"/>
  <c r="BB76" i="4"/>
  <c r="BA76" i="4"/>
  <c r="BD75" i="4"/>
  <c r="BC75" i="4"/>
  <c r="BB75" i="4"/>
  <c r="BA75" i="4"/>
  <c r="BE62" i="4"/>
  <c r="BD62" i="4"/>
  <c r="BC62" i="4"/>
  <c r="BB62" i="4"/>
  <c r="BA62" i="4"/>
  <c r="BD61" i="4"/>
  <c r="BC61" i="4"/>
  <c r="BB61" i="4"/>
  <c r="BA61" i="4"/>
  <c r="BD60" i="4"/>
  <c r="BC60" i="4"/>
  <c r="BB60" i="4"/>
  <c r="BA60" i="4"/>
  <c r="BD57" i="4"/>
  <c r="BC57" i="4"/>
  <c r="BB57" i="4"/>
  <c r="BA57" i="4"/>
  <c r="BD56" i="4"/>
  <c r="BC56" i="4"/>
  <c r="BB56" i="4"/>
  <c r="BA56" i="4"/>
  <c r="BD55" i="4"/>
  <c r="BC55" i="4"/>
  <c r="BB55" i="4"/>
  <c r="BA55" i="4"/>
  <c r="BE53" i="4"/>
  <c r="BD53" i="4"/>
  <c r="BC53" i="4"/>
  <c r="BB53" i="4"/>
  <c r="BA53" i="4"/>
  <c r="BA25" i="4"/>
  <c r="BE5" i="4"/>
  <c r="BE50" i="4" s="1"/>
  <c r="BD5" i="4"/>
  <c r="BD50" i="4" s="1"/>
  <c r="BC5" i="4"/>
  <c r="BC97" i="4" s="1"/>
  <c r="BB5" i="4"/>
  <c r="BB97" i="4" s="1"/>
  <c r="BA5" i="4"/>
  <c r="BA50" i="4" s="1"/>
  <c r="BJ229" i="2" l="1"/>
  <c r="BI155" i="2"/>
  <c r="BJ155" i="2" s="1"/>
  <c r="BG50" i="4"/>
  <c r="BG97" i="4"/>
  <c r="BI97" i="4"/>
  <c r="BH50" i="4"/>
  <c r="BF97" i="4"/>
  <c r="BJ97" i="4"/>
  <c r="BB50" i="4"/>
  <c r="BD97" i="4"/>
  <c r="BC50" i="4"/>
  <c r="BA97" i="4"/>
  <c r="BE97" i="4"/>
  <c r="BA23" i="2" l="1"/>
  <c r="BA22" i="2" l="1"/>
  <c r="BA24" i="2"/>
  <c r="BA36" i="2"/>
  <c r="BA34" i="2"/>
  <c r="AW28" i="2"/>
  <c r="AW86" i="2" l="1"/>
  <c r="AX86" i="2" s="1"/>
  <c r="AV86" i="2"/>
  <c r="AW34" i="2" l="1"/>
  <c r="AW22" i="2" l="1"/>
  <c r="AW24" i="2"/>
  <c r="AY28" i="2"/>
  <c r="AX28" i="2"/>
  <c r="BB23" i="2"/>
  <c r="AX34" i="2"/>
  <c r="BB36" i="2" l="1"/>
  <c r="BB34" i="2"/>
  <c r="BB22" i="2"/>
  <c r="BB24" i="2"/>
  <c r="BC23" i="2"/>
  <c r="AX22" i="2"/>
  <c r="AX24" i="2"/>
  <c r="BD23" i="2" l="1"/>
  <c r="AY22" i="2"/>
  <c r="AY24" i="2"/>
  <c r="AY34" i="2"/>
  <c r="BC36" i="2"/>
  <c r="BC34" i="2"/>
  <c r="BC22" i="2"/>
  <c r="BC24" i="2"/>
  <c r="BD36" i="2" l="1"/>
  <c r="BD34" i="2"/>
  <c r="BD22" i="2"/>
  <c r="BD24" i="2"/>
  <c r="BL21" i="2"/>
  <c r="BG265" i="2"/>
  <c r="BH265" i="2" s="1"/>
  <c r="BI265" i="2" s="1"/>
  <c r="BG264" i="2"/>
  <c r="BH264" i="2" s="1"/>
  <c r="BJ206" i="2"/>
  <c r="BI206" i="2"/>
  <c r="BH206" i="2"/>
  <c r="BG206" i="2"/>
  <c r="BF206" i="2"/>
  <c r="BF188" i="2"/>
  <c r="BF92" i="4" s="1"/>
  <c r="BJ187" i="2"/>
  <c r="BJ91" i="4" s="1"/>
  <c r="BJ186" i="2"/>
  <c r="BJ90" i="4" s="1"/>
  <c r="BJ185" i="2"/>
  <c r="BJ89" i="4" s="1"/>
  <c r="BJ182" i="2"/>
  <c r="BJ88" i="4" s="1"/>
  <c r="BJ181" i="2"/>
  <c r="BJ87" i="4" s="1"/>
  <c r="BJ180" i="2"/>
  <c r="BJ86" i="4" s="1"/>
  <c r="BG179" i="2"/>
  <c r="BJ178" i="2"/>
  <c r="BJ84" i="4" s="1"/>
  <c r="BJ177" i="2"/>
  <c r="BJ83" i="4" s="1"/>
  <c r="BJ176" i="2"/>
  <c r="BJ82" i="4" s="1"/>
  <c r="BJ172" i="2"/>
  <c r="BJ78" i="4" s="1"/>
  <c r="BJ171" i="2"/>
  <c r="BJ77" i="4" s="1"/>
  <c r="BJ170" i="2"/>
  <c r="BJ76" i="4" s="1"/>
  <c r="BJ169" i="2"/>
  <c r="BJ75" i="4" s="1"/>
  <c r="BJ156" i="2"/>
  <c r="BJ61" i="4" s="1"/>
  <c r="BJ154" i="2"/>
  <c r="BJ60" i="4" s="1"/>
  <c r="BJ151" i="2"/>
  <c r="BJ57" i="4" s="1"/>
  <c r="BJ150" i="2"/>
  <c r="BJ56" i="4" s="1"/>
  <c r="BJ149" i="2"/>
  <c r="BJ55" i="4" s="1"/>
  <c r="BJ143" i="2"/>
  <c r="BI143" i="2"/>
  <c r="BH143" i="2"/>
  <c r="BG143" i="2"/>
  <c r="BF143" i="2"/>
  <c r="BJ109" i="2"/>
  <c r="BJ108" i="2"/>
  <c r="BJ107" i="2"/>
  <c r="BJ106" i="2"/>
  <c r="BJ105" i="2"/>
  <c r="BJ103" i="2"/>
  <c r="BJ102" i="2"/>
  <c r="BG84" i="2"/>
  <c r="BH84" i="2" s="1"/>
  <c r="BI84" i="2" s="1"/>
  <c r="BG83" i="2"/>
  <c r="BH83" i="2" s="1"/>
  <c r="BG82" i="2"/>
  <c r="BH82" i="2" s="1"/>
  <c r="BI82" i="2" s="1"/>
  <c r="BG66" i="2"/>
  <c r="BH66" i="2" s="1"/>
  <c r="BG64" i="2"/>
  <c r="BG63" i="2"/>
  <c r="BH63" i="2" s="1"/>
  <c r="BI63" i="2" s="1"/>
  <c r="BG23" i="3"/>
  <c r="BG24" i="3" s="1"/>
  <c r="BG14" i="3"/>
  <c r="BG15" i="3" s="1"/>
  <c r="BF81" i="3"/>
  <c r="BG80" i="3"/>
  <c r="BG81" i="3" s="1"/>
  <c r="BF79" i="3"/>
  <c r="BF75" i="3"/>
  <c r="BG74" i="3"/>
  <c r="BG75" i="3" s="1"/>
  <c r="BF73" i="3"/>
  <c r="BF64" i="3"/>
  <c r="BG63" i="3"/>
  <c r="BG64" i="3" s="1"/>
  <c r="BF62" i="3"/>
  <c r="BF55" i="3"/>
  <c r="BG54" i="3"/>
  <c r="BG53" i="3" s="1"/>
  <c r="BF44" i="3"/>
  <c r="BG43" i="3"/>
  <c r="BG44" i="3" s="1"/>
  <c r="BF42" i="3"/>
  <c r="BF35" i="3"/>
  <c r="BG34" i="3"/>
  <c r="BG35" i="3" s="1"/>
  <c r="BF33" i="3"/>
  <c r="BF24" i="3"/>
  <c r="BF22" i="3"/>
  <c r="BJ5" i="3"/>
  <c r="BI5" i="3"/>
  <c r="BH5" i="3"/>
  <c r="BG5" i="3"/>
  <c r="BF5" i="3"/>
  <c r="AW34" i="3"/>
  <c r="AW33" i="3" s="1"/>
  <c r="BA64" i="3"/>
  <c r="BB63" i="3"/>
  <c r="BA62" i="3"/>
  <c r="BA55" i="3"/>
  <c r="BB54" i="3"/>
  <c r="BB53" i="3" s="1"/>
  <c r="AW55" i="3"/>
  <c r="AV55" i="3"/>
  <c r="AV53" i="3"/>
  <c r="BA44" i="3"/>
  <c r="BB43" i="3"/>
  <c r="BC43" i="3" s="1"/>
  <c r="BA42" i="3"/>
  <c r="BB34" i="3"/>
  <c r="BC34" i="3" s="1"/>
  <c r="BD34" i="3" s="1"/>
  <c r="AV35" i="3"/>
  <c r="AV33" i="3"/>
  <c r="AT35" i="3"/>
  <c r="AT33" i="3"/>
  <c r="AK31" i="3"/>
  <c r="AS32" i="3"/>
  <c r="AR32" i="3"/>
  <c r="AQ32" i="3"/>
  <c r="AP31" i="3"/>
  <c r="BH64" i="2" l="1"/>
  <c r="BH179" i="2"/>
  <c r="BH85" i="4" s="1"/>
  <c r="BG85" i="4"/>
  <c r="BG55" i="3"/>
  <c r="BH54" i="3"/>
  <c r="BH23" i="3"/>
  <c r="BI23" i="3" s="1"/>
  <c r="BG62" i="3"/>
  <c r="BG22" i="3"/>
  <c r="BH22" i="3"/>
  <c r="AW35" i="3"/>
  <c r="BI83" i="2"/>
  <c r="BI264" i="2"/>
  <c r="BI66" i="2"/>
  <c r="BJ66" i="2" s="1"/>
  <c r="BG188" i="2"/>
  <c r="BG92" i="4" s="1"/>
  <c r="BG13" i="3"/>
  <c r="BH80" i="3"/>
  <c r="BH14" i="3"/>
  <c r="BI14" i="3" s="1"/>
  <c r="BI13" i="3" s="1"/>
  <c r="BG42" i="3"/>
  <c r="BH43" i="3"/>
  <c r="BH44" i="3" s="1"/>
  <c r="BG79" i="3"/>
  <c r="BH63" i="3"/>
  <c r="BG33" i="3"/>
  <c r="BH34" i="3"/>
  <c r="BG73" i="3"/>
  <c r="BH74" i="3"/>
  <c r="BD63" i="3"/>
  <c r="BC62" i="3"/>
  <c r="BC64" i="3"/>
  <c r="BB64" i="3"/>
  <c r="BB62" i="3"/>
  <c r="AX54" i="3"/>
  <c r="BD54" i="3"/>
  <c r="BD53" i="3" s="1"/>
  <c r="BC55" i="3"/>
  <c r="BB55" i="3"/>
  <c r="AW53" i="3"/>
  <c r="BD43" i="3"/>
  <c r="BC42" i="3"/>
  <c r="BC44" i="3"/>
  <c r="BB44" i="3"/>
  <c r="BB42" i="3"/>
  <c r="BA33" i="3"/>
  <c r="BA35" i="3"/>
  <c r="AV75" i="2" l="1"/>
  <c r="AV297" i="2"/>
  <c r="BI179" i="2"/>
  <c r="BI64" i="2"/>
  <c r="BH188" i="2"/>
  <c r="BH92" i="4" s="1"/>
  <c r="BI188" i="2"/>
  <c r="BI92" i="4" s="1"/>
  <c r="BI85" i="4"/>
  <c r="BI54" i="3"/>
  <c r="BI53" i="3" s="1"/>
  <c r="BH53" i="3"/>
  <c r="BH24" i="3"/>
  <c r="BH42" i="3"/>
  <c r="BJ179" i="2"/>
  <c r="AY33" i="3"/>
  <c r="AX33" i="3"/>
  <c r="AX35" i="3"/>
  <c r="BH13" i="3"/>
  <c r="BI15" i="3"/>
  <c r="BH15" i="3"/>
  <c r="BH81" i="3"/>
  <c r="BH79" i="3"/>
  <c r="BI80" i="3"/>
  <c r="BI63" i="3"/>
  <c r="BH64" i="3"/>
  <c r="BH62" i="3"/>
  <c r="BI43" i="3"/>
  <c r="BI34" i="3"/>
  <c r="BH33" i="3"/>
  <c r="BH35" i="3"/>
  <c r="BH55" i="3"/>
  <c r="BI24" i="3"/>
  <c r="BI22" i="3"/>
  <c r="BI74" i="3"/>
  <c r="BH73" i="3"/>
  <c r="BH75" i="3"/>
  <c r="AX55" i="3"/>
  <c r="BD64" i="3"/>
  <c r="BD62" i="3"/>
  <c r="AY54" i="3"/>
  <c r="AX53" i="3"/>
  <c r="BD55" i="3"/>
  <c r="BD44" i="3"/>
  <c r="BD42" i="3"/>
  <c r="BC35" i="3"/>
  <c r="BC33" i="3"/>
  <c r="BB35" i="3"/>
  <c r="BB33" i="3"/>
  <c r="AV296" i="2" l="1"/>
  <c r="BJ188" i="2"/>
  <c r="BJ92" i="4" s="1"/>
  <c r="BJ85" i="4"/>
  <c r="AY35" i="3"/>
  <c r="BI79" i="3"/>
  <c r="BI81" i="3"/>
  <c r="BI64" i="3"/>
  <c r="BI62" i="3"/>
  <c r="BI44" i="3"/>
  <c r="BI42" i="3"/>
  <c r="BI33" i="3"/>
  <c r="BI35" i="3"/>
  <c r="BI73" i="3"/>
  <c r="BI75" i="3"/>
  <c r="BI55" i="3"/>
  <c r="AY53" i="3"/>
  <c r="AY55" i="3"/>
  <c r="BD35" i="3" l="1"/>
  <c r="BD33" i="3"/>
  <c r="J40" i="3" l="1"/>
  <c r="I40" i="3"/>
  <c r="H40" i="3"/>
  <c r="F40" i="3"/>
  <c r="E40" i="3"/>
  <c r="J41" i="3" s="1"/>
  <c r="D40" i="3"/>
  <c r="I41" i="3" s="1"/>
  <c r="C40" i="3"/>
  <c r="H41" i="3" s="1"/>
  <c r="J32" i="3"/>
  <c r="I32" i="3"/>
  <c r="H32" i="3"/>
  <c r="G31" i="3"/>
  <c r="J29" i="3"/>
  <c r="I29" i="3"/>
  <c r="H29" i="3"/>
  <c r="G28" i="3"/>
  <c r="G40" i="3" s="1"/>
  <c r="G68" i="3"/>
  <c r="L68" i="3"/>
  <c r="Q68" i="3"/>
  <c r="V68" i="3"/>
  <c r="AA68" i="3"/>
  <c r="AF68" i="3"/>
  <c r="AK68" i="3"/>
  <c r="AP68" i="3"/>
  <c r="BL25" i="2"/>
  <c r="BL27" i="2" s="1"/>
  <c r="BL31" i="2"/>
  <c r="BL33" i="2" s="1"/>
  <c r="AN2" i="2"/>
  <c r="BL38" i="2" l="1"/>
  <c r="BL39" i="2" l="1"/>
  <c r="BL43" i="2"/>
  <c r="C97" i="5" l="1"/>
  <c r="E81" i="5" s="1"/>
  <c r="C94" i="5"/>
  <c r="C93" i="5" s="1"/>
  <c r="E82" i="5"/>
  <c r="K71" i="5"/>
  <c r="K69" i="5"/>
  <c r="K70" i="5" s="1"/>
  <c r="K67" i="5"/>
  <c r="K66" i="5" s="1"/>
  <c r="Q43" i="5"/>
  <c r="C6" i="5"/>
  <c r="I6" i="5"/>
  <c r="H6" i="5"/>
  <c r="G6" i="5"/>
  <c r="F6" i="5"/>
  <c r="E6" i="5"/>
  <c r="D6" i="5"/>
  <c r="B6" i="5"/>
  <c r="D5" i="5"/>
  <c r="D4" i="5" s="1"/>
  <c r="C4" i="5"/>
  <c r="G135" i="4"/>
  <c r="G134" i="4"/>
  <c r="G133" i="4"/>
  <c r="G132" i="4"/>
  <c r="G131" i="4"/>
  <c r="G130" i="4"/>
  <c r="AR135" i="4"/>
  <c r="AQ135" i="4"/>
  <c r="AO135" i="4"/>
  <c r="AN135" i="4"/>
  <c r="AM135" i="4"/>
  <c r="AJ135" i="4"/>
  <c r="AI135" i="4"/>
  <c r="AH135" i="4"/>
  <c r="AG135" i="4"/>
  <c r="AE135" i="4"/>
  <c r="AD135" i="4"/>
  <c r="AC135" i="4"/>
  <c r="AB135" i="4"/>
  <c r="Z135" i="4"/>
  <c r="Y135" i="4"/>
  <c r="X135" i="4"/>
  <c r="W135" i="4"/>
  <c r="U135" i="4"/>
  <c r="T135" i="4"/>
  <c r="S135" i="4"/>
  <c r="R135" i="4"/>
  <c r="P135" i="4"/>
  <c r="O135" i="4"/>
  <c r="N135" i="4"/>
  <c r="M135" i="4"/>
  <c r="AR134" i="4"/>
  <c r="AQ134" i="4"/>
  <c r="AO134" i="4"/>
  <c r="AN134" i="4"/>
  <c r="AM134" i="4"/>
  <c r="AJ134" i="4"/>
  <c r="AI134" i="4"/>
  <c r="AH134" i="4"/>
  <c r="AG134" i="4"/>
  <c r="AE134" i="4"/>
  <c r="AD134" i="4"/>
  <c r="AB134" i="4"/>
  <c r="Z134" i="4"/>
  <c r="Y134" i="4"/>
  <c r="X134" i="4"/>
  <c r="W134" i="4"/>
  <c r="U134" i="4"/>
  <c r="T134" i="4"/>
  <c r="S134" i="4"/>
  <c r="R134" i="4"/>
  <c r="P134" i="4"/>
  <c r="O134" i="4"/>
  <c r="N134" i="4"/>
  <c r="M134" i="4"/>
  <c r="AR133" i="4"/>
  <c r="AQ133" i="4"/>
  <c r="AO133" i="4"/>
  <c r="AN133" i="4"/>
  <c r="AM133" i="4"/>
  <c r="AJ133" i="4"/>
  <c r="AI133" i="4"/>
  <c r="AH133" i="4"/>
  <c r="AG133" i="4"/>
  <c r="AE133" i="4"/>
  <c r="AD133" i="4"/>
  <c r="AC133" i="4"/>
  <c r="AB133" i="4"/>
  <c r="Z133" i="4"/>
  <c r="Y133" i="4"/>
  <c r="X133" i="4"/>
  <c r="W133" i="4"/>
  <c r="U133" i="4"/>
  <c r="T133" i="4"/>
  <c r="S133" i="4"/>
  <c r="R133" i="4"/>
  <c r="P133" i="4"/>
  <c r="O133" i="4"/>
  <c r="N133" i="4"/>
  <c r="M133" i="4"/>
  <c r="AR132" i="4"/>
  <c r="AQ132" i="4"/>
  <c r="AO132" i="4"/>
  <c r="AN132" i="4"/>
  <c r="AM132" i="4"/>
  <c r="AJ132" i="4"/>
  <c r="AI132" i="4"/>
  <c r="AH132" i="4"/>
  <c r="AG132" i="4"/>
  <c r="AE132" i="4"/>
  <c r="AD132" i="4"/>
  <c r="AC132" i="4"/>
  <c r="AB132" i="4"/>
  <c r="Z132" i="4"/>
  <c r="Y132" i="4"/>
  <c r="X132" i="4"/>
  <c r="W132" i="4"/>
  <c r="U132" i="4"/>
  <c r="T132" i="4"/>
  <c r="S132" i="4"/>
  <c r="R132" i="4"/>
  <c r="P132" i="4"/>
  <c r="O132" i="4"/>
  <c r="N132" i="4"/>
  <c r="M132" i="4"/>
  <c r="AR131" i="4"/>
  <c r="AQ131" i="4"/>
  <c r="AO131" i="4"/>
  <c r="AN131" i="4"/>
  <c r="AM131" i="4"/>
  <c r="AJ131" i="4"/>
  <c r="AI131" i="4"/>
  <c r="AH131" i="4"/>
  <c r="AG131" i="4"/>
  <c r="AE131" i="4"/>
  <c r="AC131" i="4"/>
  <c r="AB131" i="4"/>
  <c r="Z131" i="4"/>
  <c r="Y131" i="4"/>
  <c r="X131" i="4"/>
  <c r="W131" i="4"/>
  <c r="U131" i="4"/>
  <c r="T131" i="4"/>
  <c r="P131" i="4"/>
  <c r="O131" i="4"/>
  <c r="N131" i="4"/>
  <c r="M131" i="4"/>
  <c r="AR130" i="4"/>
  <c r="AQ130" i="4"/>
  <c r="AO130" i="4"/>
  <c r="AN130" i="4"/>
  <c r="AM130" i="4"/>
  <c r="AJ130" i="4"/>
  <c r="AI130" i="4"/>
  <c r="AH130" i="4"/>
  <c r="AG130" i="4"/>
  <c r="AE130" i="4"/>
  <c r="AD130" i="4"/>
  <c r="AC130" i="4"/>
  <c r="AB130" i="4"/>
  <c r="Z130" i="4"/>
  <c r="Y130" i="4"/>
  <c r="X130" i="4"/>
  <c r="W130" i="4"/>
  <c r="U130" i="4"/>
  <c r="T130" i="4"/>
  <c r="S130" i="4"/>
  <c r="R130" i="4"/>
  <c r="P130" i="4"/>
  <c r="O130" i="4"/>
  <c r="N130" i="4"/>
  <c r="M130" i="4"/>
  <c r="G127" i="4"/>
  <c r="G126" i="4"/>
  <c r="G125" i="4"/>
  <c r="G124" i="4"/>
  <c r="G123" i="4"/>
  <c r="G122" i="4"/>
  <c r="G120" i="4"/>
  <c r="G119" i="4"/>
  <c r="G118" i="4"/>
  <c r="G117" i="4"/>
  <c r="G116" i="4"/>
  <c r="G115" i="4"/>
  <c r="G114" i="4"/>
  <c r="G113" i="4"/>
  <c r="AS127" i="4"/>
  <c r="AR127" i="4"/>
  <c r="AQ127" i="4"/>
  <c r="AO127" i="4"/>
  <c r="AN127" i="4"/>
  <c r="AM127" i="4"/>
  <c r="AL127" i="4"/>
  <c r="AJ127" i="4"/>
  <c r="AI127" i="4"/>
  <c r="AH127" i="4"/>
  <c r="AG127" i="4"/>
  <c r="AE127" i="4"/>
  <c r="AD127" i="4"/>
  <c r="AC127" i="4"/>
  <c r="AB127" i="4"/>
  <c r="Z127" i="4"/>
  <c r="Y127" i="4"/>
  <c r="X127" i="4"/>
  <c r="W127" i="4"/>
  <c r="U127" i="4"/>
  <c r="T127" i="4"/>
  <c r="S127" i="4"/>
  <c r="P127" i="4"/>
  <c r="O127" i="4"/>
  <c r="N127" i="4"/>
  <c r="M127" i="4"/>
  <c r="AS126" i="4"/>
  <c r="AR126" i="4"/>
  <c r="AQ126" i="4"/>
  <c r="AO126" i="4"/>
  <c r="AN126" i="4"/>
  <c r="AM126" i="4"/>
  <c r="AL126" i="4"/>
  <c r="AJ126" i="4"/>
  <c r="AI126" i="4"/>
  <c r="AH126" i="4"/>
  <c r="AG126" i="4"/>
  <c r="AE126" i="4"/>
  <c r="AD126" i="4"/>
  <c r="AC126" i="4"/>
  <c r="AB126" i="4"/>
  <c r="Z126" i="4"/>
  <c r="Y126" i="4"/>
  <c r="X126" i="4"/>
  <c r="W126" i="4"/>
  <c r="U126" i="4"/>
  <c r="T126" i="4"/>
  <c r="S126" i="4"/>
  <c r="R126" i="4"/>
  <c r="P126" i="4"/>
  <c r="O126" i="4"/>
  <c r="N126" i="4"/>
  <c r="M126" i="4"/>
  <c r="AS125" i="4"/>
  <c r="AR125" i="4"/>
  <c r="AQ125" i="4"/>
  <c r="AO125" i="4"/>
  <c r="AN125" i="4"/>
  <c r="AM125" i="4"/>
  <c r="AL125" i="4"/>
  <c r="AJ125" i="4"/>
  <c r="AI125" i="4"/>
  <c r="AH125" i="4"/>
  <c r="AG125" i="4"/>
  <c r="AE125" i="4"/>
  <c r="AD125" i="4"/>
  <c r="AC125" i="4"/>
  <c r="AB125" i="4"/>
  <c r="Z125" i="4"/>
  <c r="Y125" i="4"/>
  <c r="X125" i="4"/>
  <c r="W125" i="4"/>
  <c r="U125" i="4"/>
  <c r="T125" i="4"/>
  <c r="S125" i="4"/>
  <c r="R125" i="4"/>
  <c r="P125" i="4"/>
  <c r="O125" i="4"/>
  <c r="N125" i="4"/>
  <c r="M125" i="4"/>
  <c r="AB124" i="4"/>
  <c r="Z124" i="4"/>
  <c r="Y124" i="4"/>
  <c r="X124" i="4"/>
  <c r="W124" i="4"/>
  <c r="U124" i="4"/>
  <c r="T124" i="4"/>
  <c r="S124" i="4"/>
  <c r="R124" i="4"/>
  <c r="P124" i="4"/>
  <c r="O124" i="4"/>
  <c r="N124" i="4"/>
  <c r="M124" i="4"/>
  <c r="AS123" i="4"/>
  <c r="AR123" i="4"/>
  <c r="AQ123" i="4"/>
  <c r="AO123" i="4"/>
  <c r="AN123" i="4"/>
  <c r="AM123" i="4"/>
  <c r="AL123" i="4"/>
  <c r="AJ123" i="4"/>
  <c r="AI123" i="4"/>
  <c r="AH123" i="4"/>
  <c r="AG123" i="4"/>
  <c r="AE123" i="4"/>
  <c r="AD123" i="4"/>
  <c r="AC123" i="4"/>
  <c r="AB123" i="4"/>
  <c r="Z123" i="4"/>
  <c r="W123" i="4"/>
  <c r="U123" i="4"/>
  <c r="T123" i="4"/>
  <c r="S123" i="4"/>
  <c r="R123" i="4"/>
  <c r="P123" i="4"/>
  <c r="AS122" i="4"/>
  <c r="AR122" i="4"/>
  <c r="AQ122" i="4"/>
  <c r="AO122" i="4"/>
  <c r="AD122" i="4"/>
  <c r="Z122" i="4"/>
  <c r="W122" i="4"/>
  <c r="U122" i="4"/>
  <c r="T122" i="4"/>
  <c r="S122" i="4"/>
  <c r="R122" i="4"/>
  <c r="P122" i="4"/>
  <c r="O122" i="4"/>
  <c r="N122" i="4"/>
  <c r="M122" i="4"/>
  <c r="AN120" i="4"/>
  <c r="AM120" i="4"/>
  <c r="AL120" i="4"/>
  <c r="AJ120" i="4"/>
  <c r="AG120" i="4"/>
  <c r="AE120" i="4"/>
  <c r="AD120" i="4"/>
  <c r="AC120" i="4"/>
  <c r="AB120" i="4"/>
  <c r="Z120" i="4"/>
  <c r="Y120" i="4"/>
  <c r="U120" i="4"/>
  <c r="S120" i="4"/>
  <c r="P120" i="4"/>
  <c r="O120" i="4"/>
  <c r="N120" i="4"/>
  <c r="M120" i="4"/>
  <c r="AS119" i="4"/>
  <c r="AR119" i="4"/>
  <c r="AQ119" i="4"/>
  <c r="AO119" i="4"/>
  <c r="AN119" i="4"/>
  <c r="AM119" i="4"/>
  <c r="AL119" i="4"/>
  <c r="AJ119" i="4"/>
  <c r="AI119" i="4"/>
  <c r="AH119" i="4"/>
  <c r="AG119" i="4"/>
  <c r="AE119" i="4"/>
  <c r="AD119" i="4"/>
  <c r="AC119" i="4"/>
  <c r="AB119" i="4"/>
  <c r="Z119" i="4"/>
  <c r="Y119" i="4"/>
  <c r="X119" i="4"/>
  <c r="W119" i="4"/>
  <c r="U119" i="4"/>
  <c r="T119" i="4"/>
  <c r="S119" i="4"/>
  <c r="R119" i="4"/>
  <c r="P119" i="4"/>
  <c r="O119" i="4"/>
  <c r="N119" i="4"/>
  <c r="M119" i="4"/>
  <c r="AS118" i="4"/>
  <c r="AR118" i="4"/>
  <c r="AQ118" i="4"/>
  <c r="AO118" i="4"/>
  <c r="AN118" i="4"/>
  <c r="AM118" i="4"/>
  <c r="AL118" i="4"/>
  <c r="AJ118" i="4"/>
  <c r="AI118" i="4"/>
  <c r="AH118" i="4"/>
  <c r="AG118" i="4"/>
  <c r="AE118" i="4"/>
  <c r="AD118" i="4"/>
  <c r="AC118" i="4"/>
  <c r="AB118" i="4"/>
  <c r="Z118" i="4"/>
  <c r="Y118" i="4"/>
  <c r="X118" i="4"/>
  <c r="W118" i="4"/>
  <c r="U118" i="4"/>
  <c r="T118" i="4"/>
  <c r="S118" i="4"/>
  <c r="R118" i="4"/>
  <c r="P118" i="4"/>
  <c r="O118" i="4"/>
  <c r="N118" i="4"/>
  <c r="M118" i="4"/>
  <c r="AS117" i="4"/>
  <c r="AR117" i="4"/>
  <c r="AQ117" i="4"/>
  <c r="AN117" i="4"/>
  <c r="AM117" i="4"/>
  <c r="AL117" i="4"/>
  <c r="AJ117" i="4"/>
  <c r="AI117" i="4"/>
  <c r="AH117" i="4"/>
  <c r="AG117" i="4"/>
  <c r="AE117" i="4"/>
  <c r="AD117" i="4"/>
  <c r="AC117" i="4"/>
  <c r="AB117" i="4"/>
  <c r="Z117" i="4"/>
  <c r="Y117" i="4"/>
  <c r="W117" i="4"/>
  <c r="U117" i="4"/>
  <c r="T117" i="4"/>
  <c r="S117" i="4"/>
  <c r="R117" i="4"/>
  <c r="AS116" i="4"/>
  <c r="AN116" i="4"/>
  <c r="AM116" i="4"/>
  <c r="AL116" i="4"/>
  <c r="AJ116" i="4"/>
  <c r="AI116" i="4"/>
  <c r="AH116" i="4"/>
  <c r="AE116" i="4"/>
  <c r="AD116" i="4"/>
  <c r="AC116" i="4"/>
  <c r="AB116" i="4"/>
  <c r="Z116" i="4"/>
  <c r="Y116" i="4"/>
  <c r="W116" i="4"/>
  <c r="U116" i="4"/>
  <c r="T116" i="4"/>
  <c r="S116" i="4"/>
  <c r="R116" i="4"/>
  <c r="P116" i="4"/>
  <c r="O116" i="4"/>
  <c r="N116" i="4"/>
  <c r="M116" i="4"/>
  <c r="AS115" i="4"/>
  <c r="AR115" i="4"/>
  <c r="AQ115" i="4"/>
  <c r="AO115" i="4"/>
  <c r="AN115" i="4"/>
  <c r="AM115" i="4"/>
  <c r="AL115" i="4"/>
  <c r="AJ115" i="4"/>
  <c r="AI115" i="4"/>
  <c r="AH115" i="4"/>
  <c r="AG115" i="4"/>
  <c r="AE115" i="4"/>
  <c r="AD115" i="4"/>
  <c r="AC115" i="4"/>
  <c r="AB115" i="4"/>
  <c r="Z115" i="4"/>
  <c r="Y115" i="4"/>
  <c r="X115" i="4"/>
  <c r="W115" i="4"/>
  <c r="U115" i="4"/>
  <c r="T115" i="4"/>
  <c r="S115" i="4"/>
  <c r="R115" i="4"/>
  <c r="P115" i="4"/>
  <c r="O115" i="4"/>
  <c r="N115" i="4"/>
  <c r="M115" i="4"/>
  <c r="AS114" i="4"/>
  <c r="AR114" i="4"/>
  <c r="AQ114" i="4"/>
  <c r="AO114" i="4"/>
  <c r="AN114" i="4"/>
  <c r="AM114" i="4"/>
  <c r="AL114" i="4"/>
  <c r="AJ114" i="4"/>
  <c r="AI114" i="4"/>
  <c r="AH114" i="4"/>
  <c r="AG114" i="4"/>
  <c r="AE114" i="4"/>
  <c r="AD114" i="4"/>
  <c r="AC114" i="4"/>
  <c r="AB114" i="4"/>
  <c r="Z114" i="4"/>
  <c r="Y114" i="4"/>
  <c r="X114" i="4"/>
  <c r="W114" i="4"/>
  <c r="U114" i="4"/>
  <c r="T114" i="4"/>
  <c r="S114" i="4"/>
  <c r="R114" i="4"/>
  <c r="P114" i="4"/>
  <c r="O114" i="4"/>
  <c r="N114" i="4"/>
  <c r="M114" i="4"/>
  <c r="AS113" i="4"/>
  <c r="AR113" i="4"/>
  <c r="AQ113" i="4"/>
  <c r="AO113" i="4"/>
  <c r="AN113" i="4"/>
  <c r="AM113" i="4"/>
  <c r="AL113" i="4"/>
  <c r="AJ113" i="4"/>
  <c r="AI113" i="4"/>
  <c r="AH113" i="4"/>
  <c r="AG113" i="4"/>
  <c r="AE113" i="4"/>
  <c r="AD113" i="4"/>
  <c r="AC113" i="4"/>
  <c r="AB113" i="4"/>
  <c r="Z113" i="4"/>
  <c r="Y113" i="4"/>
  <c r="X113" i="4"/>
  <c r="W113" i="4"/>
  <c r="U113" i="4"/>
  <c r="T113" i="4"/>
  <c r="S113" i="4"/>
  <c r="R113" i="4"/>
  <c r="P113" i="4"/>
  <c r="O113" i="4"/>
  <c r="N113" i="4"/>
  <c r="M113" i="4"/>
  <c r="G110" i="4"/>
  <c r="G109" i="4"/>
  <c r="G108" i="4"/>
  <c r="G107" i="4"/>
  <c r="G106" i="4"/>
  <c r="G105" i="4"/>
  <c r="G103" i="4"/>
  <c r="G102" i="4"/>
  <c r="G101" i="4"/>
  <c r="G100" i="4"/>
  <c r="G99" i="4"/>
  <c r="G98" i="4"/>
  <c r="AS110" i="4"/>
  <c r="AR110" i="4"/>
  <c r="AQ110" i="4"/>
  <c r="AO110" i="4"/>
  <c r="AN110" i="4"/>
  <c r="AM110" i="4"/>
  <c r="AL110" i="4"/>
  <c r="AJ110" i="4"/>
  <c r="AI110" i="4"/>
  <c r="AH110" i="4"/>
  <c r="AG110" i="4"/>
  <c r="AE110" i="4"/>
  <c r="AD110" i="4"/>
  <c r="AC110" i="4"/>
  <c r="AB110" i="4"/>
  <c r="Z110" i="4"/>
  <c r="Y110" i="4"/>
  <c r="X110" i="4"/>
  <c r="W110" i="4"/>
  <c r="U110" i="4"/>
  <c r="T110" i="4"/>
  <c r="S110" i="4"/>
  <c r="R110" i="4"/>
  <c r="P110" i="4"/>
  <c r="O110" i="4"/>
  <c r="N110" i="4"/>
  <c r="M110" i="4"/>
  <c r="AS109" i="4"/>
  <c r="AR109" i="4"/>
  <c r="AQ109" i="4"/>
  <c r="AO109" i="4"/>
  <c r="AN109" i="4"/>
  <c r="AM109" i="4"/>
  <c r="AL109" i="4"/>
  <c r="AJ109" i="4"/>
  <c r="AI109" i="4"/>
  <c r="AH109" i="4"/>
  <c r="AG109" i="4"/>
  <c r="AE109" i="4"/>
  <c r="AD109" i="4"/>
  <c r="AC109" i="4"/>
  <c r="AB109" i="4"/>
  <c r="Z109" i="4"/>
  <c r="Y109" i="4"/>
  <c r="X109" i="4"/>
  <c r="W109" i="4"/>
  <c r="U109" i="4"/>
  <c r="T109" i="4"/>
  <c r="S109" i="4"/>
  <c r="R109" i="4"/>
  <c r="P109" i="4"/>
  <c r="O109" i="4"/>
  <c r="N109" i="4"/>
  <c r="M109" i="4"/>
  <c r="AS108" i="4"/>
  <c r="AR108" i="4"/>
  <c r="AQ108" i="4"/>
  <c r="AO108" i="4"/>
  <c r="AN108" i="4"/>
  <c r="AM108" i="4"/>
  <c r="AL108" i="4"/>
  <c r="AJ108" i="4"/>
  <c r="AI108" i="4"/>
  <c r="AH108" i="4"/>
  <c r="AG108" i="4"/>
  <c r="AE108" i="4"/>
  <c r="AD108" i="4"/>
  <c r="AC108" i="4"/>
  <c r="AB108" i="4"/>
  <c r="Z108" i="4"/>
  <c r="Y108" i="4"/>
  <c r="X108" i="4"/>
  <c r="W108" i="4"/>
  <c r="U108" i="4"/>
  <c r="T108" i="4"/>
  <c r="S108" i="4"/>
  <c r="R108" i="4"/>
  <c r="P108" i="4"/>
  <c r="O108" i="4"/>
  <c r="N108" i="4"/>
  <c r="M108" i="4"/>
  <c r="AS107" i="4"/>
  <c r="AR107" i="4"/>
  <c r="AQ107" i="4"/>
  <c r="AO107" i="4"/>
  <c r="AN107" i="4"/>
  <c r="AM107" i="4"/>
  <c r="AL107" i="4"/>
  <c r="AJ107" i="4"/>
  <c r="AI107" i="4"/>
  <c r="AH107" i="4"/>
  <c r="AG107" i="4"/>
  <c r="AE107" i="4"/>
  <c r="AD107" i="4"/>
  <c r="AC107" i="4"/>
  <c r="AB107" i="4"/>
  <c r="Z107" i="4"/>
  <c r="Y107" i="4"/>
  <c r="X107" i="4"/>
  <c r="W107" i="4"/>
  <c r="U107" i="4"/>
  <c r="T107" i="4"/>
  <c r="S107" i="4"/>
  <c r="R107" i="4"/>
  <c r="P107" i="4"/>
  <c r="O107" i="4"/>
  <c r="N107" i="4"/>
  <c r="M107" i="4"/>
  <c r="AS106" i="4"/>
  <c r="AR106" i="4"/>
  <c r="AQ106" i="4"/>
  <c r="AO106" i="4"/>
  <c r="AN106" i="4"/>
  <c r="AM106" i="4"/>
  <c r="AL106" i="4"/>
  <c r="AJ106" i="4"/>
  <c r="AI106" i="4"/>
  <c r="AH106" i="4"/>
  <c r="AG106" i="4"/>
  <c r="AE106" i="4"/>
  <c r="AD106" i="4"/>
  <c r="AC106" i="4"/>
  <c r="AB106" i="4"/>
  <c r="Z106" i="4"/>
  <c r="Y106" i="4"/>
  <c r="X106" i="4"/>
  <c r="W106" i="4"/>
  <c r="U106" i="4"/>
  <c r="T106" i="4"/>
  <c r="S106" i="4"/>
  <c r="R106" i="4"/>
  <c r="P106" i="4"/>
  <c r="O106" i="4"/>
  <c r="N106" i="4"/>
  <c r="M106" i="4"/>
  <c r="AS105" i="4"/>
  <c r="AR105" i="4"/>
  <c r="AQ105" i="4"/>
  <c r="AO105" i="4"/>
  <c r="AN105" i="4"/>
  <c r="AM105" i="4"/>
  <c r="AL105" i="4"/>
  <c r="AJ105" i="4"/>
  <c r="AI105" i="4"/>
  <c r="AH105" i="4"/>
  <c r="AG105" i="4"/>
  <c r="AE105" i="4"/>
  <c r="AD105" i="4"/>
  <c r="AC105" i="4"/>
  <c r="AB105" i="4"/>
  <c r="Z105" i="4"/>
  <c r="Y105" i="4"/>
  <c r="X105" i="4"/>
  <c r="W105" i="4"/>
  <c r="U105" i="4"/>
  <c r="T105" i="4"/>
  <c r="S105" i="4"/>
  <c r="R105" i="4"/>
  <c r="P105" i="4"/>
  <c r="O105" i="4"/>
  <c r="N105" i="4"/>
  <c r="M105" i="4"/>
  <c r="AS103" i="4"/>
  <c r="AR103" i="4"/>
  <c r="AQ103" i="4"/>
  <c r="AO103" i="4"/>
  <c r="AN103" i="4"/>
  <c r="AM103" i="4"/>
  <c r="AL103" i="4"/>
  <c r="AJ103" i="4"/>
  <c r="AI103" i="4"/>
  <c r="AH103" i="4"/>
  <c r="AG103" i="4"/>
  <c r="AE103" i="4"/>
  <c r="AD103" i="4"/>
  <c r="AC103" i="4"/>
  <c r="AB103" i="4"/>
  <c r="Z103" i="4"/>
  <c r="Y103" i="4"/>
  <c r="X103" i="4"/>
  <c r="W103" i="4"/>
  <c r="U103" i="4"/>
  <c r="T103" i="4"/>
  <c r="S103" i="4"/>
  <c r="R103" i="4"/>
  <c r="P103" i="4"/>
  <c r="O103" i="4"/>
  <c r="N103" i="4"/>
  <c r="M103" i="4"/>
  <c r="AS102" i="4"/>
  <c r="AR102" i="4"/>
  <c r="AQ102" i="4"/>
  <c r="AO102" i="4"/>
  <c r="AN102" i="4"/>
  <c r="AM102" i="4"/>
  <c r="AL102" i="4"/>
  <c r="AJ102" i="4"/>
  <c r="AI102" i="4"/>
  <c r="AH102" i="4"/>
  <c r="AG102" i="4"/>
  <c r="AE102" i="4"/>
  <c r="AD102" i="4"/>
  <c r="AC102" i="4"/>
  <c r="AB102" i="4"/>
  <c r="Z102" i="4"/>
  <c r="Y102" i="4"/>
  <c r="X102" i="4"/>
  <c r="W102" i="4"/>
  <c r="U102" i="4"/>
  <c r="T102" i="4"/>
  <c r="S102" i="4"/>
  <c r="R102" i="4"/>
  <c r="P102" i="4"/>
  <c r="O102" i="4"/>
  <c r="N102" i="4"/>
  <c r="M102" i="4"/>
  <c r="AS101" i="4"/>
  <c r="AR101" i="4"/>
  <c r="AQ101" i="4"/>
  <c r="AO101" i="4"/>
  <c r="AN101" i="4"/>
  <c r="AM101" i="4"/>
  <c r="AL101" i="4"/>
  <c r="AJ101" i="4"/>
  <c r="AI101" i="4"/>
  <c r="AH101" i="4"/>
  <c r="AG101" i="4"/>
  <c r="AE101" i="4"/>
  <c r="AD101" i="4"/>
  <c r="AC101" i="4"/>
  <c r="AB101" i="4"/>
  <c r="Z101" i="4"/>
  <c r="Y101" i="4"/>
  <c r="X101" i="4"/>
  <c r="W101" i="4"/>
  <c r="U101" i="4"/>
  <c r="T101" i="4"/>
  <c r="S101" i="4"/>
  <c r="R101" i="4"/>
  <c r="P101" i="4"/>
  <c r="O101" i="4"/>
  <c r="N101" i="4"/>
  <c r="M101" i="4"/>
  <c r="AS100" i="4"/>
  <c r="AR100" i="4"/>
  <c r="AQ100" i="4"/>
  <c r="AO100" i="4"/>
  <c r="AN100" i="4"/>
  <c r="AM100" i="4"/>
  <c r="AL100" i="4"/>
  <c r="AJ100" i="4"/>
  <c r="AI100" i="4"/>
  <c r="AH100" i="4"/>
  <c r="AG100" i="4"/>
  <c r="AE100" i="4"/>
  <c r="AD100" i="4"/>
  <c r="AC100" i="4"/>
  <c r="AB100" i="4"/>
  <c r="Z100" i="4"/>
  <c r="Y100" i="4"/>
  <c r="X100" i="4"/>
  <c r="W100" i="4"/>
  <c r="U100" i="4"/>
  <c r="T100" i="4"/>
  <c r="S100" i="4"/>
  <c r="R100" i="4"/>
  <c r="P100" i="4"/>
  <c r="O100" i="4"/>
  <c r="N100" i="4"/>
  <c r="M100" i="4"/>
  <c r="AS99" i="4"/>
  <c r="AR99" i="4"/>
  <c r="AQ99" i="4"/>
  <c r="AO99" i="4"/>
  <c r="AN99" i="4"/>
  <c r="AM99" i="4"/>
  <c r="AL99" i="4"/>
  <c r="AJ99" i="4"/>
  <c r="AI99" i="4"/>
  <c r="AH99" i="4"/>
  <c r="AG99" i="4"/>
  <c r="AE99" i="4"/>
  <c r="AD99" i="4"/>
  <c r="AC99" i="4"/>
  <c r="AB99" i="4"/>
  <c r="Z99" i="4"/>
  <c r="Y99" i="4"/>
  <c r="X99" i="4"/>
  <c r="W99" i="4"/>
  <c r="U99" i="4"/>
  <c r="T99" i="4"/>
  <c r="S99" i="4"/>
  <c r="R99" i="4"/>
  <c r="P99" i="4"/>
  <c r="O99" i="4"/>
  <c r="N99" i="4"/>
  <c r="M99" i="4"/>
  <c r="AS98" i="4"/>
  <c r="AR98" i="4"/>
  <c r="AQ98" i="4"/>
  <c r="AO98" i="4"/>
  <c r="AN98" i="4"/>
  <c r="AM98" i="4"/>
  <c r="AL98" i="4"/>
  <c r="AJ98" i="4"/>
  <c r="AI98" i="4"/>
  <c r="AH98" i="4"/>
  <c r="AG98" i="4"/>
  <c r="AE98" i="4"/>
  <c r="AD98" i="4"/>
  <c r="AC98" i="4"/>
  <c r="AB98" i="4"/>
  <c r="Z98" i="4"/>
  <c r="Y98" i="4"/>
  <c r="X98" i="4"/>
  <c r="W98" i="4"/>
  <c r="U98" i="4"/>
  <c r="T98" i="4"/>
  <c r="S98" i="4"/>
  <c r="R98" i="4"/>
  <c r="P98" i="4"/>
  <c r="O98" i="4"/>
  <c r="N98" i="4"/>
  <c r="M98" i="4"/>
  <c r="AY91" i="4"/>
  <c r="AX91" i="4"/>
  <c r="AW91" i="4"/>
  <c r="AV91" i="4"/>
  <c r="AT91" i="4"/>
  <c r="AQ91" i="4"/>
  <c r="AL91" i="4"/>
  <c r="AB91" i="4"/>
  <c r="W91" i="4"/>
  <c r="R91" i="4"/>
  <c r="M91" i="4"/>
  <c r="L91" i="4"/>
  <c r="AY90" i="4"/>
  <c r="AX90" i="4"/>
  <c r="AW90" i="4"/>
  <c r="AV90" i="4"/>
  <c r="AT90" i="4"/>
  <c r="AL90" i="4"/>
  <c r="AB90" i="4"/>
  <c r="Z90" i="4"/>
  <c r="Y90" i="4"/>
  <c r="X90" i="4"/>
  <c r="W90" i="4"/>
  <c r="R90" i="4"/>
  <c r="P90" i="4"/>
  <c r="O90" i="4"/>
  <c r="N90" i="4"/>
  <c r="M90" i="4"/>
  <c r="L90" i="4"/>
  <c r="AY89" i="4"/>
  <c r="AX89" i="4"/>
  <c r="AW89" i="4"/>
  <c r="AV89" i="4"/>
  <c r="AT89" i="4"/>
  <c r="AQ89" i="4"/>
  <c r="AL89" i="4"/>
  <c r="AG89" i="4"/>
  <c r="AB89" i="4"/>
  <c r="W89" i="4"/>
  <c r="R89" i="4"/>
  <c r="P89" i="4"/>
  <c r="O89" i="4"/>
  <c r="N89" i="4"/>
  <c r="M89" i="4"/>
  <c r="L89" i="4"/>
  <c r="AY88" i="4"/>
  <c r="AX88" i="4"/>
  <c r="AW88" i="4"/>
  <c r="AV88" i="4"/>
  <c r="AQ88" i="4"/>
  <c r="AG88" i="4"/>
  <c r="W88" i="4"/>
  <c r="R88" i="4"/>
  <c r="P88" i="4"/>
  <c r="O88" i="4"/>
  <c r="N88" i="4"/>
  <c r="M88" i="4"/>
  <c r="L88" i="4"/>
  <c r="AY87" i="4"/>
  <c r="AX87" i="4"/>
  <c r="AW87" i="4"/>
  <c r="AV87" i="4"/>
  <c r="AT87" i="4"/>
  <c r="AQ87" i="4"/>
  <c r="AO87" i="4"/>
  <c r="AN87" i="4"/>
  <c r="AM87" i="4"/>
  <c r="AL87" i="4"/>
  <c r="AJ87" i="4"/>
  <c r="AI87" i="4"/>
  <c r="AH87" i="4"/>
  <c r="AG87" i="4"/>
  <c r="AE87" i="4"/>
  <c r="AD87" i="4"/>
  <c r="AC87" i="4"/>
  <c r="AB87" i="4"/>
  <c r="Z87" i="4"/>
  <c r="Y87" i="4"/>
  <c r="X87" i="4"/>
  <c r="W87" i="4"/>
  <c r="P87" i="4"/>
  <c r="O87" i="4"/>
  <c r="N87" i="4"/>
  <c r="M87" i="4"/>
  <c r="L87" i="4"/>
  <c r="AY86" i="4"/>
  <c r="AX86" i="4"/>
  <c r="AW86" i="4"/>
  <c r="AV86" i="4"/>
  <c r="AT86" i="4"/>
  <c r="AQ86" i="4"/>
  <c r="AN86" i="4"/>
  <c r="AM86" i="4"/>
  <c r="AL86" i="4"/>
  <c r="AJ86" i="4"/>
  <c r="AI86" i="4"/>
  <c r="AH86" i="4"/>
  <c r="AG86" i="4"/>
  <c r="AB86" i="4"/>
  <c r="W86" i="4"/>
  <c r="R86" i="4"/>
  <c r="M86" i="4"/>
  <c r="L86" i="4"/>
  <c r="AV85" i="4"/>
  <c r="AT85" i="4"/>
  <c r="AB85" i="4"/>
  <c r="W85" i="4"/>
  <c r="M85" i="4"/>
  <c r="L85" i="4"/>
  <c r="AY84" i="4"/>
  <c r="AX84" i="4"/>
  <c r="AW84" i="4"/>
  <c r="AV84" i="4"/>
  <c r="AT84" i="4"/>
  <c r="AQ84" i="4"/>
  <c r="AL84" i="4"/>
  <c r="AI84" i="4"/>
  <c r="AH84" i="4"/>
  <c r="AG84" i="4"/>
  <c r="AB84" i="4"/>
  <c r="W84" i="4"/>
  <c r="R84" i="4"/>
  <c r="P84" i="4"/>
  <c r="M84" i="4"/>
  <c r="L84" i="4"/>
  <c r="AY83" i="4"/>
  <c r="AX83" i="4"/>
  <c r="AW83" i="4"/>
  <c r="AV83" i="4"/>
  <c r="AT83" i="4"/>
  <c r="AQ83" i="4"/>
  <c r="AL83" i="4"/>
  <c r="AG83" i="4"/>
  <c r="AB83" i="4"/>
  <c r="Z83" i="4"/>
  <c r="Y83" i="4"/>
  <c r="X83" i="4"/>
  <c r="W83" i="4"/>
  <c r="R83" i="4"/>
  <c r="P83" i="4"/>
  <c r="O83" i="4"/>
  <c r="N83" i="4"/>
  <c r="M83" i="4"/>
  <c r="L83" i="4"/>
  <c r="AY82" i="4"/>
  <c r="AX82" i="4"/>
  <c r="AW82" i="4"/>
  <c r="AV82" i="4"/>
  <c r="AT82" i="4"/>
  <c r="AS82" i="4"/>
  <c r="AR82" i="4"/>
  <c r="AQ82" i="4"/>
  <c r="AO82" i="4"/>
  <c r="AN82" i="4"/>
  <c r="AM82" i="4"/>
  <c r="AL82" i="4"/>
  <c r="AJ82" i="4"/>
  <c r="AI82" i="4"/>
  <c r="AH82" i="4"/>
  <c r="AG82" i="4"/>
  <c r="AE82" i="4"/>
  <c r="AD82" i="4"/>
  <c r="AC82" i="4"/>
  <c r="AB82" i="4"/>
  <c r="Z82" i="4"/>
  <c r="Y82" i="4"/>
  <c r="X82" i="4"/>
  <c r="W82" i="4"/>
  <c r="P82" i="4"/>
  <c r="O82" i="4"/>
  <c r="N82" i="4"/>
  <c r="M82" i="4"/>
  <c r="L82" i="4"/>
  <c r="AY78" i="4"/>
  <c r="AX78" i="4"/>
  <c r="AW78" i="4"/>
  <c r="AV78" i="4"/>
  <c r="AT78" i="4"/>
  <c r="AQ78" i="4"/>
  <c r="AO78" i="4"/>
  <c r="AN78" i="4"/>
  <c r="AM78" i="4"/>
  <c r="AL78" i="4"/>
  <c r="AJ78" i="4"/>
  <c r="AI78" i="4"/>
  <c r="AH78" i="4"/>
  <c r="AG78" i="4"/>
  <c r="AB78" i="4"/>
  <c r="X78" i="4"/>
  <c r="W78" i="4"/>
  <c r="T78" i="4"/>
  <c r="S78" i="4"/>
  <c r="R78" i="4"/>
  <c r="P78" i="4"/>
  <c r="M78" i="4"/>
  <c r="L78" i="4"/>
  <c r="AY77" i="4"/>
  <c r="AX77" i="4"/>
  <c r="AW77" i="4"/>
  <c r="AV77" i="4"/>
  <c r="AT77" i="4"/>
  <c r="AS77" i="4"/>
  <c r="AR77" i="4"/>
  <c r="AQ77" i="4"/>
  <c r="AO77" i="4"/>
  <c r="AN77" i="4"/>
  <c r="AM77" i="4"/>
  <c r="AL77" i="4"/>
  <c r="AJ77" i="4"/>
  <c r="AI77" i="4"/>
  <c r="AH77" i="4"/>
  <c r="AG77" i="4"/>
  <c r="AE77" i="4"/>
  <c r="AD77" i="4"/>
  <c r="AC77" i="4"/>
  <c r="AB77" i="4"/>
  <c r="Z77" i="4"/>
  <c r="Y77" i="4"/>
  <c r="W77" i="4"/>
  <c r="R77" i="4"/>
  <c r="M77" i="4"/>
  <c r="L77" i="4"/>
  <c r="AY76" i="4"/>
  <c r="AX76" i="4"/>
  <c r="AW76" i="4"/>
  <c r="AV76" i="4"/>
  <c r="AT76" i="4"/>
  <c r="AQ76" i="4"/>
  <c r="AL76" i="4"/>
  <c r="AJ76" i="4"/>
  <c r="AI76" i="4"/>
  <c r="AH76" i="4"/>
  <c r="AG76" i="4"/>
  <c r="AB76" i="4"/>
  <c r="W76" i="4"/>
  <c r="T76" i="4"/>
  <c r="S76" i="4"/>
  <c r="R76" i="4"/>
  <c r="M76" i="4"/>
  <c r="L76" i="4"/>
  <c r="AY75" i="4"/>
  <c r="AX75" i="4"/>
  <c r="AW75" i="4"/>
  <c r="AV75" i="4"/>
  <c r="AT75" i="4"/>
  <c r="AQ75" i="4"/>
  <c r="AL75" i="4"/>
  <c r="AG75" i="4"/>
  <c r="AB75" i="4"/>
  <c r="W75" i="4"/>
  <c r="R75" i="4"/>
  <c r="M75" i="4"/>
  <c r="L75" i="4"/>
  <c r="AQ74" i="4"/>
  <c r="AL74" i="4"/>
  <c r="AG74" i="4"/>
  <c r="AB74" i="4"/>
  <c r="W74" i="4"/>
  <c r="R74" i="4"/>
  <c r="M74" i="4"/>
  <c r="L74" i="4"/>
  <c r="AQ69" i="4"/>
  <c r="AL69" i="4"/>
  <c r="AG69" i="4"/>
  <c r="AB69" i="4"/>
  <c r="W69" i="4"/>
  <c r="R69" i="4"/>
  <c r="M69" i="4"/>
  <c r="L69" i="4"/>
  <c r="AQ68" i="4"/>
  <c r="AL68" i="4"/>
  <c r="AG68" i="4"/>
  <c r="AB68" i="4"/>
  <c r="W68" i="4"/>
  <c r="R68" i="4"/>
  <c r="M68" i="4"/>
  <c r="L68" i="4"/>
  <c r="AQ67" i="4"/>
  <c r="AL67" i="4"/>
  <c r="AG67" i="4"/>
  <c r="AB67" i="4"/>
  <c r="W67" i="4"/>
  <c r="R67" i="4"/>
  <c r="M67" i="4"/>
  <c r="L67" i="4"/>
  <c r="AQ66" i="4"/>
  <c r="AL66" i="4"/>
  <c r="AG66" i="4"/>
  <c r="AB66" i="4"/>
  <c r="W66" i="4"/>
  <c r="R66" i="4"/>
  <c r="M66" i="4"/>
  <c r="L66" i="4"/>
  <c r="AQ65" i="4"/>
  <c r="AL65" i="4"/>
  <c r="AG65" i="4"/>
  <c r="AB65" i="4"/>
  <c r="W65" i="4"/>
  <c r="R65" i="4"/>
  <c r="M65" i="4"/>
  <c r="L65" i="4"/>
  <c r="AQ64" i="4"/>
  <c r="AL64" i="4"/>
  <c r="AG64" i="4"/>
  <c r="AB64" i="4"/>
  <c r="W64" i="4"/>
  <c r="R64" i="4"/>
  <c r="M64" i="4"/>
  <c r="L64" i="4"/>
  <c r="AQ63" i="4"/>
  <c r="AL63" i="4"/>
  <c r="AG63" i="4"/>
  <c r="AB63" i="4"/>
  <c r="W63" i="4"/>
  <c r="R63" i="4"/>
  <c r="M63" i="4"/>
  <c r="L63"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AY61" i="4"/>
  <c r="AX61" i="4"/>
  <c r="AW61" i="4"/>
  <c r="AV61" i="4"/>
  <c r="AT61" i="4"/>
  <c r="AL61" i="4"/>
  <c r="AB61" i="4"/>
  <c r="Y61" i="4"/>
  <c r="X61" i="4"/>
  <c r="W61" i="4"/>
  <c r="T61" i="4"/>
  <c r="S61" i="4"/>
  <c r="R61" i="4"/>
  <c r="M61" i="4"/>
  <c r="L61" i="4"/>
  <c r="AY60" i="4"/>
  <c r="AX60" i="4"/>
  <c r="AW60" i="4"/>
  <c r="AV60" i="4"/>
  <c r="AT60" i="4"/>
  <c r="AS60" i="4"/>
  <c r="AR60" i="4"/>
  <c r="AQ60" i="4"/>
  <c r="AO60" i="4"/>
  <c r="AN60" i="4"/>
  <c r="AM60" i="4"/>
  <c r="AL60" i="4"/>
  <c r="AJ60" i="4"/>
  <c r="AI60" i="4"/>
  <c r="AH60" i="4"/>
  <c r="AG60" i="4"/>
  <c r="AB60" i="4"/>
  <c r="Z60" i="4"/>
  <c r="Y60" i="4"/>
  <c r="X60" i="4"/>
  <c r="W60" i="4"/>
  <c r="U60" i="4"/>
  <c r="T60" i="4"/>
  <c r="S60" i="4"/>
  <c r="R60" i="4"/>
  <c r="P60" i="4"/>
  <c r="O60" i="4"/>
  <c r="N60" i="4"/>
  <c r="M60" i="4"/>
  <c r="L60" i="4"/>
  <c r="AQ59" i="4"/>
  <c r="AL59" i="4"/>
  <c r="AI59" i="4"/>
  <c r="AH59" i="4"/>
  <c r="AG59" i="4"/>
  <c r="AD59" i="4"/>
  <c r="AC59" i="4"/>
  <c r="AB59" i="4"/>
  <c r="Y59" i="4"/>
  <c r="X59" i="4"/>
  <c r="W59" i="4"/>
  <c r="T59" i="4"/>
  <c r="S59" i="4"/>
  <c r="R59" i="4"/>
  <c r="M59" i="4"/>
  <c r="L59" i="4"/>
  <c r="AQ58" i="4"/>
  <c r="AL58" i="4"/>
  <c r="AG58" i="4"/>
  <c r="AB58" i="4"/>
  <c r="W58" i="4"/>
  <c r="R58" i="4"/>
  <c r="M58" i="4"/>
  <c r="L58" i="4"/>
  <c r="AY57" i="4"/>
  <c r="AX57" i="4"/>
  <c r="AW57" i="4"/>
  <c r="AV57" i="4"/>
  <c r="AT57" i="4"/>
  <c r="AQ57" i="4"/>
  <c r="AL57" i="4"/>
  <c r="AG57" i="4"/>
  <c r="AB57" i="4"/>
  <c r="W57" i="4"/>
  <c r="R57" i="4"/>
  <c r="M57" i="4"/>
  <c r="L57" i="4"/>
  <c r="AY56" i="4"/>
  <c r="AX56" i="4"/>
  <c r="AW56" i="4"/>
  <c r="AV56" i="4"/>
  <c r="AT56" i="4"/>
  <c r="AQ56" i="4"/>
  <c r="AL56" i="4"/>
  <c r="AG56" i="4"/>
  <c r="AB56" i="4"/>
  <c r="W56" i="4"/>
  <c r="R56" i="4"/>
  <c r="M56" i="4"/>
  <c r="L56" i="4"/>
  <c r="AY55" i="4"/>
  <c r="AX55" i="4"/>
  <c r="AW55" i="4"/>
  <c r="AV55" i="4"/>
  <c r="AT55" i="4"/>
  <c r="AS55" i="4"/>
  <c r="AR55" i="4"/>
  <c r="AQ55" i="4"/>
  <c r="AO55" i="4"/>
  <c r="AN55" i="4"/>
  <c r="AM55" i="4"/>
  <c r="AL55" i="4"/>
  <c r="AJ55" i="4"/>
  <c r="AI55" i="4"/>
  <c r="AH55" i="4"/>
  <c r="AG55" i="4"/>
  <c r="AE55" i="4"/>
  <c r="AD55" i="4"/>
  <c r="AC55" i="4"/>
  <c r="AB55" i="4"/>
  <c r="Z55" i="4"/>
  <c r="Y55" i="4"/>
  <c r="X55" i="4"/>
  <c r="W55" i="4"/>
  <c r="U55" i="4"/>
  <c r="T55" i="4"/>
  <c r="S55" i="4"/>
  <c r="R55" i="4"/>
  <c r="M55" i="4"/>
  <c r="L55" i="4"/>
  <c r="AQ54" i="4"/>
  <c r="AL54" i="4"/>
  <c r="AG54" i="4"/>
  <c r="AB54" i="4"/>
  <c r="W54" i="4"/>
  <c r="R54" i="4"/>
  <c r="M54" i="4"/>
  <c r="L54" i="4"/>
  <c r="AZ53" i="4"/>
  <c r="AY53" i="4"/>
  <c r="AX53" i="4"/>
  <c r="AW53" i="4"/>
  <c r="AV53" i="4"/>
  <c r="AU53" i="4"/>
  <c r="AT53" i="4"/>
  <c r="AS53" i="4"/>
  <c r="AR53" i="4"/>
  <c r="AQ53" i="4"/>
  <c r="AP53" i="4"/>
  <c r="AO53" i="4"/>
  <c r="AN53" i="4"/>
  <c r="AM53" i="4"/>
  <c r="AL53" i="4"/>
  <c r="AK53" i="4"/>
  <c r="AJ53" i="4"/>
  <c r="AI53" i="4"/>
  <c r="AH53" i="4"/>
  <c r="AG53" i="4"/>
  <c r="AF53" i="4"/>
  <c r="AE53" i="4"/>
  <c r="AD53" i="4"/>
  <c r="AC53" i="4"/>
  <c r="AB53" i="4"/>
  <c r="AA53" i="4"/>
  <c r="Z53" i="4"/>
  <c r="Y53" i="4"/>
  <c r="X53" i="4"/>
  <c r="W53" i="4"/>
  <c r="V53" i="4"/>
  <c r="U53" i="4"/>
  <c r="T53" i="4"/>
  <c r="S53" i="4"/>
  <c r="R53" i="4"/>
  <c r="Q53" i="4"/>
  <c r="P53" i="4"/>
  <c r="O53" i="4"/>
  <c r="N53" i="4"/>
  <c r="M53" i="4"/>
  <c r="L53" i="4"/>
  <c r="AQ52" i="4"/>
  <c r="AL52" i="4"/>
  <c r="AG52" i="4"/>
  <c r="AB52" i="4"/>
  <c r="W52" i="4"/>
  <c r="R52" i="4"/>
  <c r="M52" i="4"/>
  <c r="L52" i="4"/>
  <c r="P35" i="4"/>
  <c r="O35" i="4"/>
  <c r="N35" i="4"/>
  <c r="M35" i="4"/>
  <c r="K35" i="4"/>
  <c r="J35" i="4"/>
  <c r="I35" i="4"/>
  <c r="H35" i="4"/>
  <c r="F35" i="4"/>
  <c r="E35" i="4"/>
  <c r="D35" i="4"/>
  <c r="C35" i="4"/>
  <c r="AR34" i="4"/>
  <c r="AQ34" i="4"/>
  <c r="AO34" i="4"/>
  <c r="AN34" i="4"/>
  <c r="AM34" i="4"/>
  <c r="AL34" i="4"/>
  <c r="AJ34" i="4"/>
  <c r="AI34" i="4"/>
  <c r="AH34" i="4"/>
  <c r="AG34" i="4"/>
  <c r="AE34" i="4"/>
  <c r="AD34" i="4"/>
  <c r="AC34" i="4"/>
  <c r="T34" i="4"/>
  <c r="S34" i="4"/>
  <c r="R34" i="4"/>
  <c r="AV25" i="4"/>
  <c r="AT25" i="4"/>
  <c r="AA25" i="4"/>
  <c r="AM24" i="4"/>
  <c r="AL24" i="4"/>
  <c r="AJ24" i="4"/>
  <c r="AI24" i="4"/>
  <c r="AH24" i="4"/>
  <c r="AG24" i="4"/>
  <c r="AE24" i="4"/>
  <c r="AD24" i="4"/>
  <c r="AC24" i="4"/>
  <c r="AB24" i="4"/>
  <c r="Z24" i="4"/>
  <c r="Y24" i="4"/>
  <c r="X24" i="4"/>
  <c r="W24" i="4"/>
  <c r="U24" i="4"/>
  <c r="T24" i="4"/>
  <c r="S24" i="4"/>
  <c r="R24" i="4"/>
  <c r="P24" i="4"/>
  <c r="O24" i="4"/>
  <c r="N24" i="4"/>
  <c r="M24" i="4"/>
  <c r="K24" i="4"/>
  <c r="J24" i="4"/>
  <c r="I24" i="4"/>
  <c r="H24" i="4"/>
  <c r="F24" i="4"/>
  <c r="E24" i="4"/>
  <c r="D24" i="4"/>
  <c r="C24" i="4"/>
  <c r="G18" i="4"/>
  <c r="F18" i="4"/>
  <c r="E18" i="4"/>
  <c r="D18" i="4"/>
  <c r="C18" i="4"/>
  <c r="AM14" i="4"/>
  <c r="AL14" i="4"/>
  <c r="AJ14" i="4"/>
  <c r="AI14" i="4"/>
  <c r="AH14" i="4"/>
  <c r="AG14" i="4"/>
  <c r="AE14" i="4"/>
  <c r="AD14" i="4"/>
  <c r="AC14" i="4"/>
  <c r="Z14" i="4"/>
  <c r="Y14" i="4"/>
  <c r="U14" i="4"/>
  <c r="T14" i="4"/>
  <c r="P14" i="4"/>
  <c r="O14" i="4"/>
  <c r="N14" i="4"/>
  <c r="M14" i="4"/>
  <c r="AM12" i="4"/>
  <c r="AL12" i="4"/>
  <c r="AJ12" i="4"/>
  <c r="AI12" i="4"/>
  <c r="AH12" i="4"/>
  <c r="AG12" i="4"/>
  <c r="AE12" i="4"/>
  <c r="AD12" i="4"/>
  <c r="AC12" i="4"/>
  <c r="Z12" i="4"/>
  <c r="Y12" i="4"/>
  <c r="U12" i="4"/>
  <c r="T12" i="4"/>
  <c r="P12" i="4"/>
  <c r="O12" i="4"/>
  <c r="N12" i="4"/>
  <c r="M12" i="4"/>
  <c r="K12" i="4"/>
  <c r="J12" i="4"/>
  <c r="I12" i="4"/>
  <c r="H12" i="4"/>
  <c r="F12" i="4"/>
  <c r="E12" i="4"/>
  <c r="D12" i="4"/>
  <c r="C12" i="4"/>
  <c r="AR10" i="4"/>
  <c r="AQ10" i="4"/>
  <c r="AO10" i="4"/>
  <c r="AN10" i="4"/>
  <c r="AM10" i="4"/>
  <c r="AL10" i="4"/>
  <c r="AJ10" i="4"/>
  <c r="AI10" i="4"/>
  <c r="AH10" i="4"/>
  <c r="AG10" i="4"/>
  <c r="AE10" i="4"/>
  <c r="AD10" i="4"/>
  <c r="AC10" i="4"/>
  <c r="AB10" i="4"/>
  <c r="Z10" i="4"/>
  <c r="Y10" i="4"/>
  <c r="X10" i="4"/>
  <c r="W10" i="4"/>
  <c r="U10" i="4"/>
  <c r="T10" i="4"/>
  <c r="S10" i="4"/>
  <c r="R10" i="4"/>
  <c r="P10" i="4"/>
  <c r="O10" i="4"/>
  <c r="N10" i="4"/>
  <c r="M10" i="4"/>
  <c r="K10" i="4"/>
  <c r="J10" i="4"/>
  <c r="I10" i="4"/>
  <c r="H10" i="4"/>
  <c r="F10" i="4"/>
  <c r="E10" i="4"/>
  <c r="D10" i="4"/>
  <c r="C10" i="4"/>
  <c r="G8" i="4"/>
  <c r="F8" i="4"/>
  <c r="E8" i="4"/>
  <c r="D8" i="4"/>
  <c r="C8" i="4"/>
  <c r="AG7" i="4"/>
  <c r="AE7" i="4"/>
  <c r="AC7" i="4"/>
  <c r="AB7" i="4"/>
  <c r="Z7" i="4"/>
  <c r="X7" i="4"/>
  <c r="K7" i="4"/>
  <c r="J7" i="4"/>
  <c r="I7" i="4"/>
  <c r="H7" i="4"/>
  <c r="F7" i="4"/>
  <c r="E7" i="4"/>
  <c r="D7" i="4"/>
  <c r="C7" i="4"/>
  <c r="AZ5" i="4"/>
  <c r="AZ97" i="4" s="1"/>
  <c r="AY5" i="4"/>
  <c r="AY97" i="4" s="1"/>
  <c r="AX5" i="4"/>
  <c r="AX97" i="4" s="1"/>
  <c r="AW5" i="4"/>
  <c r="AW97" i="4" s="1"/>
  <c r="AV5" i="4"/>
  <c r="AV97" i="4" s="1"/>
  <c r="AU5" i="4"/>
  <c r="AU97" i="4" s="1"/>
  <c r="AT5" i="4"/>
  <c r="AT97" i="4" s="1"/>
  <c r="AS5" i="4"/>
  <c r="AS97" i="4" s="1"/>
  <c r="AR5" i="4"/>
  <c r="AR97" i="4" s="1"/>
  <c r="AQ5" i="4"/>
  <c r="AQ97" i="4" s="1"/>
  <c r="AP5" i="4"/>
  <c r="AP97" i="4" s="1"/>
  <c r="AO5" i="4"/>
  <c r="AO97" i="4" s="1"/>
  <c r="AN5" i="4"/>
  <c r="AN97" i="4" s="1"/>
  <c r="AM5" i="4"/>
  <c r="AM97" i="4" s="1"/>
  <c r="AL5" i="4"/>
  <c r="AL97" i="4" s="1"/>
  <c r="AK5" i="4"/>
  <c r="AK97" i="4" s="1"/>
  <c r="AJ5" i="4"/>
  <c r="AJ97" i="4" s="1"/>
  <c r="AI5" i="4"/>
  <c r="AI97" i="4" s="1"/>
  <c r="AH5" i="4"/>
  <c r="AH97" i="4" s="1"/>
  <c r="AG5" i="4"/>
  <c r="AG97" i="4" s="1"/>
  <c r="AF5" i="4"/>
  <c r="AF97" i="4" s="1"/>
  <c r="AE5" i="4"/>
  <c r="AE97" i="4" s="1"/>
  <c r="AD5" i="4"/>
  <c r="AD97" i="4" s="1"/>
  <c r="AC5" i="4"/>
  <c r="AC97" i="4" s="1"/>
  <c r="AB5" i="4"/>
  <c r="AB97" i="4" s="1"/>
  <c r="AA5" i="4"/>
  <c r="AA97" i="4" s="1"/>
  <c r="Z5" i="4"/>
  <c r="Z97" i="4" s="1"/>
  <c r="Y5" i="4"/>
  <c r="Y97" i="4" s="1"/>
  <c r="X5" i="4"/>
  <c r="X97" i="4" s="1"/>
  <c r="W5" i="4"/>
  <c r="W97" i="4" s="1"/>
  <c r="V5" i="4"/>
  <c r="V97" i="4" s="1"/>
  <c r="U5" i="4"/>
  <c r="U97" i="4" s="1"/>
  <c r="T5" i="4"/>
  <c r="T97" i="4" s="1"/>
  <c r="S5" i="4"/>
  <c r="S97" i="4" s="1"/>
  <c r="R5" i="4"/>
  <c r="R97" i="4" s="1"/>
  <c r="Q5" i="4"/>
  <c r="Q97" i="4" s="1"/>
  <c r="P5" i="4"/>
  <c r="P97" i="4" s="1"/>
  <c r="O5" i="4"/>
  <c r="O97" i="4" s="1"/>
  <c r="N5" i="4"/>
  <c r="N97" i="4" s="1"/>
  <c r="M5" i="4"/>
  <c r="M97" i="4" s="1"/>
  <c r="L5" i="4"/>
  <c r="L97" i="4" s="1"/>
  <c r="K5" i="4"/>
  <c r="K97" i="4" s="1"/>
  <c r="J5" i="4"/>
  <c r="J97" i="4" s="1"/>
  <c r="I5" i="4"/>
  <c r="I97" i="4" s="1"/>
  <c r="H5" i="4"/>
  <c r="H97" i="4" s="1"/>
  <c r="G5" i="4"/>
  <c r="G97" i="4" s="1"/>
  <c r="F5" i="4"/>
  <c r="F97" i="4" s="1"/>
  <c r="E5" i="4"/>
  <c r="E50" i="4" s="1"/>
  <c r="D5" i="4"/>
  <c r="D97" i="4" s="1"/>
  <c r="C5" i="4"/>
  <c r="C50" i="4" s="1"/>
  <c r="L38" i="1"/>
  <c r="K38" i="1"/>
  <c r="J38" i="1"/>
  <c r="I38" i="1"/>
  <c r="L35" i="1"/>
  <c r="K35" i="1"/>
  <c r="J35" i="1"/>
  <c r="I35" i="1"/>
  <c r="AG299" i="2"/>
  <c r="W299" i="2"/>
  <c r="M299" i="2"/>
  <c r="L299" i="2"/>
  <c r="K299" i="2"/>
  <c r="J299" i="2"/>
  <c r="I299" i="2"/>
  <c r="H299" i="2"/>
  <c r="G299" i="2"/>
  <c r="AO297" i="2"/>
  <c r="AN297" i="2"/>
  <c r="AM297" i="2"/>
  <c r="AL297" i="2"/>
  <c r="AJ297" i="2"/>
  <c r="AH297" i="2"/>
  <c r="AG297" i="2"/>
  <c r="AD297" i="2"/>
  <c r="AC297" i="2"/>
  <c r="AB297" i="2"/>
  <c r="Z297" i="2"/>
  <c r="Y297" i="2"/>
  <c r="X297" i="2"/>
  <c r="W297" i="2"/>
  <c r="U297" i="2"/>
  <c r="T297" i="2"/>
  <c r="S297" i="2"/>
  <c r="R297" i="2"/>
  <c r="P297" i="2"/>
  <c r="K297" i="2"/>
  <c r="J297" i="2"/>
  <c r="I297" i="2"/>
  <c r="H297" i="2"/>
  <c r="G297" i="2"/>
  <c r="AI296" i="2"/>
  <c r="AE296" i="2"/>
  <c r="AC296" i="2"/>
  <c r="S290" i="2"/>
  <c r="S291" i="2" s="1"/>
  <c r="AJ288" i="2"/>
  <c r="W288" i="2"/>
  <c r="W290" i="2" s="1"/>
  <c r="W291" i="2" s="1"/>
  <c r="U288" i="2"/>
  <c r="T288" i="2"/>
  <c r="Y272" i="2"/>
  <c r="Z272" i="2" s="1"/>
  <c r="AB272" i="2" s="1"/>
  <c r="AC272" i="2" s="1"/>
  <c r="AD272" i="2" s="1"/>
  <c r="AE272" i="2" s="1"/>
  <c r="T272" i="2"/>
  <c r="U272" i="2" s="1"/>
  <c r="Z271" i="2"/>
  <c r="AO270" i="2"/>
  <c r="AN270" i="2"/>
  <c r="AM270" i="2"/>
  <c r="AL270" i="2"/>
  <c r="AJ270" i="2"/>
  <c r="AI270" i="2"/>
  <c r="AH270" i="2"/>
  <c r="AG270" i="2"/>
  <c r="AC271" i="2"/>
  <c r="AD271" i="2" s="1"/>
  <c r="AE271" i="2" s="1"/>
  <c r="T270" i="2"/>
  <c r="U270" i="2" s="1"/>
  <c r="AW267" i="2"/>
  <c r="AX267" i="2" s="1"/>
  <c r="AY267" i="2" s="1"/>
  <c r="AG267" i="2"/>
  <c r="AB267" i="2"/>
  <c r="AW266" i="2"/>
  <c r="AX266" i="2" s="1"/>
  <c r="AY266" i="2" s="1"/>
  <c r="BB266" i="2" s="1"/>
  <c r="BC266" i="2" s="1"/>
  <c r="BD266" i="2" s="1"/>
  <c r="BB265" i="2"/>
  <c r="BC265" i="2" s="1"/>
  <c r="BD265" i="2" s="1"/>
  <c r="BB264" i="2"/>
  <c r="BC264" i="2" s="1"/>
  <c r="BD264" i="2" s="1"/>
  <c r="AY265" i="2"/>
  <c r="AW264" i="2"/>
  <c r="AX264" i="2" s="1"/>
  <c r="AY264" i="2" s="1"/>
  <c r="AG266" i="2"/>
  <c r="AG265" i="2"/>
  <c r="AG264" i="2"/>
  <c r="AE266" i="2"/>
  <c r="AC266" i="2"/>
  <c r="AB266" i="2"/>
  <c r="AE265" i="2"/>
  <c r="AC265" i="2"/>
  <c r="AB265" i="2"/>
  <c r="AE264" i="2"/>
  <c r="AC264" i="2"/>
  <c r="AB264" i="2"/>
  <c r="Z266" i="2"/>
  <c r="X266" i="2"/>
  <c r="Z265" i="2"/>
  <c r="X265" i="2"/>
  <c r="Z264" i="2"/>
  <c r="X264" i="2"/>
  <c r="AD255" i="2"/>
  <c r="AD256" i="2" s="1"/>
  <c r="Z255" i="2"/>
  <c r="Z256" i="2" s="1"/>
  <c r="W255" i="2"/>
  <c r="W256" i="2" s="1"/>
  <c r="U255" i="2"/>
  <c r="T255" i="2"/>
  <c r="T256" i="2" s="1"/>
  <c r="S255" i="2"/>
  <c r="S256" i="2" s="1"/>
  <c r="R255" i="2"/>
  <c r="K255" i="2"/>
  <c r="G255" i="2"/>
  <c r="F253" i="2"/>
  <c r="E253" i="2"/>
  <c r="D253" i="2"/>
  <c r="C253" i="2"/>
  <c r="AR250" i="2"/>
  <c r="AQ250" i="2"/>
  <c r="AQ136" i="4" s="1"/>
  <c r="AO250" i="2"/>
  <c r="AO136" i="4" s="1"/>
  <c r="AN250" i="2"/>
  <c r="AN136" i="4" s="1"/>
  <c r="AM250" i="2"/>
  <c r="AJ250" i="2"/>
  <c r="AJ136" i="4" s="1"/>
  <c r="AI250" i="2"/>
  <c r="AI136" i="4" s="1"/>
  <c r="AH250" i="2"/>
  <c r="AH136" i="4" s="1"/>
  <c r="AG250" i="2"/>
  <c r="AG136" i="4" s="1"/>
  <c r="AE250" i="2"/>
  <c r="AE136" i="4" s="1"/>
  <c r="AB250" i="2"/>
  <c r="AB136" i="4" s="1"/>
  <c r="Z250" i="2"/>
  <c r="Z136" i="4" s="1"/>
  <c r="Y250" i="2"/>
  <c r="Y136" i="4" s="1"/>
  <c r="X250" i="2"/>
  <c r="X136" i="4" s="1"/>
  <c r="W250" i="2"/>
  <c r="W136" i="4" s="1"/>
  <c r="U250" i="2"/>
  <c r="U136" i="4" s="1"/>
  <c r="T250" i="2"/>
  <c r="T136" i="4" s="1"/>
  <c r="P250" i="2"/>
  <c r="P136" i="4" s="1"/>
  <c r="O250" i="2"/>
  <c r="O136" i="4" s="1"/>
  <c r="N250" i="2"/>
  <c r="N136" i="4" s="1"/>
  <c r="M250" i="2"/>
  <c r="M136" i="4" s="1"/>
  <c r="K250" i="2"/>
  <c r="G250" i="2"/>
  <c r="G136" i="4" s="1"/>
  <c r="AP249" i="2"/>
  <c r="AP134" i="4" s="1"/>
  <c r="AP248" i="2"/>
  <c r="AP133" i="4" s="1"/>
  <c r="AP247" i="2"/>
  <c r="AP132" i="4" s="1"/>
  <c r="AP246" i="2"/>
  <c r="AP131" i="4" s="1"/>
  <c r="AP245" i="2"/>
  <c r="AF249" i="2"/>
  <c r="AF134" i="4" s="1"/>
  <c r="AF248" i="2"/>
  <c r="AF133" i="4" s="1"/>
  <c r="AF247" i="2"/>
  <c r="AF132" i="4" s="1"/>
  <c r="AF246" i="2"/>
  <c r="AF131" i="4" s="1"/>
  <c r="AF245" i="2"/>
  <c r="AA249" i="2"/>
  <c r="AA134" i="4" s="1"/>
  <c r="AA248" i="2"/>
  <c r="AA133" i="4" s="1"/>
  <c r="AA247" i="2"/>
  <c r="AA132" i="4" s="1"/>
  <c r="AA246" i="2"/>
  <c r="AA131" i="4" s="1"/>
  <c r="AA245" i="2"/>
  <c r="AA130" i="4" s="1"/>
  <c r="V249" i="2"/>
  <c r="V134" i="4" s="1"/>
  <c r="V248" i="2"/>
  <c r="V133" i="4" s="1"/>
  <c r="V247" i="2"/>
  <c r="V132" i="4" s="1"/>
  <c r="V246" i="2"/>
  <c r="V131" i="4" s="1"/>
  <c r="V245" i="2"/>
  <c r="Q249" i="2"/>
  <c r="Q134" i="4" s="1"/>
  <c r="Q248" i="2"/>
  <c r="Q133" i="4" s="1"/>
  <c r="Q247" i="2"/>
  <c r="Q132" i="4" s="1"/>
  <c r="Q246" i="2"/>
  <c r="Q131" i="4" s="1"/>
  <c r="Q245" i="2"/>
  <c r="Q130" i="4" s="1"/>
  <c r="L249" i="2"/>
  <c r="L134" i="4" s="1"/>
  <c r="L248" i="2"/>
  <c r="L133" i="4" s="1"/>
  <c r="L247" i="2"/>
  <c r="L132" i="4" s="1"/>
  <c r="L246" i="2"/>
  <c r="L131" i="4" s="1"/>
  <c r="L245" i="2"/>
  <c r="S246" i="2"/>
  <c r="S250" i="2" s="1"/>
  <c r="S136" i="4" s="1"/>
  <c r="R246" i="2"/>
  <c r="R250" i="2" s="1"/>
  <c r="R136" i="4" s="1"/>
  <c r="AT245" i="2"/>
  <c r="AS130" i="4"/>
  <c r="AK249" i="2"/>
  <c r="AK134" i="4" s="1"/>
  <c r="AL133" i="4"/>
  <c r="AK248" i="2"/>
  <c r="AK133" i="4" s="1"/>
  <c r="AK247" i="2"/>
  <c r="AK132" i="4" s="1"/>
  <c r="AL131" i="4"/>
  <c r="AK246" i="2"/>
  <c r="AK131" i="4" s="1"/>
  <c r="AL130" i="4"/>
  <c r="AK245" i="2"/>
  <c r="AS135" i="4"/>
  <c r="AP243" i="2"/>
  <c r="AP135" i="4" s="1"/>
  <c r="AL135" i="4"/>
  <c r="AK243" i="2"/>
  <c r="AK135" i="4" s="1"/>
  <c r="AF243" i="2"/>
  <c r="AF135" i="4" s="1"/>
  <c r="AA243" i="2"/>
  <c r="AA135" i="4" s="1"/>
  <c r="V243" i="2"/>
  <c r="V135" i="4" s="1"/>
  <c r="Q243" i="2"/>
  <c r="Q135" i="4" s="1"/>
  <c r="L243" i="2"/>
  <c r="L135" i="4" s="1"/>
  <c r="AP240" i="2"/>
  <c r="AP127" i="4" s="1"/>
  <c r="AP239" i="2"/>
  <c r="AP126" i="4" s="1"/>
  <c r="AP238" i="2"/>
  <c r="AP125" i="4" s="1"/>
  <c r="AP236" i="2"/>
  <c r="AP123" i="4" s="1"/>
  <c r="AP235" i="2"/>
  <c r="AP122" i="4" s="1"/>
  <c r="AP232" i="2"/>
  <c r="AP119" i="4" s="1"/>
  <c r="AP231" i="2"/>
  <c r="AP118" i="4" s="1"/>
  <c r="AP226" i="2"/>
  <c r="AP115" i="4" s="1"/>
  <c r="AP225" i="2"/>
  <c r="AP114" i="4" s="1"/>
  <c r="AP224" i="2"/>
  <c r="AP113" i="4" s="1"/>
  <c r="AK240" i="2"/>
  <c r="AK127" i="4" s="1"/>
  <c r="AK239" i="2"/>
  <c r="AK126" i="4" s="1"/>
  <c r="AK238" i="2"/>
  <c r="AK125" i="4" s="1"/>
  <c r="AK236" i="2"/>
  <c r="AK123" i="4" s="1"/>
  <c r="AK233" i="2"/>
  <c r="AK120" i="4" s="1"/>
  <c r="AK232" i="2"/>
  <c r="AK119" i="4" s="1"/>
  <c r="AK231" i="2"/>
  <c r="AK118" i="4" s="1"/>
  <c r="AK228" i="2"/>
  <c r="AK117" i="4" s="1"/>
  <c r="AK227" i="2"/>
  <c r="AK116" i="4" s="1"/>
  <c r="AK226" i="2"/>
  <c r="AK115" i="4" s="1"/>
  <c r="AK225" i="2"/>
  <c r="AK114" i="4" s="1"/>
  <c r="AK224" i="2"/>
  <c r="AF240" i="2"/>
  <c r="AF127" i="4" s="1"/>
  <c r="AF239" i="2"/>
  <c r="AF126" i="4" s="1"/>
  <c r="AF238" i="2"/>
  <c r="AF125" i="4" s="1"/>
  <c r="AF236" i="2"/>
  <c r="AF123" i="4" s="1"/>
  <c r="AF233" i="2"/>
  <c r="AF120" i="4" s="1"/>
  <c r="AF232" i="2"/>
  <c r="AF119" i="4" s="1"/>
  <c r="AF231" i="2"/>
  <c r="AF118" i="4" s="1"/>
  <c r="AF228" i="2"/>
  <c r="AF117" i="4" s="1"/>
  <c r="AF227" i="2"/>
  <c r="AF226" i="2"/>
  <c r="AF115" i="4" s="1"/>
  <c r="AF225" i="2"/>
  <c r="AF114" i="4" s="1"/>
  <c r="AF224" i="2"/>
  <c r="AA240" i="2"/>
  <c r="AA127" i="4" s="1"/>
  <c r="AA239" i="2"/>
  <c r="AA126" i="4" s="1"/>
  <c r="AA238" i="2"/>
  <c r="AA125" i="4" s="1"/>
  <c r="AA237" i="2"/>
  <c r="AA124" i="4" s="1"/>
  <c r="AA236" i="2"/>
  <c r="AA123" i="4" s="1"/>
  <c r="AA235" i="2"/>
  <c r="AA122" i="4" s="1"/>
  <c r="AA233" i="2"/>
  <c r="AA120" i="4" s="1"/>
  <c r="AA232" i="2"/>
  <c r="AA119" i="4" s="1"/>
  <c r="AA231" i="2"/>
  <c r="AA118" i="4" s="1"/>
  <c r="AA228" i="2"/>
  <c r="AA117" i="4" s="1"/>
  <c r="AA227" i="2"/>
  <c r="AA116" i="4" s="1"/>
  <c r="AA226" i="2"/>
  <c r="AA115" i="4" s="1"/>
  <c r="AA225" i="2"/>
  <c r="AA114" i="4" s="1"/>
  <c r="AA224" i="2"/>
  <c r="V240" i="2"/>
  <c r="V127" i="4" s="1"/>
  <c r="V239" i="2"/>
  <c r="V126" i="4" s="1"/>
  <c r="V238" i="2"/>
  <c r="V125" i="4" s="1"/>
  <c r="V237" i="2"/>
  <c r="V124" i="4" s="1"/>
  <c r="V236" i="2"/>
  <c r="V123" i="4" s="1"/>
  <c r="V235" i="2"/>
  <c r="V122" i="4" s="1"/>
  <c r="V233" i="2"/>
  <c r="V120" i="4" s="1"/>
  <c r="V232" i="2"/>
  <c r="V119" i="4" s="1"/>
  <c r="V231" i="2"/>
  <c r="V118" i="4" s="1"/>
  <c r="V228" i="2"/>
  <c r="V117" i="4" s="1"/>
  <c r="V227" i="2"/>
  <c r="V226" i="2"/>
  <c r="V115" i="4" s="1"/>
  <c r="V225" i="2"/>
  <c r="V114" i="4" s="1"/>
  <c r="V224" i="2"/>
  <c r="R240" i="2"/>
  <c r="R127" i="4" s="1"/>
  <c r="Q240" i="2"/>
  <c r="Q127" i="4" s="1"/>
  <c r="L240" i="2"/>
  <c r="L127" i="4" s="1"/>
  <c r="L239" i="2"/>
  <c r="L126" i="4" s="1"/>
  <c r="L238" i="2"/>
  <c r="L125" i="4" s="1"/>
  <c r="L237" i="2"/>
  <c r="L124" i="4" s="1"/>
  <c r="L236" i="2"/>
  <c r="L123" i="4" s="1"/>
  <c r="L235" i="2"/>
  <c r="L122" i="4" s="1"/>
  <c r="L233" i="2"/>
  <c r="L120" i="4" s="1"/>
  <c r="L232" i="2"/>
  <c r="L119" i="4" s="1"/>
  <c r="L231" i="2"/>
  <c r="L118" i="4" s="1"/>
  <c r="L228" i="2"/>
  <c r="L117" i="4" s="1"/>
  <c r="L227" i="2"/>
  <c r="L116" i="4" s="1"/>
  <c r="L226" i="2"/>
  <c r="L115" i="4" s="1"/>
  <c r="L225" i="2"/>
  <c r="L114" i="4" s="1"/>
  <c r="L224" i="2"/>
  <c r="Q239" i="2"/>
  <c r="Q126" i="4" s="1"/>
  <c r="Q238" i="2"/>
  <c r="Q125" i="4" s="1"/>
  <c r="Q237" i="2"/>
  <c r="Q124" i="4" s="1"/>
  <c r="Q236" i="2"/>
  <c r="Q123" i="4" s="1"/>
  <c r="Q235" i="2"/>
  <c r="Q122" i="4" s="1"/>
  <c r="Q233" i="2"/>
  <c r="Q120" i="4" s="1"/>
  <c r="Q232" i="2"/>
  <c r="Q119" i="4" s="1"/>
  <c r="Q231" i="2"/>
  <c r="Q118" i="4" s="1"/>
  <c r="Q227" i="2"/>
  <c r="Q116" i="4" s="1"/>
  <c r="Q226" i="2"/>
  <c r="Q115" i="4" s="1"/>
  <c r="Q225" i="2"/>
  <c r="Q114" i="4" s="1"/>
  <c r="Q224" i="2"/>
  <c r="AS237" i="2"/>
  <c r="AR237" i="2"/>
  <c r="AR124" i="4" s="1"/>
  <c r="AQ237" i="2"/>
  <c r="AQ124" i="4" s="1"/>
  <c r="AO237" i="2"/>
  <c r="AP237" i="2" s="1"/>
  <c r="AP124" i="4" s="1"/>
  <c r="AN124" i="4"/>
  <c r="AM124" i="4"/>
  <c r="AL124" i="4"/>
  <c r="AK237" i="2"/>
  <c r="AK124" i="4" s="1"/>
  <c r="AI237" i="2"/>
  <c r="AI124" i="4" s="1"/>
  <c r="AH237" i="2"/>
  <c r="AH124" i="4" s="1"/>
  <c r="AG237" i="2"/>
  <c r="AG124" i="4" s="1"/>
  <c r="AE237" i="2"/>
  <c r="AF237" i="2" s="1"/>
  <c r="AF124" i="4" s="1"/>
  <c r="AD237" i="2"/>
  <c r="AD124" i="4" s="1"/>
  <c r="AC237" i="2"/>
  <c r="AC124" i="4" s="1"/>
  <c r="O236" i="2"/>
  <c r="O123" i="4" s="1"/>
  <c r="N236" i="2"/>
  <c r="N123" i="4" s="1"/>
  <c r="M236" i="2"/>
  <c r="M123" i="4" s="1"/>
  <c r="AE234" i="2"/>
  <c r="AN234" i="2"/>
  <c r="AN121" i="4" s="1"/>
  <c r="AM234" i="2"/>
  <c r="AM121" i="4" s="1"/>
  <c r="AL234" i="2"/>
  <c r="AL121" i="4" s="1"/>
  <c r="AJ234" i="2"/>
  <c r="AJ121" i="4" s="1"/>
  <c r="AD234" i="2"/>
  <c r="AC234" i="2"/>
  <c r="AC121" i="4" s="1"/>
  <c r="AB234" i="2"/>
  <c r="Z234" i="2"/>
  <c r="Y234" i="2"/>
  <c r="Y121" i="4" s="1"/>
  <c r="U234" i="2"/>
  <c r="S234" i="2"/>
  <c r="K234" i="2"/>
  <c r="K241" i="2" s="1"/>
  <c r="G234" i="2"/>
  <c r="AS120" i="4"/>
  <c r="AR120" i="4"/>
  <c r="AQ120" i="4"/>
  <c r="AP233" i="2"/>
  <c r="AP120" i="4" s="1"/>
  <c r="AI120" i="4"/>
  <c r="AH234" i="2"/>
  <c r="X120" i="4"/>
  <c r="W234" i="2"/>
  <c r="T234" i="2"/>
  <c r="R233" i="2"/>
  <c r="R234" i="2" s="1"/>
  <c r="AP228" i="2"/>
  <c r="AP117" i="4" s="1"/>
  <c r="P228" i="2"/>
  <c r="P255" i="2" s="1"/>
  <c r="O228" i="2"/>
  <c r="N228" i="2"/>
  <c r="N117" i="4" s="1"/>
  <c r="M228" i="2"/>
  <c r="M255" i="2" s="1"/>
  <c r="AS255" i="2"/>
  <c r="AR255" i="2"/>
  <c r="AQ255" i="2"/>
  <c r="AG116" i="4"/>
  <c r="AV236" i="2"/>
  <c r="AP220" i="2"/>
  <c r="AP110" i="4" s="1"/>
  <c r="AP219" i="2"/>
  <c r="AP109" i="4" s="1"/>
  <c r="AP218" i="2"/>
  <c r="AP108" i="4" s="1"/>
  <c r="AP217" i="2"/>
  <c r="AP107" i="4" s="1"/>
  <c r="AP216" i="2"/>
  <c r="AP106" i="4" s="1"/>
  <c r="AP215" i="2"/>
  <c r="AP105" i="4" s="1"/>
  <c r="AP213" i="2"/>
  <c r="AP103" i="4" s="1"/>
  <c r="AP212" i="2"/>
  <c r="AP102" i="4" s="1"/>
  <c r="AP211" i="2"/>
  <c r="AP101" i="4" s="1"/>
  <c r="AP210" i="2"/>
  <c r="AP100" i="4" s="1"/>
  <c r="AP209" i="2"/>
  <c r="AP99" i="4" s="1"/>
  <c r="AP208" i="2"/>
  <c r="AK220" i="2"/>
  <c r="AK110" i="4" s="1"/>
  <c r="AK219" i="2"/>
  <c r="AK109" i="4" s="1"/>
  <c r="AK218" i="2"/>
  <c r="AK108" i="4" s="1"/>
  <c r="AK217" i="2"/>
  <c r="AK107" i="4" s="1"/>
  <c r="AK216" i="2"/>
  <c r="AK106" i="4" s="1"/>
  <c r="AK215" i="2"/>
  <c r="AK105" i="4" s="1"/>
  <c r="AK213" i="2"/>
  <c r="AK103" i="4" s="1"/>
  <c r="AK212" i="2"/>
  <c r="AK102" i="4" s="1"/>
  <c r="AK211" i="2"/>
  <c r="AK101" i="4" s="1"/>
  <c r="AK210" i="2"/>
  <c r="AK100" i="4" s="1"/>
  <c r="AK209" i="2"/>
  <c r="AK99" i="4" s="1"/>
  <c r="AK208" i="2"/>
  <c r="AF220" i="2"/>
  <c r="AF110" i="4" s="1"/>
  <c r="AF219" i="2"/>
  <c r="AF109" i="4" s="1"/>
  <c r="AF218" i="2"/>
  <c r="AF108" i="4" s="1"/>
  <c r="AF217" i="2"/>
  <c r="AF107" i="4" s="1"/>
  <c r="AF216" i="2"/>
  <c r="AF106" i="4" s="1"/>
  <c r="AF215" i="2"/>
  <c r="AF105" i="4" s="1"/>
  <c r="AF213" i="2"/>
  <c r="AF103" i="4" s="1"/>
  <c r="AF212" i="2"/>
  <c r="AF102" i="4" s="1"/>
  <c r="AF211" i="2"/>
  <c r="AF101" i="4" s="1"/>
  <c r="AF210" i="2"/>
  <c r="AF100" i="4" s="1"/>
  <c r="AF209" i="2"/>
  <c r="AF99" i="4" s="1"/>
  <c r="AF208" i="2"/>
  <c r="AA220" i="2"/>
  <c r="AA110" i="4" s="1"/>
  <c r="AA219" i="2"/>
  <c r="AA109" i="4" s="1"/>
  <c r="AA218" i="2"/>
  <c r="AA108" i="4" s="1"/>
  <c r="AA217" i="2"/>
  <c r="AA107" i="4" s="1"/>
  <c r="AA216" i="2"/>
  <c r="AA106" i="4" s="1"/>
  <c r="AA215" i="2"/>
  <c r="AA105" i="4" s="1"/>
  <c r="AA213" i="2"/>
  <c r="AA103" i="4" s="1"/>
  <c r="AA212" i="2"/>
  <c r="AA102" i="4" s="1"/>
  <c r="AA211" i="2"/>
  <c r="AA101" i="4" s="1"/>
  <c r="AA210" i="2"/>
  <c r="AA100" i="4" s="1"/>
  <c r="AA209" i="2"/>
  <c r="AA99" i="4" s="1"/>
  <c r="AA208" i="2"/>
  <c r="V220" i="2"/>
  <c r="V110" i="4" s="1"/>
  <c r="V219" i="2"/>
  <c r="V109" i="4" s="1"/>
  <c r="V218" i="2"/>
  <c r="V108" i="4" s="1"/>
  <c r="V217" i="2"/>
  <c r="V107" i="4" s="1"/>
  <c r="V216" i="2"/>
  <c r="V106" i="4" s="1"/>
  <c r="V215" i="2"/>
  <c r="V105" i="4" s="1"/>
  <c r="V213" i="2"/>
  <c r="V103" i="4" s="1"/>
  <c r="V212" i="2"/>
  <c r="V102" i="4" s="1"/>
  <c r="V211" i="2"/>
  <c r="V101" i="4" s="1"/>
  <c r="V210" i="2"/>
  <c r="V100" i="4" s="1"/>
  <c r="V209" i="2"/>
  <c r="V99" i="4" s="1"/>
  <c r="V208" i="2"/>
  <c r="Q220" i="2"/>
  <c r="Q110" i="4" s="1"/>
  <c r="Q219" i="2"/>
  <c r="Q109" i="4" s="1"/>
  <c r="Q218" i="2"/>
  <c r="Q108" i="4" s="1"/>
  <c r="Q217" i="2"/>
  <c r="Q107" i="4" s="1"/>
  <c r="Q216" i="2"/>
  <c r="Q106" i="4" s="1"/>
  <c r="Q215" i="2"/>
  <c r="Q105" i="4" s="1"/>
  <c r="Q213" i="2"/>
  <c r="Q103" i="4" s="1"/>
  <c r="Q212" i="2"/>
  <c r="Q102" i="4" s="1"/>
  <c r="Q211" i="2"/>
  <c r="Q101" i="4" s="1"/>
  <c r="Q210" i="2"/>
  <c r="Q100" i="4" s="1"/>
  <c r="Q209" i="2"/>
  <c r="Q99" i="4" s="1"/>
  <c r="Q208" i="2"/>
  <c r="L220" i="2"/>
  <c r="L110" i="4" s="1"/>
  <c r="L219" i="2"/>
  <c r="L109" i="4" s="1"/>
  <c r="L218" i="2"/>
  <c r="L108" i="4" s="1"/>
  <c r="L217" i="2"/>
  <c r="L107" i="4" s="1"/>
  <c r="L216" i="2"/>
  <c r="L106" i="4" s="1"/>
  <c r="L215" i="2"/>
  <c r="L105" i="4" s="1"/>
  <c r="L213" i="2"/>
  <c r="L103" i="4" s="1"/>
  <c r="L212" i="2"/>
  <c r="L102" i="4" s="1"/>
  <c r="L211" i="2"/>
  <c r="L101" i="4" s="1"/>
  <c r="L210" i="2"/>
  <c r="L100" i="4" s="1"/>
  <c r="L209" i="2"/>
  <c r="L99" i="4" s="1"/>
  <c r="L208" i="2"/>
  <c r="AS214" i="2"/>
  <c r="AR214" i="2"/>
  <c r="AR104" i="4" s="1"/>
  <c r="AQ214" i="2"/>
  <c r="AO214" i="2"/>
  <c r="AN214" i="2"/>
  <c r="AM214" i="2"/>
  <c r="AL214" i="2"/>
  <c r="AJ214" i="2"/>
  <c r="AI214" i="2"/>
  <c r="AH214" i="2"/>
  <c r="AH104" i="4" s="1"/>
  <c r="AG214" i="2"/>
  <c r="AE214" i="2"/>
  <c r="AD214" i="2"/>
  <c r="AC214" i="2"/>
  <c r="AB214" i="2"/>
  <c r="Z214" i="2"/>
  <c r="Y214" i="2"/>
  <c r="X214" i="2"/>
  <c r="X104" i="4" s="1"/>
  <c r="W214" i="2"/>
  <c r="U214" i="2"/>
  <c r="T214" i="2"/>
  <c r="S214" i="2"/>
  <c r="R214" i="2"/>
  <c r="P214" i="2"/>
  <c r="O214" i="2"/>
  <c r="N214" i="2"/>
  <c r="N104" i="4" s="1"/>
  <c r="M214" i="2"/>
  <c r="K214" i="2"/>
  <c r="K221" i="2" s="1"/>
  <c r="G214" i="2"/>
  <c r="AV218" i="2"/>
  <c r="BE206" i="2"/>
  <c r="BD206" i="2"/>
  <c r="BC206" i="2"/>
  <c r="BB206" i="2"/>
  <c r="BA206" i="2"/>
  <c r="AZ206" i="2"/>
  <c r="AY206" i="2"/>
  <c r="AX206" i="2"/>
  <c r="AW206" i="2"/>
  <c r="AV206" i="2"/>
  <c r="AU206" i="2"/>
  <c r="AT206" i="2"/>
  <c r="AS206" i="2"/>
  <c r="AR206" i="2"/>
  <c r="AQ206" i="2"/>
  <c r="AP206" i="2"/>
  <c r="AO206" i="2"/>
  <c r="AN206" i="2"/>
  <c r="AM206" i="2"/>
  <c r="AL206" i="2"/>
  <c r="AK206" i="2"/>
  <c r="AJ206" i="2"/>
  <c r="AI206" i="2"/>
  <c r="AH206" i="2"/>
  <c r="AG206" i="2"/>
  <c r="AF206" i="2"/>
  <c r="AE206" i="2"/>
  <c r="AD206" i="2"/>
  <c r="AC206" i="2"/>
  <c r="AB206" i="2"/>
  <c r="AA206" i="2"/>
  <c r="Z206" i="2"/>
  <c r="Y206" i="2"/>
  <c r="X206" i="2"/>
  <c r="W206" i="2"/>
  <c r="V206" i="2"/>
  <c r="U206" i="2"/>
  <c r="T206" i="2"/>
  <c r="S206" i="2"/>
  <c r="R206" i="2"/>
  <c r="Q206" i="2"/>
  <c r="P206" i="2"/>
  <c r="O206" i="2"/>
  <c r="N206" i="2"/>
  <c r="M206" i="2"/>
  <c r="L206" i="2"/>
  <c r="K206" i="2"/>
  <c r="J206" i="2"/>
  <c r="I206" i="2"/>
  <c r="H206" i="2"/>
  <c r="G206" i="2"/>
  <c r="F206" i="2"/>
  <c r="E206" i="2"/>
  <c r="D206" i="2"/>
  <c r="C206" i="2"/>
  <c r="BA188" i="2"/>
  <c r="BA92" i="4" s="1"/>
  <c r="AV188" i="2"/>
  <c r="AV92" i="4" s="1"/>
  <c r="W188" i="2"/>
  <c r="W92" i="4" s="1"/>
  <c r="M188" i="2"/>
  <c r="M92" i="4" s="1"/>
  <c r="L188" i="2"/>
  <c r="L92" i="4" s="1"/>
  <c r="BE187" i="2"/>
  <c r="BE91" i="4" s="1"/>
  <c r="BE186" i="2"/>
  <c r="BE90" i="4" s="1"/>
  <c r="BE185" i="2"/>
  <c r="BE89" i="4" s="1"/>
  <c r="BE182" i="2"/>
  <c r="BE88" i="4" s="1"/>
  <c r="BE181" i="2"/>
  <c r="BE87" i="4" s="1"/>
  <c r="BE180" i="2"/>
  <c r="BE86" i="4" s="1"/>
  <c r="BE178" i="2"/>
  <c r="BE84" i="4" s="1"/>
  <c r="BE177" i="2"/>
  <c r="BE83" i="4" s="1"/>
  <c r="BE176" i="2"/>
  <c r="BE82" i="4" s="1"/>
  <c r="AZ187" i="2"/>
  <c r="AZ91" i="4" s="1"/>
  <c r="AZ186" i="2"/>
  <c r="AZ90" i="4" s="1"/>
  <c r="AZ185" i="2"/>
  <c r="AZ89" i="4" s="1"/>
  <c r="AZ182" i="2"/>
  <c r="AZ88" i="4" s="1"/>
  <c r="AZ181" i="2"/>
  <c r="AZ87" i="4" s="1"/>
  <c r="AZ180" i="2"/>
  <c r="AZ86" i="4" s="1"/>
  <c r="AZ178" i="2"/>
  <c r="AZ84" i="4" s="1"/>
  <c r="AZ177" i="2"/>
  <c r="AZ83" i="4" s="1"/>
  <c r="AZ176" i="2"/>
  <c r="AZ82" i="4" s="1"/>
  <c r="AU176" i="2"/>
  <c r="AU82" i="4" s="1"/>
  <c r="AM187" i="2"/>
  <c r="AM91" i="4" s="1"/>
  <c r="X187" i="2"/>
  <c r="X91" i="4" s="1"/>
  <c r="N187" i="2"/>
  <c r="N91" i="4" s="1"/>
  <c r="AQ90" i="4"/>
  <c r="AN186" i="2"/>
  <c r="AO186" i="2" s="1"/>
  <c r="AG187" i="2"/>
  <c r="AG91" i="4" s="1"/>
  <c r="AC187" i="2"/>
  <c r="AC91" i="4" s="1"/>
  <c r="AG90" i="4"/>
  <c r="AA186" i="2"/>
  <c r="AA90" i="4" s="1"/>
  <c r="AA181" i="2"/>
  <c r="AA87" i="4" s="1"/>
  <c r="AA177" i="2"/>
  <c r="AA83" i="4" s="1"/>
  <c r="AA176" i="2"/>
  <c r="AA82" i="4" s="1"/>
  <c r="Q186" i="2"/>
  <c r="Q90" i="4" s="1"/>
  <c r="Q185" i="2"/>
  <c r="Q89" i="4" s="1"/>
  <c r="Q182" i="2"/>
  <c r="Q88" i="4" s="1"/>
  <c r="Q181" i="2"/>
  <c r="Q87" i="4" s="1"/>
  <c r="Q177" i="2"/>
  <c r="Q83" i="4" s="1"/>
  <c r="Q176" i="2"/>
  <c r="Q82" i="4" s="1"/>
  <c r="AR187" i="2"/>
  <c r="AS186" i="2"/>
  <c r="AR185" i="2"/>
  <c r="AH185" i="2"/>
  <c r="AR182" i="2"/>
  <c r="AR88" i="4" s="1"/>
  <c r="AM185" i="2"/>
  <c r="AM89" i="4" s="1"/>
  <c r="AL182" i="2"/>
  <c r="AL88" i="4" s="1"/>
  <c r="AH182" i="2"/>
  <c r="AC185" i="2"/>
  <c r="AB182" i="2"/>
  <c r="AB299" i="2" s="1"/>
  <c r="X185" i="2"/>
  <c r="X182" i="2"/>
  <c r="AP181" i="2"/>
  <c r="AP87" i="4" s="1"/>
  <c r="AP176" i="2"/>
  <c r="AP82" i="4" s="1"/>
  <c r="AK181" i="2"/>
  <c r="AK87" i="4" s="1"/>
  <c r="AK180" i="2"/>
  <c r="AK86" i="4" s="1"/>
  <c r="AK176" i="2"/>
  <c r="AK82" i="4" s="1"/>
  <c r="AF181" i="2"/>
  <c r="AF87" i="4" s="1"/>
  <c r="AF176" i="2"/>
  <c r="AF82" i="4" s="1"/>
  <c r="R181" i="2"/>
  <c r="R87" i="4" s="1"/>
  <c r="AO180" i="2"/>
  <c r="BB179" i="2"/>
  <c r="AX179" i="2"/>
  <c r="AQ179" i="2"/>
  <c r="AH179" i="2"/>
  <c r="AH85" i="4" s="1"/>
  <c r="AG179" i="2"/>
  <c r="R179" i="2"/>
  <c r="R85" i="4" s="1"/>
  <c r="N180" i="2"/>
  <c r="N86" i="4" s="1"/>
  <c r="N179" i="2"/>
  <c r="AJ178" i="2"/>
  <c r="AJ84" i="4" s="1"/>
  <c r="X180" i="2"/>
  <c r="Y180" i="2" s="1"/>
  <c r="X179" i="2"/>
  <c r="X178" i="2"/>
  <c r="N178" i="2"/>
  <c r="AR181" i="2"/>
  <c r="AR180" i="2"/>
  <c r="AR178" i="2"/>
  <c r="AR177" i="2"/>
  <c r="AM178" i="2"/>
  <c r="AM177" i="2"/>
  <c r="AH177" i="2"/>
  <c r="AC86" i="4"/>
  <c r="AC179" i="2"/>
  <c r="AC178" i="2"/>
  <c r="AC84" i="4" s="1"/>
  <c r="AC177" i="2"/>
  <c r="S187" i="2"/>
  <c r="S186" i="2"/>
  <c r="S185" i="2"/>
  <c r="S182" i="2"/>
  <c r="S180" i="2"/>
  <c r="S178" i="2"/>
  <c r="S177" i="2"/>
  <c r="R176" i="2"/>
  <c r="AQ173" i="2"/>
  <c r="AQ79" i="4" s="1"/>
  <c r="AL173" i="2"/>
  <c r="AL79" i="4" s="1"/>
  <c r="AG173" i="2"/>
  <c r="AG79" i="4" s="1"/>
  <c r="AB173" i="2"/>
  <c r="AB79" i="4" s="1"/>
  <c r="W173" i="2"/>
  <c r="W79" i="4" s="1"/>
  <c r="R173" i="2"/>
  <c r="R79" i="4" s="1"/>
  <c r="M173" i="2"/>
  <c r="M79" i="4" s="1"/>
  <c r="L173" i="2"/>
  <c r="L79" i="4" s="1"/>
  <c r="BE172" i="2"/>
  <c r="BE78" i="4" s="1"/>
  <c r="BE171" i="2"/>
  <c r="BE77" i="4" s="1"/>
  <c r="BE170" i="2"/>
  <c r="BE76" i="4" s="1"/>
  <c r="BE169" i="2"/>
  <c r="BE75" i="4" s="1"/>
  <c r="AZ172" i="2"/>
  <c r="AZ78" i="4" s="1"/>
  <c r="AZ171" i="2"/>
  <c r="AZ77" i="4" s="1"/>
  <c r="AZ170" i="2"/>
  <c r="AZ76" i="4" s="1"/>
  <c r="AZ169" i="2"/>
  <c r="AZ75" i="4" s="1"/>
  <c r="AU171" i="2"/>
  <c r="AU77" i="4" s="1"/>
  <c r="AR172" i="2"/>
  <c r="AP172" i="2"/>
  <c r="AP78" i="4" s="1"/>
  <c r="AP171" i="2"/>
  <c r="AP77" i="4" s="1"/>
  <c r="AK172" i="2"/>
  <c r="AK78" i="4" s="1"/>
  <c r="AK171" i="2"/>
  <c r="AK77" i="4" s="1"/>
  <c r="AK170" i="2"/>
  <c r="AK76" i="4" s="1"/>
  <c r="AC172" i="2"/>
  <c r="Y172" i="2"/>
  <c r="Y78" i="4" s="1"/>
  <c r="N172" i="2"/>
  <c r="AF171" i="2"/>
  <c r="AF77" i="4" s="1"/>
  <c r="X171" i="2"/>
  <c r="X170" i="2"/>
  <c r="X76" i="4" s="1"/>
  <c r="X169" i="2"/>
  <c r="Y169" i="2" s="1"/>
  <c r="Y75" i="4" s="1"/>
  <c r="X168" i="2"/>
  <c r="Y168" i="2" s="1"/>
  <c r="S171" i="2"/>
  <c r="S77" i="4" s="1"/>
  <c r="AR170" i="2"/>
  <c r="AS170" i="2" s="1"/>
  <c r="AS76" i="4" s="1"/>
  <c r="AR169" i="2"/>
  <c r="AR75" i="4" s="1"/>
  <c r="AR168" i="2"/>
  <c r="AR74" i="4" s="1"/>
  <c r="AM170" i="2"/>
  <c r="AM169" i="2"/>
  <c r="AM75" i="4" s="1"/>
  <c r="AM168" i="2"/>
  <c r="AM74" i="4" s="1"/>
  <c r="AH169" i="2"/>
  <c r="AH168" i="2"/>
  <c r="AC170" i="2"/>
  <c r="AC76" i="4" s="1"/>
  <c r="AC169" i="2"/>
  <c r="AC75" i="4" s="1"/>
  <c r="AC168" i="2"/>
  <c r="U172" i="2"/>
  <c r="U170" i="2"/>
  <c r="S169" i="2"/>
  <c r="S75" i="4" s="1"/>
  <c r="S168" i="2"/>
  <c r="N171" i="2"/>
  <c r="N170" i="2"/>
  <c r="N76" i="4" s="1"/>
  <c r="N169" i="2"/>
  <c r="O169" i="2" s="1"/>
  <c r="N168" i="2"/>
  <c r="N74" i="4" s="1"/>
  <c r="AL165" i="2"/>
  <c r="AB165" i="2"/>
  <c r="AB71" i="4" s="1"/>
  <c r="W165" i="2"/>
  <c r="R165" i="2"/>
  <c r="R71" i="4" s="1"/>
  <c r="M165" i="2"/>
  <c r="L165" i="2"/>
  <c r="AR164" i="2"/>
  <c r="AR69" i="4" s="1"/>
  <c r="AT68" i="4"/>
  <c r="AR163" i="2"/>
  <c r="AR68" i="4" s="1"/>
  <c r="AR162" i="2"/>
  <c r="AR67" i="4" s="1"/>
  <c r="AR161" i="2"/>
  <c r="AR66" i="4" s="1"/>
  <c r="AR160" i="2"/>
  <c r="AR65" i="4" s="1"/>
  <c r="AR159" i="2"/>
  <c r="AR64" i="4" s="1"/>
  <c r="AR158" i="2"/>
  <c r="AR63" i="4" s="1"/>
  <c r="AM164" i="2"/>
  <c r="AM69" i="4" s="1"/>
  <c r="AM163" i="2"/>
  <c r="AM68" i="4" s="1"/>
  <c r="AM162" i="2"/>
  <c r="AM67" i="4" s="1"/>
  <c r="AM161" i="2"/>
  <c r="AM66" i="4" s="1"/>
  <c r="AM160" i="2"/>
  <c r="AM65" i="4" s="1"/>
  <c r="AM159" i="2"/>
  <c r="AM64" i="4" s="1"/>
  <c r="AM158" i="2"/>
  <c r="AH164" i="2"/>
  <c r="AH69" i="4" s="1"/>
  <c r="AH163" i="2"/>
  <c r="AH68" i="4" s="1"/>
  <c r="AH162" i="2"/>
  <c r="AH67" i="4" s="1"/>
  <c r="AH161" i="2"/>
  <c r="AH66" i="4" s="1"/>
  <c r="AH160" i="2"/>
  <c r="AH65" i="4" s="1"/>
  <c r="AH159" i="2"/>
  <c r="AH64" i="4" s="1"/>
  <c r="AH158" i="2"/>
  <c r="AH63" i="4" s="1"/>
  <c r="AC164" i="2"/>
  <c r="AC69" i="4" s="1"/>
  <c r="AC163" i="2"/>
  <c r="AC68" i="4" s="1"/>
  <c r="AC162" i="2"/>
  <c r="AC67" i="4" s="1"/>
  <c r="AC161" i="2"/>
  <c r="AC66" i="4" s="1"/>
  <c r="AC160" i="2"/>
  <c r="AC65" i="4" s="1"/>
  <c r="AC159" i="2"/>
  <c r="AC64" i="4" s="1"/>
  <c r="AC158" i="2"/>
  <c r="AC63" i="4" s="1"/>
  <c r="X164" i="2"/>
  <c r="X69" i="4" s="1"/>
  <c r="X163" i="2"/>
  <c r="X68" i="4" s="1"/>
  <c r="X162" i="2"/>
  <c r="X67" i="4" s="1"/>
  <c r="X161" i="2"/>
  <c r="X66" i="4" s="1"/>
  <c r="X160" i="2"/>
  <c r="X65" i="4" s="1"/>
  <c r="X159" i="2"/>
  <c r="X64" i="4" s="1"/>
  <c r="X158" i="2"/>
  <c r="X63" i="4" s="1"/>
  <c r="S164" i="2"/>
  <c r="S69" i="4" s="1"/>
  <c r="S163" i="2"/>
  <c r="S68" i="4" s="1"/>
  <c r="S162" i="2"/>
  <c r="S67" i="4" s="1"/>
  <c r="S161" i="2"/>
  <c r="S66" i="4" s="1"/>
  <c r="S160" i="2"/>
  <c r="S65" i="4" s="1"/>
  <c r="S159" i="2"/>
  <c r="S64" i="4" s="1"/>
  <c r="S158" i="2"/>
  <c r="S63" i="4" s="1"/>
  <c r="N164" i="2"/>
  <c r="N69" i="4" s="1"/>
  <c r="N163" i="2"/>
  <c r="N68" i="4" s="1"/>
  <c r="N162" i="2"/>
  <c r="N67" i="4" s="1"/>
  <c r="N161" i="2"/>
  <c r="N66" i="4" s="1"/>
  <c r="N160" i="2"/>
  <c r="N65" i="4" s="1"/>
  <c r="N159" i="2"/>
  <c r="N64" i="4" s="1"/>
  <c r="N158" i="2"/>
  <c r="N63" i="4" s="1"/>
  <c r="BE156" i="2"/>
  <c r="BE61" i="4" s="1"/>
  <c r="BE154" i="2"/>
  <c r="BE60" i="4" s="1"/>
  <c r="BE151" i="2"/>
  <c r="BE57" i="4" s="1"/>
  <c r="BE150" i="2"/>
  <c r="BE56" i="4" s="1"/>
  <c r="BE149" i="2"/>
  <c r="BE55" i="4" s="1"/>
  <c r="AZ156" i="2"/>
  <c r="AZ61" i="4" s="1"/>
  <c r="AZ154" i="2"/>
  <c r="AZ60" i="4" s="1"/>
  <c r="AZ151" i="2"/>
  <c r="AZ57" i="4" s="1"/>
  <c r="AZ150" i="2"/>
  <c r="AZ56" i="4" s="1"/>
  <c r="AZ149" i="2"/>
  <c r="AZ55" i="4" s="1"/>
  <c r="AU154" i="2"/>
  <c r="AU60" i="4" s="1"/>
  <c r="AU149" i="2"/>
  <c r="AU55" i="4" s="1"/>
  <c r="AQ165" i="2"/>
  <c r="AG61" i="4"/>
  <c r="AC61" i="4"/>
  <c r="Z156" i="2"/>
  <c r="U156" i="2"/>
  <c r="N156" i="2"/>
  <c r="N61" i="4" s="1"/>
  <c r="AP154" i="2"/>
  <c r="AP60" i="4" s="1"/>
  <c r="AP149" i="2"/>
  <c r="AP55" i="4" s="1"/>
  <c r="AK154" i="2"/>
  <c r="AK60" i="4" s="1"/>
  <c r="AK149" i="2"/>
  <c r="AK55" i="4" s="1"/>
  <c r="AC154" i="2"/>
  <c r="AC60" i="4" s="1"/>
  <c r="AA154" i="2"/>
  <c r="AA60" i="4" s="1"/>
  <c r="AA149" i="2"/>
  <c r="AA55" i="4" s="1"/>
  <c r="V154" i="2"/>
  <c r="V60" i="4" s="1"/>
  <c r="V149" i="2"/>
  <c r="V55" i="4" s="1"/>
  <c r="Q154" i="2"/>
  <c r="Q60" i="4" s="1"/>
  <c r="AJ153" i="2"/>
  <c r="Z153" i="2"/>
  <c r="U153" i="2"/>
  <c r="AR153" i="2"/>
  <c r="AR59" i="4" s="1"/>
  <c r="AT58" i="4"/>
  <c r="AR152" i="2"/>
  <c r="AR58" i="4" s="1"/>
  <c r="AR151" i="2"/>
  <c r="AS151" i="2" s="1"/>
  <c r="AS57" i="4" s="1"/>
  <c r="AR150" i="2"/>
  <c r="AR56" i="4" s="1"/>
  <c r="AM153" i="2"/>
  <c r="AM152" i="2"/>
  <c r="AM151" i="2"/>
  <c r="AM150" i="2"/>
  <c r="AN150" i="2" s="1"/>
  <c r="AH152" i="2"/>
  <c r="AI152" i="2" s="1"/>
  <c r="AI58" i="4" s="1"/>
  <c r="AH151" i="2"/>
  <c r="AI151" i="2" s="1"/>
  <c r="AI57" i="4" s="1"/>
  <c r="AH150" i="2"/>
  <c r="AI150" i="2" s="1"/>
  <c r="AE153" i="2"/>
  <c r="AC152" i="2"/>
  <c r="AC58" i="4" s="1"/>
  <c r="AC151" i="2"/>
  <c r="AC57" i="4" s="1"/>
  <c r="AC150" i="2"/>
  <c r="AC56" i="4" s="1"/>
  <c r="X152" i="2"/>
  <c r="X58" i="4" s="1"/>
  <c r="X151" i="2"/>
  <c r="X57" i="4" s="1"/>
  <c r="X150" i="2"/>
  <c r="X56" i="4" s="1"/>
  <c r="S152" i="2"/>
  <c r="S58" i="4" s="1"/>
  <c r="S151" i="2"/>
  <c r="S150" i="2"/>
  <c r="S56" i="4" s="1"/>
  <c r="AF149" i="2"/>
  <c r="AF55" i="4" s="1"/>
  <c r="AR148" i="2"/>
  <c r="AR54" i="4" s="1"/>
  <c r="AM148" i="2"/>
  <c r="AN148" i="2" s="1"/>
  <c r="AH148" i="2"/>
  <c r="AC148" i="2"/>
  <c r="X148" i="2"/>
  <c r="X54" i="4" s="1"/>
  <c r="S148" i="2"/>
  <c r="S54" i="4" s="1"/>
  <c r="N153" i="2"/>
  <c r="N152" i="2"/>
  <c r="N151" i="2"/>
  <c r="N150" i="2"/>
  <c r="N56" i="4" s="1"/>
  <c r="N149" i="2"/>
  <c r="N148" i="2"/>
  <c r="N54" i="4" s="1"/>
  <c r="AR146" i="2"/>
  <c r="AM146" i="2"/>
  <c r="AM52" i="4" s="1"/>
  <c r="AH146" i="2"/>
  <c r="AH52" i="4" s="1"/>
  <c r="AC146" i="2"/>
  <c r="X146" i="2"/>
  <c r="S146" i="2"/>
  <c r="N146" i="2"/>
  <c r="BE143" i="2"/>
  <c r="BD143" i="2"/>
  <c r="BC143" i="2"/>
  <c r="BB143" i="2"/>
  <c r="BA143" i="2"/>
  <c r="AZ143" i="2"/>
  <c r="AY143" i="2"/>
  <c r="AX143" i="2"/>
  <c r="AW143" i="2"/>
  <c r="AV143" i="2"/>
  <c r="AU143" i="2"/>
  <c r="AT143" i="2"/>
  <c r="AS143" i="2"/>
  <c r="AR143" i="2"/>
  <c r="AQ143" i="2"/>
  <c r="AP143" i="2"/>
  <c r="AO143" i="2"/>
  <c r="AN143" i="2"/>
  <c r="AM143" i="2"/>
  <c r="AL143" i="2"/>
  <c r="AK143" i="2"/>
  <c r="AJ143" i="2"/>
  <c r="AI143" i="2"/>
  <c r="AH143" i="2"/>
  <c r="AG143" i="2"/>
  <c r="AF143" i="2"/>
  <c r="AE143" i="2"/>
  <c r="AD143" i="2"/>
  <c r="AC143" i="2"/>
  <c r="AB143" i="2"/>
  <c r="AA143" i="2"/>
  <c r="Z143" i="2"/>
  <c r="Y143" i="2"/>
  <c r="X143" i="2"/>
  <c r="W143" i="2"/>
  <c r="V143" i="2"/>
  <c r="U143" i="2"/>
  <c r="T143" i="2"/>
  <c r="S143" i="2"/>
  <c r="R143" i="2"/>
  <c r="Q143" i="2"/>
  <c r="P143" i="2"/>
  <c r="O143" i="2"/>
  <c r="N143" i="2"/>
  <c r="M143" i="2"/>
  <c r="L143" i="2"/>
  <c r="K143" i="2"/>
  <c r="J143" i="2"/>
  <c r="I143" i="2"/>
  <c r="H143" i="2"/>
  <c r="G143" i="2"/>
  <c r="F143" i="2"/>
  <c r="E143" i="2"/>
  <c r="D143" i="2"/>
  <c r="C143" i="2"/>
  <c r="AH134" i="2"/>
  <c r="AI132" i="2"/>
  <c r="AH132" i="2"/>
  <c r="AG132" i="2"/>
  <c r="AD132" i="2"/>
  <c r="AM131" i="2"/>
  <c r="AL131" i="2"/>
  <c r="AJ131" i="2"/>
  <c r="AI131" i="2"/>
  <c r="AH131" i="2"/>
  <c r="AG131" i="2"/>
  <c r="AE131" i="2"/>
  <c r="AD131" i="2"/>
  <c r="AB132" i="2"/>
  <c r="Y132" i="2"/>
  <c r="W132" i="2"/>
  <c r="U132" i="2"/>
  <c r="T132" i="2"/>
  <c r="S132" i="2"/>
  <c r="R132" i="2"/>
  <c r="P132" i="2"/>
  <c r="O132" i="2"/>
  <c r="N132" i="2"/>
  <c r="M132" i="2"/>
  <c r="AC131" i="2"/>
  <c r="AB131" i="2"/>
  <c r="Z131" i="2"/>
  <c r="Y131" i="2"/>
  <c r="X131" i="2"/>
  <c r="W131" i="2"/>
  <c r="U131" i="2"/>
  <c r="T131" i="2"/>
  <c r="S131" i="2"/>
  <c r="R131" i="2"/>
  <c r="P131" i="2"/>
  <c r="O131" i="2"/>
  <c r="N131" i="2"/>
  <c r="M131" i="2"/>
  <c r="K132" i="2"/>
  <c r="J132" i="2"/>
  <c r="I132" i="2"/>
  <c r="H132" i="2"/>
  <c r="K131" i="2"/>
  <c r="J131" i="2"/>
  <c r="I131" i="2"/>
  <c r="H131" i="2"/>
  <c r="AT125" i="2"/>
  <c r="AS125" i="2"/>
  <c r="AR125" i="2"/>
  <c r="AQ125" i="2"/>
  <c r="AO125" i="2"/>
  <c r="AN125" i="2"/>
  <c r="AM125" i="2"/>
  <c r="AL125" i="2"/>
  <c r="AJ125" i="2"/>
  <c r="AI125" i="2"/>
  <c r="AH125" i="2"/>
  <c r="AG125" i="2"/>
  <c r="AE125" i="2"/>
  <c r="AD125" i="2"/>
  <c r="AC125" i="2"/>
  <c r="AB125" i="2"/>
  <c r="Z125" i="2"/>
  <c r="Y125" i="2"/>
  <c r="X125" i="2"/>
  <c r="W125" i="2"/>
  <c r="U125" i="2"/>
  <c r="T125" i="2"/>
  <c r="S125" i="2"/>
  <c r="R125" i="2"/>
  <c r="P125" i="2"/>
  <c r="O125" i="2"/>
  <c r="N125" i="2"/>
  <c r="M125" i="2"/>
  <c r="K125" i="2"/>
  <c r="J125" i="2"/>
  <c r="I125" i="2"/>
  <c r="H125" i="2"/>
  <c r="G125" i="2"/>
  <c r="F125" i="2"/>
  <c r="E125" i="2"/>
  <c r="D125" i="2"/>
  <c r="C125" i="2"/>
  <c r="AV120" i="2"/>
  <c r="AW120" i="2" s="1"/>
  <c r="BA120" i="2" s="1"/>
  <c r="AT120" i="2"/>
  <c r="AU120" i="2" s="1"/>
  <c r="AP120" i="2"/>
  <c r="AJ120" i="2"/>
  <c r="AK120" i="2" s="1"/>
  <c r="AF120" i="2"/>
  <c r="Z120" i="2"/>
  <c r="AA120" i="2" s="1"/>
  <c r="U120" i="2"/>
  <c r="V120" i="2" s="1"/>
  <c r="P120" i="2"/>
  <c r="Q120" i="2" s="1"/>
  <c r="L120" i="2"/>
  <c r="G120" i="2"/>
  <c r="AP115" i="2"/>
  <c r="AP113" i="2"/>
  <c r="AP111" i="2"/>
  <c r="AP109" i="2"/>
  <c r="AP108" i="2"/>
  <c r="AP107" i="2"/>
  <c r="AP106" i="2"/>
  <c r="AP104" i="2"/>
  <c r="AP103" i="2"/>
  <c r="AP102" i="2"/>
  <c r="AK115" i="2"/>
  <c r="AF115" i="2"/>
  <c r="AA115" i="2"/>
  <c r="V115" i="2"/>
  <c r="Q115" i="2"/>
  <c r="L115" i="2"/>
  <c r="AU113" i="2"/>
  <c r="AU109" i="2"/>
  <c r="AU108" i="2"/>
  <c r="AU107" i="2"/>
  <c r="AU106" i="2"/>
  <c r="AU105" i="2"/>
  <c r="AU104" i="2"/>
  <c r="AU103" i="2"/>
  <c r="AU102" i="2"/>
  <c r="AS112" i="2"/>
  <c r="AS132" i="2" s="1"/>
  <c r="AR112" i="2"/>
  <c r="AR132" i="2" s="1"/>
  <c r="AO112" i="2"/>
  <c r="AO132" i="2" s="1"/>
  <c r="AN112" i="2"/>
  <c r="AN132" i="2" s="1"/>
  <c r="AM112" i="2"/>
  <c r="AM132" i="2" s="1"/>
  <c r="AL112" i="2"/>
  <c r="AJ112" i="2"/>
  <c r="AK112" i="2" s="1"/>
  <c r="AE112" i="2"/>
  <c r="AC112" i="2"/>
  <c r="Z112" i="2"/>
  <c r="Z132" i="2" s="1"/>
  <c r="X112" i="2"/>
  <c r="V112" i="2"/>
  <c r="V111" i="2"/>
  <c r="V109" i="2"/>
  <c r="V108" i="2"/>
  <c r="V107" i="2"/>
  <c r="V106" i="2"/>
  <c r="V104" i="2"/>
  <c r="V103" i="2"/>
  <c r="Q112" i="2"/>
  <c r="Q111" i="2"/>
  <c r="Q109" i="2"/>
  <c r="Q108" i="2"/>
  <c r="Q107" i="2"/>
  <c r="Q106" i="2"/>
  <c r="Q105" i="2"/>
  <c r="Q104" i="2"/>
  <c r="Q103" i="2"/>
  <c r="Q102" i="2"/>
  <c r="L112" i="2"/>
  <c r="L111" i="2"/>
  <c r="L109" i="2"/>
  <c r="L107" i="2"/>
  <c r="L106" i="2"/>
  <c r="L105" i="2"/>
  <c r="L104" i="2"/>
  <c r="L125" i="2" s="1"/>
  <c r="L103" i="2"/>
  <c r="L102" i="2"/>
  <c r="AK111" i="2"/>
  <c r="AK109" i="2"/>
  <c r="AK108" i="2"/>
  <c r="AK107" i="2"/>
  <c r="AK106" i="2"/>
  <c r="AK104" i="2"/>
  <c r="AK103" i="2"/>
  <c r="AF111" i="2"/>
  <c r="AF109" i="2"/>
  <c r="AF108" i="2"/>
  <c r="AF107" i="2"/>
  <c r="AF106" i="2"/>
  <c r="AF105" i="2"/>
  <c r="AF104" i="2"/>
  <c r="AF103" i="2"/>
  <c r="AA111" i="2"/>
  <c r="AA109" i="2"/>
  <c r="AA108" i="2"/>
  <c r="AA107" i="2"/>
  <c r="AA106" i="2"/>
  <c r="AA105" i="2"/>
  <c r="AA104" i="2"/>
  <c r="AA103" i="2"/>
  <c r="BE109" i="2"/>
  <c r="BE108" i="2"/>
  <c r="BE107" i="2"/>
  <c r="BE106" i="2"/>
  <c r="BE105" i="2"/>
  <c r="BE103" i="2"/>
  <c r="BE102" i="2"/>
  <c r="AZ109" i="2"/>
  <c r="AZ108" i="2"/>
  <c r="AZ107" i="2"/>
  <c r="AZ106" i="2"/>
  <c r="AZ105" i="2"/>
  <c r="AZ103" i="2"/>
  <c r="AZ102" i="2"/>
  <c r="K108" i="2"/>
  <c r="L108" i="2" s="1"/>
  <c r="AL105" i="2"/>
  <c r="AP105" i="2" s="1"/>
  <c r="AI105" i="2"/>
  <c r="AH105" i="2"/>
  <c r="T105" i="2"/>
  <c r="S105" i="2"/>
  <c r="AJ102" i="2"/>
  <c r="AG102" i="2"/>
  <c r="AE102" i="2"/>
  <c r="AD102" i="2"/>
  <c r="AC102" i="2"/>
  <c r="AB102" i="2"/>
  <c r="Z102" i="2"/>
  <c r="Y102" i="2"/>
  <c r="X102" i="2"/>
  <c r="W102" i="2"/>
  <c r="R102" i="2"/>
  <c r="V102" i="2" s="1"/>
  <c r="AH97" i="2"/>
  <c r="AC91" i="2"/>
  <c r="Z91" i="2"/>
  <c r="AA91" i="2" s="1"/>
  <c r="V91" i="2"/>
  <c r="Q91" i="2"/>
  <c r="L91" i="2"/>
  <c r="AO88" i="2"/>
  <c r="AQ88" i="2" s="1"/>
  <c r="AQ87" i="2" s="1"/>
  <c r="AJ88" i="2"/>
  <c r="AJ87" i="2" s="1"/>
  <c r="AR88" i="2"/>
  <c r="AS88" i="2" s="1"/>
  <c r="AT88" i="2" s="1"/>
  <c r="AB87" i="2"/>
  <c r="AN87" i="2"/>
  <c r="AM87" i="2"/>
  <c r="AL87" i="2"/>
  <c r="AI87" i="2"/>
  <c r="AC88" i="2"/>
  <c r="AD88" i="2" s="1"/>
  <c r="AE88" i="2" s="1"/>
  <c r="AG88" i="2" s="1"/>
  <c r="Z86" i="2"/>
  <c r="AB86" i="2" s="1"/>
  <c r="X86" i="2"/>
  <c r="X85" i="2"/>
  <c r="AT84" i="2"/>
  <c r="AT83" i="2"/>
  <c r="AT82" i="2"/>
  <c r="BB84" i="2"/>
  <c r="BC84" i="2" s="1"/>
  <c r="BD84" i="2" s="1"/>
  <c r="BB83" i="2"/>
  <c r="BC83" i="2" s="1"/>
  <c r="BB82" i="2"/>
  <c r="BC82" i="2" s="1"/>
  <c r="BD82" i="2" s="1"/>
  <c r="AW84" i="2"/>
  <c r="AX84" i="2" s="1"/>
  <c r="AY84" i="2" s="1"/>
  <c r="AW83" i="2"/>
  <c r="AX83" i="2" s="1"/>
  <c r="AW82" i="2"/>
  <c r="AX82" i="2" s="1"/>
  <c r="AY82" i="2" s="1"/>
  <c r="AR81" i="2"/>
  <c r="AO81" i="2"/>
  <c r="AH81" i="2"/>
  <c r="AC81" i="2"/>
  <c r="AP76" i="2"/>
  <c r="AI76" i="2"/>
  <c r="AI297" i="2" s="1"/>
  <c r="AE76" i="2"/>
  <c r="AE297" i="2" s="1"/>
  <c r="AA76" i="2"/>
  <c r="AA297" i="2" s="1"/>
  <c r="V76" i="2"/>
  <c r="V297" i="2" s="1"/>
  <c r="O76" i="2"/>
  <c r="O297" i="2" s="1"/>
  <c r="AS75" i="2"/>
  <c r="AR75" i="2"/>
  <c r="AQ75" i="2"/>
  <c r="AO75" i="2"/>
  <c r="AO296" i="2" s="1"/>
  <c r="AN75" i="2"/>
  <c r="AN296" i="2" s="1"/>
  <c r="AM75" i="2"/>
  <c r="AM296" i="2" s="1"/>
  <c r="AL75" i="2"/>
  <c r="AL296" i="2" s="1"/>
  <c r="AJ75" i="2"/>
  <c r="AJ296" i="2" s="1"/>
  <c r="AH75" i="2"/>
  <c r="AH296" i="2" s="1"/>
  <c r="AG75" i="2"/>
  <c r="AG296" i="2" s="1"/>
  <c r="AD75" i="2"/>
  <c r="AD296" i="2" s="1"/>
  <c r="AB75" i="2"/>
  <c r="AB296" i="2" s="1"/>
  <c r="Z75" i="2"/>
  <c r="Z296" i="2" s="1"/>
  <c r="Y75" i="2"/>
  <c r="Y296" i="2" s="1"/>
  <c r="X75" i="2"/>
  <c r="X296" i="2" s="1"/>
  <c r="W75" i="2"/>
  <c r="W296" i="2" s="1"/>
  <c r="U75" i="2"/>
  <c r="U296" i="2" s="1"/>
  <c r="T75" i="2"/>
  <c r="T296" i="2" s="1"/>
  <c r="S75" i="2"/>
  <c r="S296" i="2" s="1"/>
  <c r="R75" i="2"/>
  <c r="R296" i="2" s="1"/>
  <c r="P75" i="2"/>
  <c r="P296" i="2" s="1"/>
  <c r="K75" i="2"/>
  <c r="K296" i="2" s="1"/>
  <c r="J75" i="2"/>
  <c r="J296" i="2" s="1"/>
  <c r="I75" i="2"/>
  <c r="I296" i="2" s="1"/>
  <c r="H75" i="2"/>
  <c r="H296" i="2" s="1"/>
  <c r="G75" i="2"/>
  <c r="G296" i="2" s="1"/>
  <c r="F75" i="2"/>
  <c r="E75" i="2"/>
  <c r="D75" i="2"/>
  <c r="C75" i="2"/>
  <c r="L66" i="2"/>
  <c r="G66" i="2"/>
  <c r="AR67" i="2"/>
  <c r="AQ67" i="2"/>
  <c r="AO67" i="2"/>
  <c r="AN67" i="2"/>
  <c r="AM67" i="2"/>
  <c r="AL67" i="2"/>
  <c r="AJ67" i="2"/>
  <c r="AI67" i="2"/>
  <c r="AH67" i="2"/>
  <c r="AG67" i="2"/>
  <c r="AE67" i="2"/>
  <c r="AD67" i="2"/>
  <c r="AC67" i="2"/>
  <c r="T67" i="2"/>
  <c r="S67" i="2"/>
  <c r="R67" i="2"/>
  <c r="BB66" i="2"/>
  <c r="AW66" i="2"/>
  <c r="AT66" i="2"/>
  <c r="AU66" i="2" s="1"/>
  <c r="AP66" i="2"/>
  <c r="AK66" i="2"/>
  <c r="AF66" i="2"/>
  <c r="AA66" i="2"/>
  <c r="V66" i="2"/>
  <c r="Q66" i="2"/>
  <c r="BB64" i="2"/>
  <c r="BB63" i="2"/>
  <c r="BC63" i="2" s="1"/>
  <c r="BD63" i="2" s="1"/>
  <c r="AW64" i="2"/>
  <c r="AW63" i="2"/>
  <c r="AX63" i="2" s="1"/>
  <c r="AY63" i="2" s="1"/>
  <c r="AS61" i="2"/>
  <c r="AS67" i="2" s="1"/>
  <c r="AP61" i="2"/>
  <c r="AP34" i="4" s="1"/>
  <c r="AK61" i="2"/>
  <c r="AB61" i="2"/>
  <c r="AB67" i="2" s="1"/>
  <c r="Z61" i="2"/>
  <c r="Z67" i="2" s="1"/>
  <c r="Y61" i="2"/>
  <c r="Y67" i="2" s="1"/>
  <c r="X61" i="2"/>
  <c r="X67" i="2" s="1"/>
  <c r="W61" i="2"/>
  <c r="W67" i="2" s="1"/>
  <c r="U61" i="2"/>
  <c r="U67" i="2" s="1"/>
  <c r="AS57" i="2"/>
  <c r="AS31" i="4" s="1"/>
  <c r="AR57" i="2"/>
  <c r="AO57" i="2"/>
  <c r="AO31" i="4" s="1"/>
  <c r="AN57" i="2"/>
  <c r="AN31" i="4" s="1"/>
  <c r="AM57" i="2"/>
  <c r="AM31" i="4" s="1"/>
  <c r="AL57" i="2"/>
  <c r="AL31" i="4" s="1"/>
  <c r="AJ57" i="2"/>
  <c r="AJ31" i="4" s="1"/>
  <c r="AI57" i="2"/>
  <c r="AH57" i="2"/>
  <c r="AG57" i="2"/>
  <c r="AE57" i="2"/>
  <c r="AE31" i="4" s="1"/>
  <c r="AD57" i="2"/>
  <c r="AC57" i="2"/>
  <c r="AC31" i="4" s="1"/>
  <c r="AB57" i="2"/>
  <c r="Z57" i="2"/>
  <c r="Z31" i="4" s="1"/>
  <c r="Y57" i="2"/>
  <c r="X57" i="2"/>
  <c r="X31" i="4" s="1"/>
  <c r="W57" i="2"/>
  <c r="U57" i="2"/>
  <c r="T57" i="2"/>
  <c r="S57" i="2"/>
  <c r="R57" i="2"/>
  <c r="P57" i="2"/>
  <c r="P31" i="4" s="1"/>
  <c r="O57" i="2"/>
  <c r="O31" i="4" s="1"/>
  <c r="N57" i="2"/>
  <c r="N31" i="4" s="1"/>
  <c r="M57" i="2"/>
  <c r="M31" i="4" s="1"/>
  <c r="K57" i="2"/>
  <c r="K31" i="4" s="1"/>
  <c r="J57" i="2"/>
  <c r="J31" i="4" s="1"/>
  <c r="I57" i="2"/>
  <c r="I31" i="4" s="1"/>
  <c r="H57" i="2"/>
  <c r="H31" i="4" s="1"/>
  <c r="F57" i="2"/>
  <c r="F31" i="4" s="1"/>
  <c r="E57" i="2"/>
  <c r="E31" i="4" s="1"/>
  <c r="D57" i="2"/>
  <c r="D31" i="4" s="1"/>
  <c r="C57" i="2"/>
  <c r="C31" i="4" s="1"/>
  <c r="AU56" i="2"/>
  <c r="AP56" i="2"/>
  <c r="R55" i="2"/>
  <c r="AQ54" i="2"/>
  <c r="AQ112" i="2" s="1"/>
  <c r="AP54" i="2"/>
  <c r="AK54" i="2"/>
  <c r="AF54" i="2"/>
  <c r="AF57" i="2" s="1"/>
  <c r="AF31" i="4" s="1"/>
  <c r="AA54" i="2"/>
  <c r="AA57" i="2" s="1"/>
  <c r="AA31" i="4" s="1"/>
  <c r="V54" i="2"/>
  <c r="V57" i="2" s="1"/>
  <c r="V31" i="4" s="1"/>
  <c r="Q54" i="2"/>
  <c r="Q57" i="2" s="1"/>
  <c r="Q31" i="4" s="1"/>
  <c r="L54" i="2"/>
  <c r="L57" i="2" s="1"/>
  <c r="L31" i="4" s="1"/>
  <c r="G54" i="2"/>
  <c r="G57" i="2" s="1"/>
  <c r="G31" i="4" s="1"/>
  <c r="AW46" i="2"/>
  <c r="AW25" i="4" s="1"/>
  <c r="AG46" i="2"/>
  <c r="AG25" i="4" s="1"/>
  <c r="AE46" i="2"/>
  <c r="AE25" i="4" s="1"/>
  <c r="AC46" i="2"/>
  <c r="AC25" i="4" s="1"/>
  <c r="AB46" i="2"/>
  <c r="AB25" i="4" s="1"/>
  <c r="Z46" i="2"/>
  <c r="Z25" i="4" s="1"/>
  <c r="X46" i="2"/>
  <c r="X25" i="4" s="1"/>
  <c r="K46" i="2"/>
  <c r="K25" i="4" s="1"/>
  <c r="J46" i="2"/>
  <c r="J25" i="4" s="1"/>
  <c r="I46" i="2"/>
  <c r="I25" i="4" s="1"/>
  <c r="H46" i="2"/>
  <c r="H25" i="4" s="1"/>
  <c r="F46" i="2"/>
  <c r="F25" i="4" s="1"/>
  <c r="E46" i="2"/>
  <c r="E25" i="4" s="1"/>
  <c r="D46" i="2"/>
  <c r="D25" i="4" s="1"/>
  <c r="C46" i="2"/>
  <c r="C25" i="4" s="1"/>
  <c r="AM45" i="2"/>
  <c r="AL45" i="2"/>
  <c r="AJ45" i="2"/>
  <c r="AI45" i="2"/>
  <c r="AH45" i="2"/>
  <c r="AG45" i="2"/>
  <c r="AE45" i="2"/>
  <c r="AD45" i="2"/>
  <c r="AC45" i="2"/>
  <c r="AB45" i="2"/>
  <c r="Z45" i="2"/>
  <c r="Y45" i="2"/>
  <c r="X45" i="2"/>
  <c r="W45" i="2"/>
  <c r="U45" i="2"/>
  <c r="T45" i="2"/>
  <c r="S45" i="2"/>
  <c r="R45" i="2"/>
  <c r="P45" i="2"/>
  <c r="O45" i="2"/>
  <c r="N45" i="2"/>
  <c r="M45" i="2"/>
  <c r="K45" i="2"/>
  <c r="J45" i="2"/>
  <c r="I45" i="2"/>
  <c r="H45" i="2"/>
  <c r="BB46" i="2"/>
  <c r="AS44" i="2"/>
  <c r="AR44" i="2"/>
  <c r="AR24" i="4" s="1"/>
  <c r="AQ44" i="2"/>
  <c r="AQ45" i="2" s="1"/>
  <c r="AO44" i="2"/>
  <c r="AO45" i="2" s="1"/>
  <c r="AN44" i="2"/>
  <c r="AN24" i="4" s="1"/>
  <c r="AK44" i="2"/>
  <c r="AF44" i="2"/>
  <c r="AA44" i="2"/>
  <c r="V44" i="2"/>
  <c r="V24" i="4" s="1"/>
  <c r="Q44" i="2"/>
  <c r="Q24" i="4" s="1"/>
  <c r="L44" i="2"/>
  <c r="L24" i="4" s="1"/>
  <c r="G44" i="2"/>
  <c r="G24" i="4" s="1"/>
  <c r="AG38" i="2"/>
  <c r="AG17" i="4" s="1"/>
  <c r="AE38" i="2"/>
  <c r="AE17" i="4" s="1"/>
  <c r="AC38" i="2"/>
  <c r="AC17" i="4" s="1"/>
  <c r="Z38" i="2"/>
  <c r="Z17" i="4" s="1"/>
  <c r="AG33" i="2"/>
  <c r="AG15" i="4" s="1"/>
  <c r="AE33" i="2"/>
  <c r="AE15" i="4" s="1"/>
  <c r="AC33" i="2"/>
  <c r="AC15" i="4" s="1"/>
  <c r="Z33" i="2"/>
  <c r="Z15" i="4" s="1"/>
  <c r="AM32" i="2"/>
  <c r="AL32" i="2"/>
  <c r="AJ32" i="2"/>
  <c r="AI32" i="2"/>
  <c r="AH32" i="2"/>
  <c r="AE32" i="2"/>
  <c r="AD32" i="2"/>
  <c r="Z32" i="2"/>
  <c r="Y32" i="2"/>
  <c r="U32" i="2"/>
  <c r="T32" i="2"/>
  <c r="AS31" i="2"/>
  <c r="AS14" i="4" s="1"/>
  <c r="AR31" i="2"/>
  <c r="AQ31" i="2"/>
  <c r="AQ14" i="4" s="1"/>
  <c r="AO31" i="2"/>
  <c r="AO14" i="4" s="1"/>
  <c r="AN31" i="2"/>
  <c r="AN32" i="2" s="1"/>
  <c r="AK31" i="2"/>
  <c r="AB31" i="2"/>
  <c r="AB14" i="4" s="1"/>
  <c r="X31" i="2"/>
  <c r="X14" i="4" s="1"/>
  <c r="W31" i="2"/>
  <c r="W14" i="4" s="1"/>
  <c r="S31" i="2"/>
  <c r="S14" i="4" s="1"/>
  <c r="R31" i="2"/>
  <c r="R32" i="2" s="1"/>
  <c r="Q31" i="2"/>
  <c r="K31" i="2"/>
  <c r="K33" i="2" s="1"/>
  <c r="K15" i="4" s="1"/>
  <c r="J31" i="2"/>
  <c r="J38" i="2" s="1"/>
  <c r="J17" i="4" s="1"/>
  <c r="I31" i="2"/>
  <c r="I33" i="2" s="1"/>
  <c r="I15" i="4" s="1"/>
  <c r="H31" i="2"/>
  <c r="H38" i="2" s="1"/>
  <c r="H17" i="4" s="1"/>
  <c r="F31" i="2"/>
  <c r="F38" i="2" s="1"/>
  <c r="F17" i="4" s="1"/>
  <c r="E31" i="2"/>
  <c r="E33" i="2" s="1"/>
  <c r="E15" i="4" s="1"/>
  <c r="D31" i="2"/>
  <c r="D38" i="2" s="1"/>
  <c r="D17" i="4" s="1"/>
  <c r="C31" i="2"/>
  <c r="C33" i="2" s="1"/>
  <c r="C15" i="4" s="1"/>
  <c r="AG27" i="2"/>
  <c r="AG13" i="4" s="1"/>
  <c r="AE27" i="2"/>
  <c r="AE13" i="4" s="1"/>
  <c r="AC27" i="2"/>
  <c r="AC13" i="4" s="1"/>
  <c r="Z27" i="2"/>
  <c r="Z13" i="4" s="1"/>
  <c r="K27" i="2"/>
  <c r="K13" i="4" s="1"/>
  <c r="J27" i="2"/>
  <c r="J13" i="4" s="1"/>
  <c r="I27" i="2"/>
  <c r="I13" i="4" s="1"/>
  <c r="H27" i="2"/>
  <c r="H13" i="4" s="1"/>
  <c r="F27" i="2"/>
  <c r="F13" i="4" s="1"/>
  <c r="E27" i="2"/>
  <c r="E13" i="4" s="1"/>
  <c r="D27" i="2"/>
  <c r="D13" i="4" s="1"/>
  <c r="C27" i="2"/>
  <c r="C13" i="4" s="1"/>
  <c r="AM26" i="2"/>
  <c r="AL26" i="2"/>
  <c r="AJ26" i="2"/>
  <c r="AI26" i="2"/>
  <c r="AH26" i="2"/>
  <c r="AE26" i="2"/>
  <c r="AD26" i="2"/>
  <c r="Z26" i="2"/>
  <c r="Y26" i="2"/>
  <c r="U26" i="2"/>
  <c r="T26" i="2"/>
  <c r="P26" i="2"/>
  <c r="O26" i="2"/>
  <c r="N26" i="2"/>
  <c r="M26" i="2"/>
  <c r="K26" i="2"/>
  <c r="J26" i="2"/>
  <c r="I26" i="2"/>
  <c r="H26" i="2"/>
  <c r="AS25" i="2"/>
  <c r="AR25" i="2"/>
  <c r="AR12" i="4" s="1"/>
  <c r="AQ25" i="2"/>
  <c r="AQ12" i="4" s="1"/>
  <c r="AO25" i="2"/>
  <c r="AO12" i="4" s="1"/>
  <c r="AN25" i="2"/>
  <c r="AN12" i="4" s="1"/>
  <c r="AK25" i="2"/>
  <c r="AB25" i="2"/>
  <c r="AG26" i="2" s="1"/>
  <c r="X25" i="2"/>
  <c r="AC26" i="2" s="1"/>
  <c r="W25" i="2"/>
  <c r="W12" i="4" s="1"/>
  <c r="S25" i="2"/>
  <c r="S12" i="4" s="1"/>
  <c r="R25" i="2"/>
  <c r="R12" i="4" s="1"/>
  <c r="Q25" i="2"/>
  <c r="L25" i="2"/>
  <c r="G25" i="2"/>
  <c r="G12" i="4" s="1"/>
  <c r="AG21" i="2"/>
  <c r="AG11" i="4" s="1"/>
  <c r="AE21" i="2"/>
  <c r="AE11" i="4" s="1"/>
  <c r="AC21" i="2"/>
  <c r="AC11" i="4" s="1"/>
  <c r="AB21" i="2"/>
  <c r="AB11" i="4" s="1"/>
  <c r="Z21" i="2"/>
  <c r="Z11" i="4" s="1"/>
  <c r="X21" i="2"/>
  <c r="X11" i="4" s="1"/>
  <c r="K21" i="2"/>
  <c r="K11" i="4" s="1"/>
  <c r="J21" i="2"/>
  <c r="J11" i="4" s="1"/>
  <c r="I21" i="2"/>
  <c r="I11" i="4" s="1"/>
  <c r="H21" i="2"/>
  <c r="H11" i="4" s="1"/>
  <c r="F21" i="2"/>
  <c r="F11" i="4" s="1"/>
  <c r="E21" i="2"/>
  <c r="E11" i="4" s="1"/>
  <c r="D21" i="2"/>
  <c r="D11" i="4" s="1"/>
  <c r="C21" i="2"/>
  <c r="C11" i="4" s="1"/>
  <c r="AR20" i="2"/>
  <c r="AQ20" i="2"/>
  <c r="AO20" i="2"/>
  <c r="AN20" i="2"/>
  <c r="AM20" i="2"/>
  <c r="AL20" i="2"/>
  <c r="AJ20" i="2"/>
  <c r="AI20" i="2"/>
  <c r="AH20" i="2"/>
  <c r="AG20" i="2"/>
  <c r="AE20" i="2"/>
  <c r="AD20" i="2"/>
  <c r="AC20" i="2"/>
  <c r="AB20" i="2"/>
  <c r="Z20" i="2"/>
  <c r="Y20" i="2"/>
  <c r="X20" i="2"/>
  <c r="W20" i="2"/>
  <c r="U20" i="2"/>
  <c r="T20" i="2"/>
  <c r="S20" i="2"/>
  <c r="R20" i="2"/>
  <c r="P20" i="2"/>
  <c r="O20" i="2"/>
  <c r="N20" i="2"/>
  <c r="M20" i="2"/>
  <c r="K20" i="2"/>
  <c r="J20" i="2"/>
  <c r="I20" i="2"/>
  <c r="H20" i="2"/>
  <c r="AS19" i="2"/>
  <c r="AS20" i="2" s="1"/>
  <c r="AP19" i="2"/>
  <c r="AK19" i="2"/>
  <c r="AF19" i="2"/>
  <c r="AF110" i="3" s="1"/>
  <c r="AA19" i="2"/>
  <c r="V19" i="2"/>
  <c r="Q19" i="2"/>
  <c r="L19" i="2"/>
  <c r="G19" i="2"/>
  <c r="AG16" i="2"/>
  <c r="AE16" i="2"/>
  <c r="AE8" i="4" s="1"/>
  <c r="AC16" i="2"/>
  <c r="AC8" i="4" s="1"/>
  <c r="K16" i="2"/>
  <c r="K8" i="4" s="1"/>
  <c r="J16" i="2"/>
  <c r="J8" i="4" s="1"/>
  <c r="I16" i="2"/>
  <c r="I8" i="4" s="1"/>
  <c r="H16" i="2"/>
  <c r="H8" i="4" s="1"/>
  <c r="Y15" i="2"/>
  <c r="Y7" i="4" s="1"/>
  <c r="W15" i="2"/>
  <c r="W21" i="2" s="1"/>
  <c r="W11" i="4" s="1"/>
  <c r="U15" i="2"/>
  <c r="T15" i="2"/>
  <c r="T7" i="4" s="1"/>
  <c r="S15" i="2"/>
  <c r="R15" i="2"/>
  <c r="R21" i="2" s="1"/>
  <c r="R11" i="4" s="1"/>
  <c r="P15" i="2"/>
  <c r="P7" i="4" s="1"/>
  <c r="O15" i="2"/>
  <c r="N15" i="2"/>
  <c r="N7" i="4" s="1"/>
  <c r="M15" i="2"/>
  <c r="L15" i="2"/>
  <c r="L7" i="4" s="1"/>
  <c r="G15" i="2"/>
  <c r="G7" i="4" s="1"/>
  <c r="W12" i="2"/>
  <c r="U12" i="2"/>
  <c r="T12" i="2"/>
  <c r="S12" i="2"/>
  <c r="R12" i="2"/>
  <c r="Q11" i="2"/>
  <c r="W9" i="2"/>
  <c r="U9" i="2"/>
  <c r="T9" i="2"/>
  <c r="S9" i="2"/>
  <c r="R9" i="2"/>
  <c r="Q8" i="2"/>
  <c r="Q90" i="3"/>
  <c r="Q91" i="3" s="1"/>
  <c r="S90" i="3"/>
  <c r="R90" i="3"/>
  <c r="AS87" i="3"/>
  <c r="AR87" i="3"/>
  <c r="AQ87" i="3"/>
  <c r="AO87" i="3"/>
  <c r="AN87" i="3"/>
  <c r="AM87" i="3"/>
  <c r="AL87" i="3"/>
  <c r="AJ87" i="3"/>
  <c r="AI87" i="3"/>
  <c r="AH87" i="3"/>
  <c r="AG87" i="3"/>
  <c r="AE87" i="3"/>
  <c r="AD87" i="3"/>
  <c r="AC87" i="3"/>
  <c r="AB87" i="3"/>
  <c r="Z87" i="3"/>
  <c r="Y87" i="3"/>
  <c r="X87" i="3"/>
  <c r="W87" i="3"/>
  <c r="U87" i="3"/>
  <c r="T87" i="3"/>
  <c r="S87" i="3"/>
  <c r="R87" i="3"/>
  <c r="P87" i="3"/>
  <c r="O87" i="3"/>
  <c r="N87" i="3"/>
  <c r="M87" i="3"/>
  <c r="K87" i="3"/>
  <c r="J87" i="3"/>
  <c r="I87" i="3"/>
  <c r="H87" i="3"/>
  <c r="F87" i="3"/>
  <c r="E87" i="3"/>
  <c r="D87" i="3"/>
  <c r="C87" i="3"/>
  <c r="AS84" i="3"/>
  <c r="AR84" i="3"/>
  <c r="AQ84" i="3"/>
  <c r="AO15" i="2"/>
  <c r="AN84" i="3"/>
  <c r="AN15" i="2" s="1"/>
  <c r="AM84" i="3"/>
  <c r="AL84" i="3"/>
  <c r="AL15" i="2" s="1"/>
  <c r="AJ84" i="3"/>
  <c r="AJ15" i="2" s="1"/>
  <c r="AI84" i="3"/>
  <c r="AH84" i="3"/>
  <c r="AG84" i="3"/>
  <c r="AE84" i="3"/>
  <c r="AD84" i="3"/>
  <c r="AD15" i="2" s="1"/>
  <c r="AC84" i="3"/>
  <c r="AB84" i="3"/>
  <c r="Z84" i="3"/>
  <c r="Y84" i="3"/>
  <c r="X84" i="3"/>
  <c r="W84" i="3"/>
  <c r="U84" i="3"/>
  <c r="T84" i="3"/>
  <c r="S84" i="3"/>
  <c r="R84" i="3"/>
  <c r="P84" i="3"/>
  <c r="O84" i="3"/>
  <c r="O93" i="3" s="1"/>
  <c r="N84" i="3"/>
  <c r="M84" i="3"/>
  <c r="K84" i="3"/>
  <c r="J84" i="3"/>
  <c r="I84" i="3"/>
  <c r="H84" i="3"/>
  <c r="F84" i="3"/>
  <c r="E84" i="3"/>
  <c r="D84" i="3"/>
  <c r="C84" i="3"/>
  <c r="BA81" i="3"/>
  <c r="AV81" i="3"/>
  <c r="BB80" i="3"/>
  <c r="BB81" i="3" s="1"/>
  <c r="BA79" i="3"/>
  <c r="AV79" i="3"/>
  <c r="AS77" i="3"/>
  <c r="AR77" i="3"/>
  <c r="AQ77" i="3"/>
  <c r="AO77" i="3"/>
  <c r="AN77" i="3"/>
  <c r="AM77" i="3"/>
  <c r="AL77" i="3"/>
  <c r="AJ77" i="3"/>
  <c r="AI77" i="3"/>
  <c r="AH77" i="3"/>
  <c r="AG77" i="3"/>
  <c r="AE77" i="3"/>
  <c r="AD77" i="3"/>
  <c r="AC77" i="3"/>
  <c r="AB77" i="3"/>
  <c r="Z77" i="3"/>
  <c r="Y77" i="3"/>
  <c r="X77" i="3"/>
  <c r="W77" i="3"/>
  <c r="U77" i="3"/>
  <c r="T77" i="3"/>
  <c r="S77" i="3"/>
  <c r="R77" i="3"/>
  <c r="P77" i="3"/>
  <c r="O77" i="3"/>
  <c r="N77" i="3"/>
  <c r="M77" i="3"/>
  <c r="K77" i="3"/>
  <c r="J77" i="3"/>
  <c r="I77" i="3"/>
  <c r="H77" i="3"/>
  <c r="F77" i="3"/>
  <c r="E77" i="3"/>
  <c r="D77" i="3"/>
  <c r="C77" i="3"/>
  <c r="BA75" i="3"/>
  <c r="AV75" i="3"/>
  <c r="BB74" i="3"/>
  <c r="BB75" i="3" s="1"/>
  <c r="BA73" i="3"/>
  <c r="AW75" i="3"/>
  <c r="AV73" i="3"/>
  <c r="AS72" i="3"/>
  <c r="AR72" i="3"/>
  <c r="AQ72" i="3"/>
  <c r="L39" i="1" s="1"/>
  <c r="AO72" i="3"/>
  <c r="K39" i="1" s="1"/>
  <c r="AN72" i="3"/>
  <c r="J39" i="1" s="1"/>
  <c r="AM72" i="3"/>
  <c r="I39" i="1" s="1"/>
  <c r="AL72" i="3"/>
  <c r="AJ72" i="3"/>
  <c r="AI72" i="3"/>
  <c r="AH72" i="3"/>
  <c r="AG72" i="3"/>
  <c r="AE72" i="3"/>
  <c r="AD72" i="3"/>
  <c r="AC72" i="3"/>
  <c r="AB72" i="3"/>
  <c r="Z72" i="3"/>
  <c r="Y72" i="3"/>
  <c r="X72" i="3"/>
  <c r="W72" i="3"/>
  <c r="U72" i="3"/>
  <c r="T72" i="3"/>
  <c r="S72" i="3"/>
  <c r="R72" i="3"/>
  <c r="P72" i="3"/>
  <c r="O72" i="3"/>
  <c r="N72" i="3"/>
  <c r="M72" i="3"/>
  <c r="K72" i="3"/>
  <c r="J72" i="3"/>
  <c r="I72" i="3"/>
  <c r="H72" i="3"/>
  <c r="AP71" i="3"/>
  <c r="AK71" i="3"/>
  <c r="AF71" i="3"/>
  <c r="AA71" i="3"/>
  <c r="V71" i="3"/>
  <c r="Q71" i="3"/>
  <c r="L71" i="3"/>
  <c r="G71" i="3"/>
  <c r="AS69" i="3"/>
  <c r="AR69" i="3"/>
  <c r="AQ69" i="3"/>
  <c r="AO69" i="3"/>
  <c r="AN69" i="3"/>
  <c r="AM69" i="3"/>
  <c r="AL69" i="3"/>
  <c r="AJ69" i="3"/>
  <c r="AI69" i="3"/>
  <c r="AH69" i="3"/>
  <c r="AG69" i="3"/>
  <c r="AE69" i="3"/>
  <c r="AD69" i="3"/>
  <c r="AC69" i="3"/>
  <c r="AB69" i="3"/>
  <c r="Z69" i="3"/>
  <c r="Y69" i="3"/>
  <c r="X69" i="3"/>
  <c r="W69" i="3"/>
  <c r="U69" i="3"/>
  <c r="T69" i="3"/>
  <c r="S69" i="3"/>
  <c r="R69" i="3"/>
  <c r="P69" i="3"/>
  <c r="O69" i="3"/>
  <c r="N69" i="3"/>
  <c r="M69" i="3"/>
  <c r="K69" i="3"/>
  <c r="J69" i="3"/>
  <c r="I69" i="3"/>
  <c r="H69" i="3"/>
  <c r="D18" i="1"/>
  <c r="AK69" i="3"/>
  <c r="C19" i="1" s="1"/>
  <c r="AA69" i="3"/>
  <c r="Q69" i="3"/>
  <c r="BA24" i="3"/>
  <c r="AV24" i="3"/>
  <c r="BB24" i="3"/>
  <c r="BA22" i="3"/>
  <c r="AW24" i="3"/>
  <c r="AV22" i="3"/>
  <c r="AS20" i="3"/>
  <c r="AR20" i="3"/>
  <c r="AQ20" i="3"/>
  <c r="AO20" i="3"/>
  <c r="AN20" i="3"/>
  <c r="AM20" i="3"/>
  <c r="AL20" i="3"/>
  <c r="AJ20" i="3"/>
  <c r="AI20" i="3"/>
  <c r="AH20" i="3"/>
  <c r="AG20" i="3"/>
  <c r="AE20" i="3"/>
  <c r="AD20" i="3"/>
  <c r="AC20" i="3"/>
  <c r="AB20" i="3"/>
  <c r="Z20" i="3"/>
  <c r="Y20" i="3"/>
  <c r="X20" i="3"/>
  <c r="W20" i="3"/>
  <c r="U20" i="3"/>
  <c r="T20" i="3"/>
  <c r="S20" i="3"/>
  <c r="R20" i="3"/>
  <c r="P20" i="3"/>
  <c r="O20" i="3"/>
  <c r="N20" i="3"/>
  <c r="M20" i="3"/>
  <c r="K20" i="3"/>
  <c r="J20" i="3"/>
  <c r="I20" i="3"/>
  <c r="H20" i="3"/>
  <c r="F20" i="3"/>
  <c r="E20" i="3"/>
  <c r="D20" i="3"/>
  <c r="C20" i="3"/>
  <c r="AV15" i="3"/>
  <c r="BB15" i="3"/>
  <c r="BB13" i="3"/>
  <c r="AW15" i="3"/>
  <c r="AV13" i="3"/>
  <c r="AS12" i="3"/>
  <c r="AR12" i="3"/>
  <c r="AQ12" i="3"/>
  <c r="L36" i="1" s="1"/>
  <c r="AO12" i="3"/>
  <c r="K36" i="1" s="1"/>
  <c r="AN12" i="3"/>
  <c r="J36" i="1" s="1"/>
  <c r="AM12" i="3"/>
  <c r="I36" i="1" s="1"/>
  <c r="AL12" i="3"/>
  <c r="AJ12" i="3"/>
  <c r="AI12" i="3"/>
  <c r="AH12" i="3"/>
  <c r="AG12" i="3"/>
  <c r="AE12" i="3"/>
  <c r="AD12" i="3"/>
  <c r="AC12" i="3"/>
  <c r="AB12" i="3"/>
  <c r="Z12" i="3"/>
  <c r="Y12" i="3"/>
  <c r="X12" i="3"/>
  <c r="W12" i="3"/>
  <c r="U12" i="3"/>
  <c r="T12" i="3"/>
  <c r="S12" i="3"/>
  <c r="R12" i="3"/>
  <c r="P12" i="3"/>
  <c r="O12" i="3"/>
  <c r="N12" i="3"/>
  <c r="M12" i="3"/>
  <c r="K12" i="3"/>
  <c r="J12" i="3"/>
  <c r="I12" i="3"/>
  <c r="H12" i="3"/>
  <c r="AP11" i="3"/>
  <c r="AK11" i="3"/>
  <c r="AF11" i="3"/>
  <c r="AA11" i="3"/>
  <c r="V11" i="3"/>
  <c r="Q11" i="3"/>
  <c r="L11" i="3"/>
  <c r="G11" i="3"/>
  <c r="AS9" i="3"/>
  <c r="AR9" i="3"/>
  <c r="AQ9" i="3"/>
  <c r="AO9" i="3"/>
  <c r="AN9" i="3"/>
  <c r="AM9" i="3"/>
  <c r="AL9" i="3"/>
  <c r="AJ9" i="3"/>
  <c r="AI9" i="3"/>
  <c r="AH9" i="3"/>
  <c r="AG9" i="3"/>
  <c r="AE9" i="3"/>
  <c r="AD9" i="3"/>
  <c r="AC9" i="3"/>
  <c r="AB9" i="3"/>
  <c r="Z9" i="3"/>
  <c r="Y9" i="3"/>
  <c r="X9" i="3"/>
  <c r="W9" i="3"/>
  <c r="U9" i="3"/>
  <c r="T9" i="3"/>
  <c r="S9" i="3"/>
  <c r="R9" i="3"/>
  <c r="P9" i="3"/>
  <c r="O9" i="3"/>
  <c r="N9" i="3"/>
  <c r="M9" i="3"/>
  <c r="K9" i="3"/>
  <c r="J9" i="3"/>
  <c r="I9" i="3"/>
  <c r="H9" i="3"/>
  <c r="AP8" i="3"/>
  <c r="AK8" i="3"/>
  <c r="C14" i="1" s="1"/>
  <c r="AF8" i="3"/>
  <c r="AA8" i="3"/>
  <c r="V8" i="3"/>
  <c r="Q8" i="3"/>
  <c r="L8" i="3"/>
  <c r="G8"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O150" i="2" l="1"/>
  <c r="O56" i="4" s="1"/>
  <c r="Y170" i="2"/>
  <c r="R299" i="2"/>
  <c r="S181" i="2"/>
  <c r="AS124" i="4"/>
  <c r="AV237" i="2"/>
  <c r="AW237" i="2" s="1"/>
  <c r="AX237" i="2" s="1"/>
  <c r="AY237" i="2" s="1"/>
  <c r="BA237" i="2" s="1"/>
  <c r="AP110" i="3"/>
  <c r="AW21" i="3"/>
  <c r="AW20" i="3" s="1"/>
  <c r="AW72" i="3"/>
  <c r="AW71" i="3" s="1"/>
  <c r="AU71" i="3"/>
  <c r="AT81" i="2"/>
  <c r="AT88" i="4" s="1"/>
  <c r="AN79" i="2"/>
  <c r="X89" i="4"/>
  <c r="AM61" i="4"/>
  <c r="AN156" i="2"/>
  <c r="AP75" i="2"/>
  <c r="Y150" i="2"/>
  <c r="Y56" i="4" s="1"/>
  <c r="AS152" i="2"/>
  <c r="AS58" i="4" s="1"/>
  <c r="BB188" i="2"/>
  <c r="BB92" i="4" s="1"/>
  <c r="BB85" i="4"/>
  <c r="BC46" i="2"/>
  <c r="BB25" i="4"/>
  <c r="L9" i="3"/>
  <c r="AF9" i="3"/>
  <c r="AT255" i="2"/>
  <c r="AT55" i="2" s="1"/>
  <c r="BB12" i="3"/>
  <c r="AV21" i="3"/>
  <c r="AV20" i="3" s="1"/>
  <c r="BA21" i="3"/>
  <c r="BA78" i="3"/>
  <c r="BA62" i="2"/>
  <c r="BA134" i="2" s="1"/>
  <c r="AV81" i="2"/>
  <c r="BA81" i="2"/>
  <c r="BB21" i="3"/>
  <c r="BA72" i="3"/>
  <c r="AV78" i="3"/>
  <c r="AV77" i="3" s="1"/>
  <c r="BA77" i="3" s="1"/>
  <c r="AV12" i="3"/>
  <c r="AV11" i="3" s="1"/>
  <c r="BA14" i="3" s="1"/>
  <c r="AV72" i="3"/>
  <c r="AV71" i="3" s="1"/>
  <c r="AW78" i="3"/>
  <c r="AW77" i="3" s="1"/>
  <c r="AV62" i="2"/>
  <c r="AV134" i="2" s="1"/>
  <c r="AS81" i="2"/>
  <c r="AS86" i="2" s="1"/>
  <c r="T148" i="2"/>
  <c r="AS150" i="2"/>
  <c r="AS56" i="4" s="1"/>
  <c r="AP57" i="2"/>
  <c r="AP31" i="4" s="1"/>
  <c r="Y185" i="2"/>
  <c r="Y89" i="4" s="1"/>
  <c r="AS55" i="2"/>
  <c r="AS234" i="2"/>
  <c r="AS241" i="2" s="1"/>
  <c r="AS128" i="4" s="1"/>
  <c r="AW62" i="2"/>
  <c r="AW134" i="2" s="1"/>
  <c r="X221" i="2"/>
  <c r="X111" i="4" s="1"/>
  <c r="S55" i="2"/>
  <c r="BB72" i="3"/>
  <c r="K93" i="3"/>
  <c r="BB62" i="2"/>
  <c r="AR87" i="2"/>
  <c r="AK102" i="2"/>
  <c r="V105" i="2"/>
  <c r="AT59" i="4"/>
  <c r="O255" i="2"/>
  <c r="P55" i="2" s="1"/>
  <c r="S57" i="4"/>
  <c r="T151" i="2"/>
  <c r="T57" i="4" s="1"/>
  <c r="AL85" i="4"/>
  <c r="AL188" i="2"/>
  <c r="AL92" i="4" s="1"/>
  <c r="AM179" i="2"/>
  <c r="AM85" i="4" s="1"/>
  <c r="AE59" i="4"/>
  <c r="AF153" i="2"/>
  <c r="AF59" i="4" s="1"/>
  <c r="AC85" i="4"/>
  <c r="AD179" i="2"/>
  <c r="AC78" i="4"/>
  <c r="AD172" i="2"/>
  <c r="AD136" i="4"/>
  <c r="AD131" i="4"/>
  <c r="K256" i="2"/>
  <c r="M55" i="2"/>
  <c r="K55" i="2"/>
  <c r="U256" i="2"/>
  <c r="W55" i="2"/>
  <c r="C93" i="3"/>
  <c r="W93" i="3"/>
  <c r="AQ93" i="3"/>
  <c r="V9" i="3"/>
  <c r="AP9" i="3"/>
  <c r="D15" i="1" s="1"/>
  <c r="BB78" i="3"/>
  <c r="S93" i="3"/>
  <c r="AM93" i="3"/>
  <c r="AR15" i="2"/>
  <c r="V61" i="2"/>
  <c r="V34" i="4" s="1"/>
  <c r="AK67" i="2"/>
  <c r="G35" i="5" s="1"/>
  <c r="AP67" i="2"/>
  <c r="H35" i="5" s="1"/>
  <c r="AF76" i="2"/>
  <c r="AF297" i="2" s="1"/>
  <c r="AD151" i="2"/>
  <c r="AE151" i="2" s="1"/>
  <c r="AE57" i="4" s="1"/>
  <c r="AN168" i="2"/>
  <c r="P234" i="2"/>
  <c r="P241" i="2" s="1"/>
  <c r="AI234" i="2"/>
  <c r="AI121" i="4" s="1"/>
  <c r="E5" i="5"/>
  <c r="E4" i="5" s="1"/>
  <c r="C15" i="6"/>
  <c r="AS15" i="2"/>
  <c r="AK105" i="2"/>
  <c r="Y152" i="2"/>
  <c r="Y58" i="4" s="1"/>
  <c r="AH90" i="4"/>
  <c r="BF81" i="2"/>
  <c r="BG62" i="2"/>
  <c r="BG61" i="3"/>
  <c r="BA61" i="3"/>
  <c r="BA60" i="3" s="1"/>
  <c r="BA52" i="3"/>
  <c r="AW52" i="3"/>
  <c r="AW51" i="3" s="1"/>
  <c r="AW48" i="3" s="1"/>
  <c r="BF78" i="3"/>
  <c r="BF41" i="3"/>
  <c r="AV32" i="3"/>
  <c r="AV31" i="3" s="1"/>
  <c r="AV28" i="3" s="1"/>
  <c r="BG81" i="2"/>
  <c r="BF72" i="3"/>
  <c r="BF32" i="3"/>
  <c r="BG12" i="3"/>
  <c r="BF62" i="2"/>
  <c r="BG78" i="3"/>
  <c r="BF61" i="3"/>
  <c r="BF52" i="3"/>
  <c r="BG41" i="3"/>
  <c r="BG21" i="3"/>
  <c r="AV52" i="3"/>
  <c r="AV51" i="3" s="1"/>
  <c r="AV48" i="3" s="1"/>
  <c r="BA41" i="3"/>
  <c r="BA40" i="3" s="1"/>
  <c r="AX32" i="3"/>
  <c r="AX31" i="3" s="1"/>
  <c r="AX28" i="3" s="1"/>
  <c r="AT32" i="3"/>
  <c r="AT31" i="3" s="1"/>
  <c r="AU31" i="3" s="1"/>
  <c r="BG72" i="3"/>
  <c r="BG32" i="3"/>
  <c r="BF21" i="3"/>
  <c r="BB61" i="3"/>
  <c r="BB60" i="3" s="1"/>
  <c r="BG60" i="3" s="1"/>
  <c r="BC61" i="3"/>
  <c r="BC60" i="3" s="1"/>
  <c r="BC52" i="3"/>
  <c r="BC41" i="3"/>
  <c r="BC40" i="3" s="1"/>
  <c r="BB52" i="3"/>
  <c r="BH62" i="2"/>
  <c r="BH81" i="2"/>
  <c r="BH21" i="3"/>
  <c r="BA32" i="3"/>
  <c r="AW32" i="3"/>
  <c r="AW31" i="3" s="1"/>
  <c r="AW28" i="3" s="1"/>
  <c r="BG52" i="3"/>
  <c r="BB41" i="3"/>
  <c r="BB40" i="3" s="1"/>
  <c r="BG40" i="3" s="1"/>
  <c r="BI12" i="3"/>
  <c r="BI62" i="2"/>
  <c r="BH12" i="3"/>
  <c r="BC32" i="3"/>
  <c r="BH32" i="3"/>
  <c r="BD52" i="3"/>
  <c r="AY32" i="3"/>
  <c r="AX52" i="3"/>
  <c r="AX51" i="3" s="1"/>
  <c r="BH61" i="3"/>
  <c r="BH41" i="3"/>
  <c r="BH72" i="3"/>
  <c r="BD61" i="3"/>
  <c r="BD60" i="3" s="1"/>
  <c r="BH78" i="3"/>
  <c r="BH52" i="3"/>
  <c r="BD41" i="3"/>
  <c r="BD40" i="3" s="1"/>
  <c r="BI81" i="2"/>
  <c r="BI21" i="3"/>
  <c r="BB32" i="3"/>
  <c r="BB31" i="3" s="1"/>
  <c r="BI61" i="3"/>
  <c r="BI41" i="3"/>
  <c r="BI78" i="3"/>
  <c r="BI72" i="3"/>
  <c r="BI32" i="3"/>
  <c r="AY52" i="3"/>
  <c r="AY51" i="3" s="1"/>
  <c r="BI52" i="3"/>
  <c r="BD32" i="3"/>
  <c r="AS26" i="2"/>
  <c r="AN26" i="2"/>
  <c r="AR32" i="2"/>
  <c r="AS45" i="2"/>
  <c r="AK131" i="2"/>
  <c r="G24" i="5" s="1"/>
  <c r="G42" i="5" s="1"/>
  <c r="AS169" i="2"/>
  <c r="AU169" i="2" s="1"/>
  <c r="AU75" i="4" s="1"/>
  <c r="T171" i="2"/>
  <c r="AG188" i="2"/>
  <c r="AG92" i="4" s="1"/>
  <c r="AQ188" i="2"/>
  <c r="AQ92" i="4" s="1"/>
  <c r="AM182" i="2"/>
  <c r="AN182" i="2" s="1"/>
  <c r="AO255" i="2"/>
  <c r="AQ234" i="2"/>
  <c r="N234" i="2"/>
  <c r="N241" i="2" s="1"/>
  <c r="AS10" i="4"/>
  <c r="C14" i="4"/>
  <c r="H14" i="4"/>
  <c r="R14" i="4"/>
  <c r="AQ24" i="4"/>
  <c r="Y34" i="4"/>
  <c r="AS34" i="4"/>
  <c r="AG85" i="4"/>
  <c r="P117" i="4"/>
  <c r="AO120" i="4"/>
  <c r="S131" i="4"/>
  <c r="AR26" i="2"/>
  <c r="AB12" i="4"/>
  <c r="D14" i="4"/>
  <c r="I14" i="4"/>
  <c r="AR14" i="4"/>
  <c r="U34" i="4"/>
  <c r="Z34" i="4"/>
  <c r="AO116" i="4"/>
  <c r="M117" i="4"/>
  <c r="R120" i="4"/>
  <c r="W120" i="4"/>
  <c r="X32" i="2"/>
  <c r="T150" i="2"/>
  <c r="T56" i="4" s="1"/>
  <c r="T152" i="2"/>
  <c r="T58" i="4" s="1"/>
  <c r="Y151" i="2"/>
  <c r="Y57" i="4" s="1"/>
  <c r="AD150" i="2"/>
  <c r="AD152" i="2"/>
  <c r="AE152" i="2" s="1"/>
  <c r="AD169" i="2"/>
  <c r="AD75" i="4" s="1"/>
  <c r="O180" i="2"/>
  <c r="O86" i="4" s="1"/>
  <c r="AR221" i="2"/>
  <c r="AR111" i="4" s="1"/>
  <c r="X12" i="4"/>
  <c r="E14" i="4"/>
  <c r="J14" i="4"/>
  <c r="AN14" i="4"/>
  <c r="AS24" i="4"/>
  <c r="W34" i="4"/>
  <c r="AB34" i="4"/>
  <c r="AQ85" i="4"/>
  <c r="AB88" i="4"/>
  <c r="AQ116" i="4"/>
  <c r="AH120" i="4"/>
  <c r="N21" i="2"/>
  <c r="N11" i="4" s="1"/>
  <c r="S27" i="2"/>
  <c r="S13" i="4" s="1"/>
  <c r="AB32" i="2"/>
  <c r="AX46" i="2"/>
  <c r="AY46" i="2" s="1"/>
  <c r="AY25" i="4" s="1"/>
  <c r="V67" i="2"/>
  <c r="D35" i="5" s="1"/>
  <c r="BB81" i="2"/>
  <c r="AA102" i="2"/>
  <c r="AF102" i="2"/>
  <c r="AS156" i="2"/>
  <c r="Q228" i="2"/>
  <c r="Q117" i="4" s="1"/>
  <c r="AS12" i="4"/>
  <c r="F14" i="4"/>
  <c r="K14" i="4"/>
  <c r="AO24" i="4"/>
  <c r="X34" i="4"/>
  <c r="AQ61" i="4"/>
  <c r="R82" i="4"/>
  <c r="AR116" i="4"/>
  <c r="O117" i="4"/>
  <c r="AO117" i="4"/>
  <c r="T120" i="4"/>
  <c r="AE124" i="4"/>
  <c r="AJ124" i="4"/>
  <c r="AO124" i="4"/>
  <c r="R131" i="4"/>
  <c r="BG266" i="2"/>
  <c r="BC64" i="2"/>
  <c r="AC87" i="2"/>
  <c r="AW12" i="3"/>
  <c r="AW11" i="3" s="1"/>
  <c r="BC14" i="3"/>
  <c r="BC13" i="3" s="1"/>
  <c r="AY83" i="2"/>
  <c r="AY81" i="2" s="1"/>
  <c r="AX81" i="2"/>
  <c r="M21" i="2"/>
  <c r="M11" i="4" s="1"/>
  <c r="M7" i="4"/>
  <c r="O21" i="2"/>
  <c r="O11" i="4" s="1"/>
  <c r="O7" i="4"/>
  <c r="AG8" i="4"/>
  <c r="G21" i="2"/>
  <c r="G11" i="4" s="1"/>
  <c r="G10" i="4"/>
  <c r="C10" i="5"/>
  <c r="Q10" i="4"/>
  <c r="E10" i="5"/>
  <c r="AA10" i="4"/>
  <c r="G10" i="5"/>
  <c r="AK10" i="4"/>
  <c r="T21" i="2"/>
  <c r="T11" i="4" s="1"/>
  <c r="Q26" i="2"/>
  <c r="C13" i="5"/>
  <c r="Q12" i="4"/>
  <c r="G13" i="5"/>
  <c r="AK12" i="4"/>
  <c r="AA45" i="2"/>
  <c r="AA24" i="4"/>
  <c r="AK24" i="4"/>
  <c r="AX25" i="4"/>
  <c r="R298" i="2"/>
  <c r="R31" i="4"/>
  <c r="T298" i="2"/>
  <c r="T31" i="4"/>
  <c r="W298" i="2"/>
  <c r="W31" i="4"/>
  <c r="Y298" i="2"/>
  <c r="Y31" i="4"/>
  <c r="AB298" i="2"/>
  <c r="AB31" i="4"/>
  <c r="AD298" i="2"/>
  <c r="AD31" i="4"/>
  <c r="AG298" i="2"/>
  <c r="AG31" i="4"/>
  <c r="AI298" i="2"/>
  <c r="AI31" i="4"/>
  <c r="AR31" i="4"/>
  <c r="AK34" i="4"/>
  <c r="AC86" i="2"/>
  <c r="Q125" i="2"/>
  <c r="AU125" i="2"/>
  <c r="N165" i="2"/>
  <c r="N71" i="4" s="1"/>
  <c r="N52" i="4"/>
  <c r="S165" i="2"/>
  <c r="S71" i="4" s="1"/>
  <c r="S52" i="4"/>
  <c r="X165" i="2"/>
  <c r="X52" i="4"/>
  <c r="AC165" i="2"/>
  <c r="AC71" i="4" s="1"/>
  <c r="AC52" i="4"/>
  <c r="AR52" i="4"/>
  <c r="O149" i="2"/>
  <c r="O55" i="4" s="1"/>
  <c r="N55" i="4"/>
  <c r="N299" i="2"/>
  <c r="N58" i="4"/>
  <c r="O153" i="2"/>
  <c r="O59" i="4" s="1"/>
  <c r="N59" i="4"/>
  <c r="U148" i="2"/>
  <c r="U54" i="4" s="1"/>
  <c r="T54" i="4"/>
  <c r="AC54" i="4"/>
  <c r="AI148" i="2"/>
  <c r="AI54" i="4" s="1"/>
  <c r="AH54" i="4"/>
  <c r="AO148" i="2"/>
  <c r="AN54" i="4"/>
  <c r="U150" i="2"/>
  <c r="U56" i="4" s="1"/>
  <c r="U151" i="2"/>
  <c r="U57" i="4" s="1"/>
  <c r="AI56" i="4"/>
  <c r="AO150" i="2"/>
  <c r="AO56" i="4" s="1"/>
  <c r="AN56" i="4"/>
  <c r="AM58" i="4"/>
  <c r="AN153" i="2"/>
  <c r="AM59" i="4"/>
  <c r="AU150" i="2"/>
  <c r="AU56" i="4" s="1"/>
  <c r="AU152" i="2"/>
  <c r="AA153" i="2"/>
  <c r="AA59" i="4" s="1"/>
  <c r="Z59" i="4"/>
  <c r="AK153" i="2"/>
  <c r="AK59" i="4" s="1"/>
  <c r="AJ59" i="4"/>
  <c r="V148" i="2"/>
  <c r="V54" i="4" s="1"/>
  <c r="AA156" i="2"/>
  <c r="AA61" i="4" s="1"/>
  <c r="Z61" i="4"/>
  <c r="AM63" i="4"/>
  <c r="L197" i="2"/>
  <c r="L71" i="4"/>
  <c r="O75" i="4"/>
  <c r="N77" i="4"/>
  <c r="O171" i="2"/>
  <c r="O77" i="4" s="1"/>
  <c r="V172" i="2"/>
  <c r="V78" i="4" s="1"/>
  <c r="U78" i="4"/>
  <c r="AC267" i="2"/>
  <c r="AC74" i="4"/>
  <c r="AH74" i="4"/>
  <c r="AI168" i="2"/>
  <c r="AI74" i="4" s="1"/>
  <c r="T77" i="4"/>
  <c r="U171" i="2"/>
  <c r="U77" i="4" s="1"/>
  <c r="X173" i="2"/>
  <c r="X79" i="4" s="1"/>
  <c r="X75" i="4"/>
  <c r="AA171" i="2"/>
  <c r="AA77" i="4" s="1"/>
  <c r="X77" i="4"/>
  <c r="N78" i="4"/>
  <c r="O172" i="2"/>
  <c r="O78" i="4" s="1"/>
  <c r="S83" i="4"/>
  <c r="T177" i="2"/>
  <c r="T83" i="4" s="1"/>
  <c r="S86" i="4"/>
  <c r="T180" i="2"/>
  <c r="T86" i="4" s="1"/>
  <c r="S88" i="4"/>
  <c r="T182" i="2"/>
  <c r="T88" i="4" s="1"/>
  <c r="S90" i="4"/>
  <c r="T186" i="2"/>
  <c r="T90" i="4" s="1"/>
  <c r="AC83" i="4"/>
  <c r="AD177" i="2"/>
  <c r="AM83" i="4"/>
  <c r="AN177" i="2"/>
  <c r="AR83" i="4"/>
  <c r="AS177" i="2"/>
  <c r="AS83" i="4" s="1"/>
  <c r="AR86" i="4"/>
  <c r="AS180" i="2"/>
  <c r="N84" i="4"/>
  <c r="O178" i="2"/>
  <c r="O84" i="4" s="1"/>
  <c r="X188" i="2"/>
  <c r="X92" i="4" s="1"/>
  <c r="X85" i="4"/>
  <c r="Y86" i="4"/>
  <c r="N188" i="2"/>
  <c r="N92" i="4" s="1"/>
  <c r="N85" i="4"/>
  <c r="AX188" i="2"/>
  <c r="AX92" i="4" s="1"/>
  <c r="AX85" i="4"/>
  <c r="AP180" i="2"/>
  <c r="AP86" i="4" s="1"/>
  <c r="AO86" i="4"/>
  <c r="AH88" i="4"/>
  <c r="AI182" i="2"/>
  <c r="AI88" i="4" s="1"/>
  <c r="AR89" i="4"/>
  <c r="AS185" i="2"/>
  <c r="AS89" i="4" s="1"/>
  <c r="AR91" i="4"/>
  <c r="AS187" i="2"/>
  <c r="AS91" i="4" s="1"/>
  <c r="AM90" i="4"/>
  <c r="AT116" i="4"/>
  <c r="AV231" i="2"/>
  <c r="AT118" i="4"/>
  <c r="AV233" i="2"/>
  <c r="AT120" i="4"/>
  <c r="AV123" i="4"/>
  <c r="AT123" i="4"/>
  <c r="AV238" i="2"/>
  <c r="AT125" i="4"/>
  <c r="AV240" i="2"/>
  <c r="AT127" i="4"/>
  <c r="R241" i="2"/>
  <c r="R128" i="4" s="1"/>
  <c r="R121" i="4"/>
  <c r="W241" i="2"/>
  <c r="W128" i="4" s="1"/>
  <c r="W121" i="4"/>
  <c r="AH121" i="4"/>
  <c r="G241" i="2"/>
  <c r="G128" i="4" s="1"/>
  <c r="G121" i="4"/>
  <c r="N121" i="4"/>
  <c r="S241" i="2"/>
  <c r="S128" i="4" s="1"/>
  <c r="S121" i="4"/>
  <c r="AB241" i="2"/>
  <c r="AB128" i="4" s="1"/>
  <c r="AB121" i="4"/>
  <c r="AD241" i="2"/>
  <c r="AD128" i="4" s="1"/>
  <c r="AD121" i="4"/>
  <c r="AK110" i="3"/>
  <c r="S21" i="2"/>
  <c r="S11" i="4" s="1"/>
  <c r="S7" i="4"/>
  <c r="U21" i="2"/>
  <c r="U11" i="4" s="1"/>
  <c r="U7" i="4"/>
  <c r="L21" i="2"/>
  <c r="L11" i="4" s="1"/>
  <c r="L10" i="4"/>
  <c r="D10" i="5"/>
  <c r="V10" i="4"/>
  <c r="F10" i="5"/>
  <c r="AF10" i="4"/>
  <c r="H10" i="5"/>
  <c r="AP10" i="4"/>
  <c r="P21" i="2"/>
  <c r="P11" i="4" s="1"/>
  <c r="L26" i="2"/>
  <c r="L12" i="4"/>
  <c r="C16" i="5"/>
  <c r="Q14" i="4"/>
  <c r="G16" i="5"/>
  <c r="AK14" i="4"/>
  <c r="AF45" i="2"/>
  <c r="AF24" i="4"/>
  <c r="AK57" i="2"/>
  <c r="S298" i="2"/>
  <c r="S31" i="4"/>
  <c r="U298" i="2"/>
  <c r="U31" i="4"/>
  <c r="AH298" i="2"/>
  <c r="AH31" i="4"/>
  <c r="O75" i="2"/>
  <c r="O296" i="2" s="1"/>
  <c r="AD81" i="2"/>
  <c r="AD87" i="2" s="1"/>
  <c r="AO87" i="2"/>
  <c r="AW81" i="2"/>
  <c r="AA125" i="2"/>
  <c r="AF125" i="2"/>
  <c r="AK125" i="2"/>
  <c r="V125" i="2"/>
  <c r="AP125" i="2"/>
  <c r="L131" i="2"/>
  <c r="L132" i="2"/>
  <c r="Q131" i="2"/>
  <c r="C24" i="5" s="1"/>
  <c r="C42" i="5" s="1"/>
  <c r="V131" i="2"/>
  <c r="D24" i="5" s="1"/>
  <c r="D42" i="5" s="1"/>
  <c r="AA131" i="2"/>
  <c r="E24" i="5" s="1"/>
  <c r="E42" i="5" s="1"/>
  <c r="AF131" i="2"/>
  <c r="F24" i="5" s="1"/>
  <c r="F42" i="5" s="1"/>
  <c r="Q132" i="2"/>
  <c r="C31" i="5" s="1"/>
  <c r="V132" i="2"/>
  <c r="D31" i="5" s="1"/>
  <c r="O146" i="2"/>
  <c r="O52" i="4" s="1"/>
  <c r="T146" i="2"/>
  <c r="T52" i="4" s="1"/>
  <c r="Y146" i="2"/>
  <c r="Y52" i="4" s="1"/>
  <c r="AD146" i="2"/>
  <c r="AI146" i="2"/>
  <c r="AI52" i="4" s="1"/>
  <c r="AN146" i="2"/>
  <c r="AN52" i="4" s="1"/>
  <c r="AS146" i="2"/>
  <c r="AS52" i="4" s="1"/>
  <c r="O148" i="2"/>
  <c r="O151" i="2"/>
  <c r="O57" i="4" s="1"/>
  <c r="N57" i="4"/>
  <c r="O152" i="2"/>
  <c r="AD148" i="2"/>
  <c r="AM54" i="4"/>
  <c r="AJ150" i="2"/>
  <c r="AJ56" i="4" s="1"/>
  <c r="AH56" i="4"/>
  <c r="AH57" i="4"/>
  <c r="AJ152" i="2"/>
  <c r="AH58" i="4"/>
  <c r="AM56" i="4"/>
  <c r="AN151" i="2"/>
  <c r="AM57" i="4"/>
  <c r="AN152" i="2"/>
  <c r="AU151" i="2"/>
  <c r="AU57" i="4" s="1"/>
  <c r="AR57" i="4"/>
  <c r="V153" i="2"/>
  <c r="V59" i="4" s="1"/>
  <c r="U59" i="4"/>
  <c r="AJ151" i="2"/>
  <c r="AJ57" i="4" s="1"/>
  <c r="V156" i="2"/>
  <c r="V61" i="4" s="1"/>
  <c r="U61" i="4"/>
  <c r="AQ71" i="4"/>
  <c r="AT69" i="4"/>
  <c r="M190" i="2"/>
  <c r="M94" i="4" s="1"/>
  <c r="M71" i="4"/>
  <c r="W190" i="2"/>
  <c r="W94" i="4" s="1"/>
  <c r="W71" i="4"/>
  <c r="AL71" i="4"/>
  <c r="P169" i="2"/>
  <c r="P75" i="4" s="1"/>
  <c r="N75" i="4"/>
  <c r="S173" i="2"/>
  <c r="S79" i="4" s="1"/>
  <c r="S74" i="4"/>
  <c r="V170" i="2"/>
  <c r="V76" i="4" s="1"/>
  <c r="U76" i="4"/>
  <c r="AH173" i="2"/>
  <c r="AH79" i="4" s="1"/>
  <c r="AH75" i="4"/>
  <c r="AO168" i="2"/>
  <c r="AN74" i="4"/>
  <c r="AM76" i="4"/>
  <c r="AN170" i="2"/>
  <c r="AN76" i="4" s="1"/>
  <c r="AR78" i="4"/>
  <c r="AS172" i="2"/>
  <c r="AS78" i="4" s="1"/>
  <c r="S84" i="4"/>
  <c r="T178" i="2"/>
  <c r="T84" i="4" s="1"/>
  <c r="S87" i="4"/>
  <c r="T181" i="2"/>
  <c r="T87" i="4" s="1"/>
  <c r="S89" i="4"/>
  <c r="T185" i="2"/>
  <c r="T89" i="4" s="1"/>
  <c r="S91" i="4"/>
  <c r="T187" i="2"/>
  <c r="T91" i="4" s="1"/>
  <c r="AH83" i="4"/>
  <c r="AI177" i="2"/>
  <c r="AI299" i="2" s="1"/>
  <c r="AM84" i="4"/>
  <c r="AN178" i="2"/>
  <c r="AN84" i="4" s="1"/>
  <c r="AR84" i="4"/>
  <c r="AS178" i="2"/>
  <c r="AR87" i="4"/>
  <c r="AS181" i="2"/>
  <c r="AS87" i="4" s="1"/>
  <c r="X84" i="4"/>
  <c r="Y178" i="2"/>
  <c r="Y84" i="4" s="1"/>
  <c r="Y182" i="2"/>
  <c r="Y88" i="4" s="1"/>
  <c r="X88" i="4"/>
  <c r="AC89" i="4"/>
  <c r="AD185" i="2"/>
  <c r="AD89" i="4" s="1"/>
  <c r="AH89" i="4"/>
  <c r="AI185" i="2"/>
  <c r="AI89" i="4" s="1"/>
  <c r="AR90" i="4"/>
  <c r="AC90" i="4"/>
  <c r="AU210" i="2"/>
  <c r="AT100" i="4"/>
  <c r="AT108" i="4"/>
  <c r="AV220" i="2"/>
  <c r="AT110" i="4"/>
  <c r="P104" i="4"/>
  <c r="P221" i="2"/>
  <c r="P111" i="4" s="1"/>
  <c r="S221" i="2"/>
  <c r="S111" i="4" s="1"/>
  <c r="S104" i="4"/>
  <c r="U221" i="2"/>
  <c r="U111" i="4" s="1"/>
  <c r="U104" i="4"/>
  <c r="Z104" i="4"/>
  <c r="Z221" i="2"/>
  <c r="Z111" i="4" s="1"/>
  <c r="AC221" i="2"/>
  <c r="AC111" i="4" s="1"/>
  <c r="AC104" i="4"/>
  <c r="AE221" i="2"/>
  <c r="AE111" i="4" s="1"/>
  <c r="AE104" i="4"/>
  <c r="AJ104" i="4"/>
  <c r="AJ221" i="2"/>
  <c r="AJ111" i="4" s="1"/>
  <c r="AM221" i="2"/>
  <c r="AM111" i="4" s="1"/>
  <c r="AM104" i="4"/>
  <c r="AO221" i="2"/>
  <c r="AO111" i="4" s="1"/>
  <c r="AO104" i="4"/>
  <c r="L214" i="2"/>
  <c r="L98" i="4"/>
  <c r="Q214" i="2"/>
  <c r="Q98" i="4"/>
  <c r="V214" i="2"/>
  <c r="V98" i="4"/>
  <c r="AA214" i="2"/>
  <c r="AA98" i="4"/>
  <c r="AF214" i="2"/>
  <c r="AF98" i="4"/>
  <c r="AK214" i="2"/>
  <c r="AK98" i="4"/>
  <c r="AP214" i="2"/>
  <c r="AP98" i="4"/>
  <c r="N221" i="2"/>
  <c r="N111" i="4" s="1"/>
  <c r="AH221" i="2"/>
  <c r="AH111" i="4" s="1"/>
  <c r="AB255" i="2"/>
  <c r="AB122" i="4"/>
  <c r="AE255" i="2"/>
  <c r="AE259" i="2" s="1"/>
  <c r="AE122" i="4"/>
  <c r="AF235" i="2"/>
  <c r="AF122" i="4" s="1"/>
  <c r="AG255" i="2"/>
  <c r="Q113" i="4"/>
  <c r="V255" i="2"/>
  <c r="V256" i="2" s="1"/>
  <c r="V116" i="4"/>
  <c r="AF116" i="4"/>
  <c r="AK234" i="2"/>
  <c r="AK121" i="4" s="1"/>
  <c r="AK113" i="4"/>
  <c r="AU245" i="2"/>
  <c r="AU130" i="4" s="1"/>
  <c r="AT130" i="4"/>
  <c r="AP250" i="2"/>
  <c r="AP130" i="4"/>
  <c r="AA250" i="2"/>
  <c r="AA136" i="4" s="1"/>
  <c r="AC134" i="4"/>
  <c r="AC136" i="4"/>
  <c r="Y173" i="2"/>
  <c r="Y79" i="4" s="1"/>
  <c r="Y74" i="4"/>
  <c r="Z170" i="2"/>
  <c r="Z76" i="4" s="1"/>
  <c r="Y76" i="4"/>
  <c r="AU170" i="2"/>
  <c r="AU76" i="4" s="1"/>
  <c r="AR76" i="4"/>
  <c r="X267" i="2"/>
  <c r="X74" i="4"/>
  <c r="Z180" i="2"/>
  <c r="Z86" i="4" s="1"/>
  <c r="X86" i="4"/>
  <c r="AN179" i="2"/>
  <c r="AW188" i="2"/>
  <c r="AW92" i="4" s="1"/>
  <c r="AW85" i="4"/>
  <c r="AK178" i="2"/>
  <c r="AK84" i="4" s="1"/>
  <c r="AM88" i="4"/>
  <c r="AV213" i="2"/>
  <c r="AT103" i="4"/>
  <c r="AV219" i="2"/>
  <c r="AT109" i="4"/>
  <c r="G221" i="2"/>
  <c r="G111" i="4" s="1"/>
  <c r="G104" i="4"/>
  <c r="M221" i="2"/>
  <c r="M111" i="4" s="1"/>
  <c r="M104" i="4"/>
  <c r="O221" i="2"/>
  <c r="O111" i="4" s="1"/>
  <c r="O104" i="4"/>
  <c r="R221" i="2"/>
  <c r="R111" i="4" s="1"/>
  <c r="R104" i="4"/>
  <c r="T221" i="2"/>
  <c r="T111" i="4" s="1"/>
  <c r="T104" i="4"/>
  <c r="W221" i="2"/>
  <c r="W111" i="4" s="1"/>
  <c r="W104" i="4"/>
  <c r="Y221" i="2"/>
  <c r="Y111" i="4" s="1"/>
  <c r="Y104" i="4"/>
  <c r="AB221" i="2"/>
  <c r="AB111" i="4" s="1"/>
  <c r="AB104" i="4"/>
  <c r="AD221" i="2"/>
  <c r="AD111" i="4" s="1"/>
  <c r="AD104" i="4"/>
  <c r="AG221" i="2"/>
  <c r="AG111" i="4" s="1"/>
  <c r="AG104" i="4"/>
  <c r="AI221" i="2"/>
  <c r="AI111" i="4" s="1"/>
  <c r="AI104" i="4"/>
  <c r="AL221" i="2"/>
  <c r="AL111" i="4" s="1"/>
  <c r="AL104" i="4"/>
  <c r="AN221" i="2"/>
  <c r="AN111" i="4" s="1"/>
  <c r="AN104" i="4"/>
  <c r="AQ221" i="2"/>
  <c r="AQ111" i="4" s="1"/>
  <c r="AQ104" i="4"/>
  <c r="AS221" i="2"/>
  <c r="AS111" i="4" s="1"/>
  <c r="AS104" i="4"/>
  <c r="AV225" i="2"/>
  <c r="AT114" i="4"/>
  <c r="AV228" i="2"/>
  <c r="AT117" i="4"/>
  <c r="AV232" i="2"/>
  <c r="AT119" i="4"/>
  <c r="AV235" i="2"/>
  <c r="AT122" i="4"/>
  <c r="AT124" i="4"/>
  <c r="AV239" i="2"/>
  <c r="AT126" i="4"/>
  <c r="X116" i="4"/>
  <c r="T241" i="2"/>
  <c r="T128" i="4" s="1"/>
  <c r="T121" i="4"/>
  <c r="AS121" i="4"/>
  <c r="P121" i="4"/>
  <c r="U241" i="2"/>
  <c r="U121" i="4"/>
  <c r="Z241" i="2"/>
  <c r="Z128" i="4" s="1"/>
  <c r="Z121" i="4"/>
  <c r="X123" i="4"/>
  <c r="X122" i="4"/>
  <c r="AE241" i="2"/>
  <c r="AE128" i="4" s="1"/>
  <c r="AE121" i="4"/>
  <c r="L234" i="2"/>
  <c r="L113" i="4"/>
  <c r="V234" i="2"/>
  <c r="V113" i="4"/>
  <c r="AA234" i="2"/>
  <c r="AA113" i="4"/>
  <c r="AF234" i="2"/>
  <c r="AF121" i="4" s="1"/>
  <c r="AF113" i="4"/>
  <c r="AK250" i="2"/>
  <c r="AK130" i="4"/>
  <c r="AT248" i="2"/>
  <c r="AS133" i="4"/>
  <c r="L250" i="2"/>
  <c r="L136" i="4" s="1"/>
  <c r="L130" i="4"/>
  <c r="V250" i="2"/>
  <c r="V136" i="4" s="1"/>
  <c r="V130" i="4"/>
  <c r="AF250" i="2"/>
  <c r="AF136" i="4" s="1"/>
  <c r="AF130" i="4"/>
  <c r="Q250" i="2"/>
  <c r="Q136" i="4" s="1"/>
  <c r="AM136" i="4"/>
  <c r="AR136" i="4"/>
  <c r="R256" i="2"/>
  <c r="AJ21" i="2"/>
  <c r="AJ11" i="4" s="1"/>
  <c r="AJ7" i="4"/>
  <c r="AO21" i="2"/>
  <c r="AO7" i="4"/>
  <c r="AR21" i="2"/>
  <c r="AD21" i="2"/>
  <c r="AD11" i="4" s="1"/>
  <c r="AF15" i="2"/>
  <c r="AD7" i="4"/>
  <c r="AL7" i="4"/>
  <c r="AL21" i="2"/>
  <c r="AL11" i="4" s="1"/>
  <c r="AN21" i="2"/>
  <c r="AN11" i="4" s="1"/>
  <c r="AN7" i="4"/>
  <c r="AS7" i="4"/>
  <c r="I21" i="3"/>
  <c r="K21" i="3"/>
  <c r="N21" i="3"/>
  <c r="P21" i="3"/>
  <c r="S21" i="3"/>
  <c r="U21" i="3"/>
  <c r="X21" i="3"/>
  <c r="Z21" i="3"/>
  <c r="AC21" i="3"/>
  <c r="AE21" i="3"/>
  <c r="AH21" i="3"/>
  <c r="AJ21" i="3"/>
  <c r="AM21" i="3"/>
  <c r="BB73" i="3"/>
  <c r="BC74" i="3"/>
  <c r="I78" i="3"/>
  <c r="K78" i="3"/>
  <c r="N78" i="3"/>
  <c r="P78" i="3"/>
  <c r="S78" i="3"/>
  <c r="U78" i="3"/>
  <c r="X78" i="3"/>
  <c r="Z78" i="3"/>
  <c r="AC78" i="3"/>
  <c r="AE78" i="3"/>
  <c r="AH78" i="3"/>
  <c r="AJ78" i="3"/>
  <c r="AM78" i="3"/>
  <c r="AE93" i="3"/>
  <c r="AH15" i="2"/>
  <c r="AM15" i="2"/>
  <c r="Y16" i="2"/>
  <c r="Y8" i="4" s="1"/>
  <c r="AO27" i="2"/>
  <c r="D14" i="1"/>
  <c r="R7" i="4"/>
  <c r="L12" i="3"/>
  <c r="V12" i="3"/>
  <c r="AF12" i="3"/>
  <c r="AP12" i="3"/>
  <c r="H21" i="3"/>
  <c r="J21" i="3"/>
  <c r="M21" i="3"/>
  <c r="O21" i="3"/>
  <c r="R21" i="3"/>
  <c r="T21" i="3"/>
  <c r="W21" i="3"/>
  <c r="Y21" i="3"/>
  <c r="AB21" i="3"/>
  <c r="AD21" i="3"/>
  <c r="AG21" i="3"/>
  <c r="AI21" i="3"/>
  <c r="AL21" i="3"/>
  <c r="AN21" i="3"/>
  <c r="AW22" i="3"/>
  <c r="AX23" i="3"/>
  <c r="AY23" i="3" s="1"/>
  <c r="L72" i="3"/>
  <c r="V72" i="3"/>
  <c r="AF72" i="3"/>
  <c r="AP72" i="3"/>
  <c r="H78" i="3"/>
  <c r="J78" i="3"/>
  <c r="M78" i="3"/>
  <c r="O78" i="3"/>
  <c r="R78" i="3"/>
  <c r="T78" i="3"/>
  <c r="W78" i="3"/>
  <c r="Y78" i="3"/>
  <c r="AB78" i="3"/>
  <c r="AD78" i="3"/>
  <c r="AG78" i="3"/>
  <c r="AI78" i="3"/>
  <c r="AL78" i="3"/>
  <c r="AN78" i="3"/>
  <c r="AI93" i="3"/>
  <c r="AI15" i="2"/>
  <c r="AQ15" i="2"/>
  <c r="R27" i="2"/>
  <c r="R13" i="4" s="1"/>
  <c r="W27" i="2"/>
  <c r="W13" i="4" s="1"/>
  <c r="C18" i="1"/>
  <c r="W7" i="4"/>
  <c r="Q8" i="5"/>
  <c r="C57" i="5"/>
  <c r="N49" i="5"/>
  <c r="D50" i="4"/>
  <c r="F50" i="4"/>
  <c r="H50" i="4"/>
  <c r="J50" i="4"/>
  <c r="L50" i="4"/>
  <c r="N50" i="4"/>
  <c r="P50" i="4"/>
  <c r="R50" i="4"/>
  <c r="T50" i="4"/>
  <c r="V50" i="4"/>
  <c r="X50" i="4"/>
  <c r="Z50" i="4"/>
  <c r="AB50" i="4"/>
  <c r="AD50" i="4"/>
  <c r="AF50" i="4"/>
  <c r="AH50" i="4"/>
  <c r="AJ50" i="4"/>
  <c r="AL50" i="4"/>
  <c r="AN50" i="4"/>
  <c r="AP50" i="4"/>
  <c r="AR50" i="4"/>
  <c r="AT50" i="4"/>
  <c r="AV50" i="4"/>
  <c r="AX50" i="4"/>
  <c r="AZ50" i="4"/>
  <c r="C97" i="4"/>
  <c r="E97" i="4"/>
  <c r="G50" i="4"/>
  <c r="I50" i="4"/>
  <c r="K50" i="4"/>
  <c r="M50" i="4"/>
  <c r="O50" i="4"/>
  <c r="Q50" i="4"/>
  <c r="S50" i="4"/>
  <c r="U50" i="4"/>
  <c r="W50" i="4"/>
  <c r="Y50" i="4"/>
  <c r="AA50" i="4"/>
  <c r="AC50" i="4"/>
  <c r="AE50" i="4"/>
  <c r="AG50" i="4"/>
  <c r="AI50" i="4"/>
  <c r="AK50" i="4"/>
  <c r="AM50" i="4"/>
  <c r="AO50" i="4"/>
  <c r="AQ50" i="4"/>
  <c r="AS50" i="4"/>
  <c r="AU50" i="4"/>
  <c r="AW50" i="4"/>
  <c r="AY50" i="4"/>
  <c r="N266" i="2"/>
  <c r="N264" i="2"/>
  <c r="N265" i="2"/>
  <c r="N46" i="2"/>
  <c r="N25" i="4" s="1"/>
  <c r="N38" i="2"/>
  <c r="N17" i="4" s="1"/>
  <c r="N33" i="2"/>
  <c r="N15" i="4" s="1"/>
  <c r="P266" i="2"/>
  <c r="P264" i="2"/>
  <c r="P265" i="2"/>
  <c r="P46" i="2"/>
  <c r="P25" i="4" s="1"/>
  <c r="P38" i="2"/>
  <c r="P17" i="4" s="1"/>
  <c r="P33" i="2"/>
  <c r="P15" i="4" s="1"/>
  <c r="R267" i="2"/>
  <c r="R266" i="2"/>
  <c r="R265" i="2"/>
  <c r="R264" i="2"/>
  <c r="R46" i="2"/>
  <c r="R25" i="4" s="1"/>
  <c r="R38" i="2"/>
  <c r="R17" i="4" s="1"/>
  <c r="T266" i="2"/>
  <c r="T265" i="2"/>
  <c r="T264" i="2"/>
  <c r="T46" i="2"/>
  <c r="T25" i="4" s="1"/>
  <c r="T38" i="2"/>
  <c r="T17" i="4" s="1"/>
  <c r="T33" i="2"/>
  <c r="T15" i="4" s="1"/>
  <c r="T27" i="2"/>
  <c r="T13" i="4" s="1"/>
  <c r="V15" i="2"/>
  <c r="V46" i="2" s="1"/>
  <c r="V25" i="4" s="1"/>
  <c r="Y266" i="2"/>
  <c r="Y265" i="2"/>
  <c r="Y264" i="2"/>
  <c r="Y33" i="2"/>
  <c r="Y15" i="4" s="1"/>
  <c r="Y46" i="2"/>
  <c r="Y25" i="4" s="1"/>
  <c r="Y38" i="2"/>
  <c r="AD266" i="2"/>
  <c r="AD265" i="2"/>
  <c r="AD264" i="2"/>
  <c r="AD38" i="2"/>
  <c r="AD17" i="4" s="1"/>
  <c r="AD46" i="2"/>
  <c r="AD25" i="4" s="1"/>
  <c r="AD33" i="2"/>
  <c r="AD15" i="4" s="1"/>
  <c r="AD27" i="2"/>
  <c r="AD13" i="4" s="1"/>
  <c r="AJ266" i="2"/>
  <c r="AJ265" i="2"/>
  <c r="AJ264" i="2"/>
  <c r="AJ38" i="2"/>
  <c r="AJ17" i="4" s="1"/>
  <c r="AJ46" i="2"/>
  <c r="AJ25" i="4" s="1"/>
  <c r="AJ33" i="2"/>
  <c r="AJ15" i="4" s="1"/>
  <c r="AJ27" i="2"/>
  <c r="AJ13" i="4" s="1"/>
  <c r="AL267" i="2"/>
  <c r="AL266" i="2"/>
  <c r="AL265" i="2"/>
  <c r="AL264" i="2"/>
  <c r="AL38" i="2"/>
  <c r="AL17" i="4" s="1"/>
  <c r="AL46" i="2"/>
  <c r="AL25" i="4" s="1"/>
  <c r="AL33" i="2"/>
  <c r="AL15" i="4" s="1"/>
  <c r="AL27" i="2"/>
  <c r="AL13" i="4" s="1"/>
  <c r="AN266" i="2"/>
  <c r="AN265" i="2"/>
  <c r="AN264" i="2"/>
  <c r="AN38" i="2"/>
  <c r="AN17" i="4" s="1"/>
  <c r="AR264" i="2"/>
  <c r="AR38" i="2"/>
  <c r="AR259" i="2" s="1"/>
  <c r="L16" i="2"/>
  <c r="L8" i="4" s="1"/>
  <c r="N16" i="2"/>
  <c r="N8" i="4" s="1"/>
  <c r="P16" i="2"/>
  <c r="P8" i="4" s="1"/>
  <c r="R16" i="2"/>
  <c r="R8" i="4" s="1"/>
  <c r="T16" i="2"/>
  <c r="T8" i="4" s="1"/>
  <c r="X16" i="2"/>
  <c r="X8" i="4" s="1"/>
  <c r="Z16" i="2"/>
  <c r="Z8" i="4" s="1"/>
  <c r="AB16" i="2"/>
  <c r="AB8" i="4" s="1"/>
  <c r="AD16" i="2"/>
  <c r="AD8" i="4" s="1"/>
  <c r="AJ16" i="2"/>
  <c r="AL16" i="2"/>
  <c r="L20" i="2"/>
  <c r="V20" i="2"/>
  <c r="AF20" i="2"/>
  <c r="AP20" i="2"/>
  <c r="Y21" i="2"/>
  <c r="Y11" i="4" s="1"/>
  <c r="AA25" i="2"/>
  <c r="AF25" i="2"/>
  <c r="AN27" i="2"/>
  <c r="AN13" i="4" s="1"/>
  <c r="AP25" i="2"/>
  <c r="S26" i="2"/>
  <c r="W26" i="2"/>
  <c r="AO26" i="2"/>
  <c r="AQ26" i="2"/>
  <c r="L27" i="2"/>
  <c r="L13" i="4" s="1"/>
  <c r="N27" i="2"/>
  <c r="N13" i="4" s="1"/>
  <c r="P27" i="2"/>
  <c r="P13" i="4" s="1"/>
  <c r="H124" i="2"/>
  <c r="H126" i="2" s="1"/>
  <c r="H22" i="4" s="1"/>
  <c r="H110" i="2"/>
  <c r="H117" i="2" s="1"/>
  <c r="H121" i="2" s="1"/>
  <c r="H48" i="2"/>
  <c r="H26" i="4" s="1"/>
  <c r="H40" i="2"/>
  <c r="H19" i="4" s="1"/>
  <c r="J124" i="2"/>
  <c r="J126" i="2" s="1"/>
  <c r="J22" i="4" s="1"/>
  <c r="J110" i="2"/>
  <c r="J117" i="2" s="1"/>
  <c r="J121" i="2" s="1"/>
  <c r="J48" i="2"/>
  <c r="J26" i="4" s="1"/>
  <c r="J40" i="2"/>
  <c r="J19" i="4" s="1"/>
  <c r="S33" i="2"/>
  <c r="S15" i="4" s="1"/>
  <c r="AO33" i="2"/>
  <c r="L46" i="2"/>
  <c r="L25" i="4" s="1"/>
  <c r="AA67" i="2"/>
  <c r="E35" i="5" s="1"/>
  <c r="AF67" i="2"/>
  <c r="F35" i="5" s="1"/>
  <c r="BD83" i="2"/>
  <c r="BD81" i="2" s="1"/>
  <c r="BC81" i="2"/>
  <c r="M267" i="2"/>
  <c r="M266" i="2"/>
  <c r="M264" i="2"/>
  <c r="M33" i="2"/>
  <c r="M15" i="4" s="1"/>
  <c r="M46" i="2"/>
  <c r="M25" i="4" s="1"/>
  <c r="M38" i="2"/>
  <c r="O266" i="2"/>
  <c r="O265" i="2"/>
  <c r="O264" i="2"/>
  <c r="O33" i="2"/>
  <c r="O15" i="4" s="1"/>
  <c r="O46" i="2"/>
  <c r="O25" i="4" s="1"/>
  <c r="O38" i="2"/>
  <c r="O17" i="4" s="1"/>
  <c r="Q15" i="2"/>
  <c r="Q46" i="2" s="1"/>
  <c r="Q25" i="4" s="1"/>
  <c r="S266" i="2"/>
  <c r="S265" i="2"/>
  <c r="S264" i="2"/>
  <c r="S46" i="2"/>
  <c r="S25" i="4" s="1"/>
  <c r="S38" i="2"/>
  <c r="S17" i="4" s="1"/>
  <c r="U266" i="2"/>
  <c r="U265" i="2"/>
  <c r="U264" i="2"/>
  <c r="U33" i="2"/>
  <c r="U15" i="4" s="1"/>
  <c r="U46" i="2"/>
  <c r="U25" i="4" s="1"/>
  <c r="U38" i="2"/>
  <c r="U17" i="4" s="1"/>
  <c r="W267" i="2"/>
  <c r="W266" i="2"/>
  <c r="W265" i="2"/>
  <c r="W264" i="2"/>
  <c r="W46" i="2"/>
  <c r="W25" i="4" s="1"/>
  <c r="W38" i="2"/>
  <c r="W17" i="4" s="1"/>
  <c r="AA15" i="2"/>
  <c r="AO266" i="2"/>
  <c r="AO265" i="2"/>
  <c r="AO264" i="2"/>
  <c r="AO38" i="2"/>
  <c r="AO17" i="4" s="1"/>
  <c r="AS265" i="2"/>
  <c r="AS266" i="2"/>
  <c r="M16" i="2"/>
  <c r="M8" i="4" s="1"/>
  <c r="O16" i="2"/>
  <c r="O8" i="4" s="1"/>
  <c r="S16" i="2"/>
  <c r="S8" i="4" s="1"/>
  <c r="U16" i="2"/>
  <c r="U8" i="4" s="1"/>
  <c r="W16" i="2"/>
  <c r="W8" i="4" s="1"/>
  <c r="AO16" i="2"/>
  <c r="Q20" i="2"/>
  <c r="AA20" i="2"/>
  <c r="AK20" i="2"/>
  <c r="V25" i="2"/>
  <c r="X38" i="2"/>
  <c r="X17" i="4" s="1"/>
  <c r="X27" i="2"/>
  <c r="X13" i="4" s="1"/>
  <c r="AB38" i="2"/>
  <c r="AB17" i="4" s="1"/>
  <c r="AB27" i="2"/>
  <c r="AB13" i="4" s="1"/>
  <c r="R26" i="2"/>
  <c r="X26" i="2"/>
  <c r="AB26" i="2"/>
  <c r="G27" i="2"/>
  <c r="G13" i="4" s="1"/>
  <c r="M27" i="2"/>
  <c r="M13" i="4" s="1"/>
  <c r="O27" i="2"/>
  <c r="O13" i="4" s="1"/>
  <c r="U27" i="2"/>
  <c r="U13" i="4" s="1"/>
  <c r="Y27" i="2"/>
  <c r="Y13" i="4" s="1"/>
  <c r="D124" i="2"/>
  <c r="D126" i="2" s="1"/>
  <c r="D48" i="2"/>
  <c r="D26" i="4" s="1"/>
  <c r="D40" i="2"/>
  <c r="D19" i="4" s="1"/>
  <c r="F124" i="2"/>
  <c r="F126" i="2" s="1"/>
  <c r="F48" i="2"/>
  <c r="F26" i="4" s="1"/>
  <c r="F40" i="2"/>
  <c r="F19" i="4" s="1"/>
  <c r="W33" i="2"/>
  <c r="W15" i="4" s="1"/>
  <c r="G46" i="2"/>
  <c r="G25" i="4" s="1"/>
  <c r="AH88" i="2"/>
  <c r="AH87" i="2" s="1"/>
  <c r="AG87" i="2"/>
  <c r="G31" i="2"/>
  <c r="AA31" i="2"/>
  <c r="AF31" i="2"/>
  <c r="AK32" i="2" s="1"/>
  <c r="AP31" i="2"/>
  <c r="I32" i="2"/>
  <c r="K32" i="2"/>
  <c r="M32" i="2"/>
  <c r="O32" i="2"/>
  <c r="S32" i="2"/>
  <c r="W32" i="2"/>
  <c r="AC32" i="2"/>
  <c r="AG32" i="2"/>
  <c r="AO32" i="2"/>
  <c r="AQ32" i="2"/>
  <c r="AS32" i="2"/>
  <c r="D33" i="2"/>
  <c r="D15" i="4" s="1"/>
  <c r="F33" i="2"/>
  <c r="F15" i="4" s="1"/>
  <c r="H33" i="2"/>
  <c r="H15" i="4" s="1"/>
  <c r="J33" i="2"/>
  <c r="J15" i="4" s="1"/>
  <c r="R33" i="2"/>
  <c r="R15" i="4" s="1"/>
  <c r="X33" i="2"/>
  <c r="X15" i="4" s="1"/>
  <c r="AB33" i="2"/>
  <c r="AB15" i="4" s="1"/>
  <c r="AN33" i="2"/>
  <c r="AN15" i="4" s="1"/>
  <c r="C38" i="2"/>
  <c r="C17" i="4" s="1"/>
  <c r="E38" i="2"/>
  <c r="E17" i="4" s="1"/>
  <c r="I38" i="2"/>
  <c r="I17" i="4" s="1"/>
  <c r="K38" i="2"/>
  <c r="K17" i="4" s="1"/>
  <c r="AC124" i="2"/>
  <c r="AC126" i="2" s="1"/>
  <c r="AC22" i="4" s="1"/>
  <c r="AC110" i="2"/>
  <c r="AE124" i="2"/>
  <c r="AE126" i="2" s="1"/>
  <c r="AE22" i="4" s="1"/>
  <c r="AE110" i="2"/>
  <c r="AG124" i="2"/>
  <c r="AG126" i="2" s="1"/>
  <c r="AG22" i="4" s="1"/>
  <c r="AG110" i="2"/>
  <c r="AC39" i="2"/>
  <c r="AC18" i="4" s="1"/>
  <c r="AE39" i="2"/>
  <c r="AE18" i="4" s="1"/>
  <c r="AC40" i="2"/>
  <c r="AC19" i="4" s="1"/>
  <c r="AE40" i="2"/>
  <c r="AE19" i="4" s="1"/>
  <c r="AG40" i="2"/>
  <c r="AG19" i="4" s="1"/>
  <c r="AN298" i="2"/>
  <c r="AN131" i="2"/>
  <c r="AP44" i="2"/>
  <c r="AP24" i="4" s="1"/>
  <c r="AR131" i="2"/>
  <c r="Q45" i="2"/>
  <c r="AK45" i="2"/>
  <c r="AN46" i="2"/>
  <c r="AN25" i="4" s="1"/>
  <c r="AC48" i="2"/>
  <c r="AC26" i="4" s="1"/>
  <c r="AE48" i="2"/>
  <c r="AE26" i="4" s="1"/>
  <c r="AG48" i="2"/>
  <c r="AG26" i="4" s="1"/>
  <c r="AQ132" i="2"/>
  <c r="AQ57" i="2"/>
  <c r="AA61" i="2"/>
  <c r="AA34" i="4" s="1"/>
  <c r="AF61" i="2"/>
  <c r="AF34" i="4" s="1"/>
  <c r="AX64" i="2"/>
  <c r="AX66" i="2"/>
  <c r="AY66" i="2" s="1"/>
  <c r="BC66" i="2"/>
  <c r="BD66" i="2" s="1"/>
  <c r="N76" i="2"/>
  <c r="V75" i="2"/>
  <c r="V296" i="2" s="1"/>
  <c r="AA75" i="2"/>
  <c r="AA296" i="2" s="1"/>
  <c r="AK76" i="2"/>
  <c r="AD91" i="2"/>
  <c r="AE91" i="2" s="1"/>
  <c r="AG91" i="2" s="1"/>
  <c r="BB120" i="2"/>
  <c r="L31" i="2"/>
  <c r="V31" i="2"/>
  <c r="H32" i="2"/>
  <c r="J32" i="2"/>
  <c r="N32" i="2"/>
  <c r="P32" i="2"/>
  <c r="Z110" i="2"/>
  <c r="Z124" i="2"/>
  <c r="Z126" i="2" s="1"/>
  <c r="Z22" i="4" s="1"/>
  <c r="Z40" i="2"/>
  <c r="Z19" i="4" s="1"/>
  <c r="AO298" i="2"/>
  <c r="AO131" i="2"/>
  <c r="AQ131" i="2"/>
  <c r="AS131" i="2"/>
  <c r="L45" i="2"/>
  <c r="V45" i="2"/>
  <c r="AN45" i="2"/>
  <c r="AR45" i="2"/>
  <c r="AO46" i="2"/>
  <c r="AO25" i="4" s="1"/>
  <c r="AS46" i="2"/>
  <c r="AS25" i="4" s="1"/>
  <c r="Z48" i="2"/>
  <c r="Z26" i="4" s="1"/>
  <c r="AQ55" i="2"/>
  <c r="AK298" i="2"/>
  <c r="X298" i="2"/>
  <c r="AA112" i="2"/>
  <c r="AE298" i="2"/>
  <c r="AJ298" i="2"/>
  <c r="AL298" i="2"/>
  <c r="AX120" i="2"/>
  <c r="AY120" i="2" s="1"/>
  <c r="X132" i="2"/>
  <c r="AA132" i="2" s="1"/>
  <c r="E31" i="5" s="1"/>
  <c r="AE132" i="2"/>
  <c r="AM165" i="2"/>
  <c r="AM71" i="4" s="1"/>
  <c r="AS132" i="4"/>
  <c r="P149" i="2"/>
  <c r="P55" i="4" s="1"/>
  <c r="P151" i="2"/>
  <c r="P57" i="4" s="1"/>
  <c r="AS153" i="2"/>
  <c r="AD154" i="2"/>
  <c r="Z298" i="2"/>
  <c r="AC298" i="2"/>
  <c r="AF112" i="2"/>
  <c r="AM298" i="2"/>
  <c r="AP112" i="2"/>
  <c r="AP298" i="2" s="1"/>
  <c r="AC132" i="2"/>
  <c r="AJ132" i="2"/>
  <c r="AK132" i="2" s="1"/>
  <c r="G31" i="5" s="1"/>
  <c r="AL132" i="2"/>
  <c r="AP132" i="2" s="1"/>
  <c r="H31" i="5" s="1"/>
  <c r="AO146" i="2"/>
  <c r="AO52" i="4" s="1"/>
  <c r="Y148" i="2"/>
  <c r="AS148" i="2"/>
  <c r="Z151" i="2"/>
  <c r="O156" i="2"/>
  <c r="AO267" i="2"/>
  <c r="P146" i="2"/>
  <c r="P52" i="4" s="1"/>
  <c r="Z146" i="2"/>
  <c r="Z52" i="4" s="1"/>
  <c r="AJ146" i="2"/>
  <c r="AJ52" i="4" s="1"/>
  <c r="P150" i="2"/>
  <c r="P152" i="2"/>
  <c r="O158" i="2"/>
  <c r="O159" i="2"/>
  <c r="O64" i="4" s="1"/>
  <c r="O160" i="2"/>
  <c r="O161" i="2"/>
  <c r="O162" i="2"/>
  <c r="O163" i="2"/>
  <c r="O68" i="4" s="1"/>
  <c r="O164" i="2"/>
  <c r="T158" i="2"/>
  <c r="T159" i="2"/>
  <c r="T160" i="2"/>
  <c r="T161" i="2"/>
  <c r="T162" i="2"/>
  <c r="T163" i="2"/>
  <c r="T164" i="2"/>
  <c r="Y158" i="2"/>
  <c r="Y159" i="2"/>
  <c r="Y160" i="2"/>
  <c r="Y161" i="2"/>
  <c r="Y162" i="2"/>
  <c r="Y163" i="2"/>
  <c r="Y164" i="2"/>
  <c r="AD158" i="2"/>
  <c r="AD159" i="2"/>
  <c r="AD160" i="2"/>
  <c r="AD161" i="2"/>
  <c r="AD162" i="2"/>
  <c r="AD163" i="2"/>
  <c r="AD164" i="2"/>
  <c r="AI158" i="2"/>
  <c r="AI159" i="2"/>
  <c r="AI64" i="4" s="1"/>
  <c r="AI160" i="2"/>
  <c r="AI161" i="2"/>
  <c r="AI162" i="2"/>
  <c r="AI163" i="2"/>
  <c r="AI68" i="4" s="1"/>
  <c r="AI164" i="2"/>
  <c r="AN158" i="2"/>
  <c r="AN159" i="2"/>
  <c r="AN160" i="2"/>
  <c r="AN161" i="2"/>
  <c r="AN162" i="2"/>
  <c r="AN163" i="2"/>
  <c r="AN164" i="2"/>
  <c r="AS158" i="2"/>
  <c r="AS63" i="4" s="1"/>
  <c r="AS159" i="2"/>
  <c r="AS64" i="4" s="1"/>
  <c r="AS160" i="2"/>
  <c r="AS65" i="4" s="1"/>
  <c r="AS161" i="2"/>
  <c r="AS66" i="4" s="1"/>
  <c r="AS162" i="2"/>
  <c r="AS67" i="4" s="1"/>
  <c r="AS163" i="2"/>
  <c r="AS164" i="2"/>
  <c r="AG165" i="2"/>
  <c r="O168" i="2"/>
  <c r="O170" i="2"/>
  <c r="T168" i="2"/>
  <c r="T74" i="4" s="1"/>
  <c r="T169" i="2"/>
  <c r="Z168" i="2"/>
  <c r="Z74" i="4" s="1"/>
  <c r="Z169" i="2"/>
  <c r="Z75" i="4" s="1"/>
  <c r="AD168" i="2"/>
  <c r="AD74" i="4" s="1"/>
  <c r="AE169" i="2"/>
  <c r="AD170" i="2"/>
  <c r="AJ168" i="2"/>
  <c r="AI169" i="2"/>
  <c r="AJ169" i="2" s="1"/>
  <c r="AJ75" i="4" s="1"/>
  <c r="AN169" i="2"/>
  <c r="AN173" i="2" s="1"/>
  <c r="AN79" i="4" s="1"/>
  <c r="AS168" i="2"/>
  <c r="AS74" i="4" s="1"/>
  <c r="Z172" i="2"/>
  <c r="AC173" i="2"/>
  <c r="AM173" i="2"/>
  <c r="AM79" i="4" s="1"/>
  <c r="S176" i="2"/>
  <c r="S82" i="4" s="1"/>
  <c r="S179" i="2"/>
  <c r="S85" i="4" s="1"/>
  <c r="AD178" i="2"/>
  <c r="AD180" i="2"/>
  <c r="AH299" i="2"/>
  <c r="AR179" i="2"/>
  <c r="X270" i="2"/>
  <c r="Y179" i="2"/>
  <c r="Y85" i="4" s="1"/>
  <c r="O179" i="2"/>
  <c r="P179" i="2" s="1"/>
  <c r="P180" i="2"/>
  <c r="AI179" i="2"/>
  <c r="AY179" i="2"/>
  <c r="BC179" i="2"/>
  <c r="BC85" i="4" s="1"/>
  <c r="AC182" i="2"/>
  <c r="AL299" i="2"/>
  <c r="AL134" i="4"/>
  <c r="AN185" i="2"/>
  <c r="AI186" i="2"/>
  <c r="AI90" i="4" s="1"/>
  <c r="AD187" i="2"/>
  <c r="AH187" i="2"/>
  <c r="O187" i="2"/>
  <c r="Y187" i="2"/>
  <c r="AN187" i="2"/>
  <c r="AU248" i="2"/>
  <c r="AU133" i="4" s="1"/>
  <c r="N267" i="2"/>
  <c r="S267" i="2"/>
  <c r="U168" i="2"/>
  <c r="U74" i="4" s="1"/>
  <c r="Y267" i="2"/>
  <c r="AN267" i="2"/>
  <c r="N173" i="2"/>
  <c r="AR173" i="2"/>
  <c r="X299" i="2"/>
  <c r="Z182" i="2"/>
  <c r="R188" i="2"/>
  <c r="AB188" i="2"/>
  <c r="AR188" i="2"/>
  <c r="AR92" i="4" s="1"/>
  <c r="L190" i="2"/>
  <c r="AU213" i="2"/>
  <c r="AU103" i="4" s="1"/>
  <c r="AU218" i="2"/>
  <c r="AU108" i="4" s="1"/>
  <c r="AU219" i="2"/>
  <c r="AU220" i="2"/>
  <c r="AU110" i="4" s="1"/>
  <c r="AU225" i="2"/>
  <c r="AU114" i="4" s="1"/>
  <c r="AU227" i="2"/>
  <c r="AU116" i="4" s="1"/>
  <c r="AU228" i="2"/>
  <c r="AU117" i="4" s="1"/>
  <c r="AU231" i="2"/>
  <c r="AU118" i="4" s="1"/>
  <c r="AU232" i="2"/>
  <c r="AU119" i="4" s="1"/>
  <c r="AU233" i="2"/>
  <c r="AU120" i="4" s="1"/>
  <c r="AU235" i="2"/>
  <c r="AU122" i="4" s="1"/>
  <c r="AU236" i="2"/>
  <c r="AU123" i="4" s="1"/>
  <c r="AU237" i="2"/>
  <c r="AU124" i="4" s="1"/>
  <c r="AU238" i="2"/>
  <c r="AU125" i="4" s="1"/>
  <c r="AU239" i="2"/>
  <c r="AU126" i="4" s="1"/>
  <c r="AU240" i="2"/>
  <c r="AU127" i="4" s="1"/>
  <c r="AQ257" i="2"/>
  <c r="AQ256" i="2"/>
  <c r="AS256" i="2"/>
  <c r="N255" i="2"/>
  <c r="P256" i="2"/>
  <c r="P257" i="2"/>
  <c r="AR234" i="2"/>
  <c r="M234" i="2"/>
  <c r="O234" i="2"/>
  <c r="AO234" i="2"/>
  <c r="Y122" i="4"/>
  <c r="AE257" i="2"/>
  <c r="Q255" i="2"/>
  <c r="L255" i="2"/>
  <c r="AA255" i="2"/>
  <c r="AT243" i="2"/>
  <c r="AT135" i="4" s="1"/>
  <c r="K252" i="2"/>
  <c r="K253" i="2" s="1"/>
  <c r="Z252" i="2"/>
  <c r="Z259" i="2"/>
  <c r="AV227" i="2"/>
  <c r="AV255" i="2" s="1"/>
  <c r="AR256" i="2"/>
  <c r="AR257" i="2"/>
  <c r="M257" i="2"/>
  <c r="M256" i="2"/>
  <c r="O256" i="2"/>
  <c r="AO257" i="2"/>
  <c r="AO256" i="2"/>
  <c r="AG234" i="2"/>
  <c r="AP227" i="2"/>
  <c r="AV245" i="2"/>
  <c r="AV130" i="4" s="1"/>
  <c r="G252" i="2"/>
  <c r="T252" i="2"/>
  <c r="W252" i="2"/>
  <c r="AE252" i="2"/>
  <c r="R257" i="2"/>
  <c r="T257" i="2"/>
  <c r="Z257" i="2"/>
  <c r="AD257" i="2"/>
  <c r="Z258" i="2"/>
  <c r="K257" i="2"/>
  <c r="S257" i="2"/>
  <c r="U257" i="2"/>
  <c r="W257" i="2"/>
  <c r="T290" i="2"/>
  <c r="T291" i="2" s="1"/>
  <c r="T55" i="2" s="1"/>
  <c r="AH290" i="2"/>
  <c r="AH291" i="2" s="1"/>
  <c r="AJ290" i="2"/>
  <c r="AJ291" i="2" s="1"/>
  <c r="AM290" i="2"/>
  <c r="AM291" i="2" s="1"/>
  <c r="U290" i="2"/>
  <c r="U291" i="2" s="1"/>
  <c r="U55" i="2" s="1"/>
  <c r="AO290" i="2"/>
  <c r="AO291" i="2" s="1"/>
  <c r="AG290" i="2"/>
  <c r="AG291" i="2" s="1"/>
  <c r="AI290" i="2"/>
  <c r="AI291" i="2" s="1"/>
  <c r="AL290" i="2"/>
  <c r="AL291" i="2" s="1"/>
  <c r="AN290" i="2"/>
  <c r="AN291" i="2" s="1"/>
  <c r="G84" i="3"/>
  <c r="Q84" i="3"/>
  <c r="Q97" i="3" s="1"/>
  <c r="AA84" i="3"/>
  <c r="AA97" i="3" s="1"/>
  <c r="AK84" i="3"/>
  <c r="AK97" i="3" s="1"/>
  <c r="C16" i="1" s="1"/>
  <c r="G87" i="3"/>
  <c r="Q87" i="3"/>
  <c r="Q100" i="3" s="1"/>
  <c r="AA87" i="3"/>
  <c r="AA100" i="3" s="1"/>
  <c r="AK87" i="3"/>
  <c r="AW13" i="3"/>
  <c r="BD14" i="3"/>
  <c r="G20" i="3"/>
  <c r="Q20" i="3"/>
  <c r="AA20" i="3"/>
  <c r="AK20" i="3"/>
  <c r="AO21" i="3"/>
  <c r="AQ21" i="3"/>
  <c r="AS21" i="3"/>
  <c r="BB22" i="3"/>
  <c r="BC23" i="3"/>
  <c r="L77" i="3"/>
  <c r="V77" i="3"/>
  <c r="AF77" i="3"/>
  <c r="AP77" i="3"/>
  <c r="L84" i="3"/>
  <c r="L98" i="3" s="1"/>
  <c r="V84" i="3"/>
  <c r="V98" i="3" s="1"/>
  <c r="AF84" i="3"/>
  <c r="AF98" i="3" s="1"/>
  <c r="AP84" i="3"/>
  <c r="Q9" i="3"/>
  <c r="AA9" i="3"/>
  <c r="AK9" i="3"/>
  <c r="C15" i="1" s="1"/>
  <c r="L87" i="3"/>
  <c r="L101" i="3" s="1"/>
  <c r="V87" i="3"/>
  <c r="V88" i="3" s="1"/>
  <c r="AF87" i="3"/>
  <c r="AP87" i="3"/>
  <c r="Q12" i="3"/>
  <c r="AA12" i="3"/>
  <c r="AK12" i="3"/>
  <c r="L20" i="3"/>
  <c r="V20" i="3"/>
  <c r="AF20" i="3"/>
  <c r="AF21" i="3" s="1"/>
  <c r="AP20" i="3"/>
  <c r="AR21" i="3"/>
  <c r="G77" i="3"/>
  <c r="Q98" i="3"/>
  <c r="Q77" i="3"/>
  <c r="AA77" i="3"/>
  <c r="AK77" i="3"/>
  <c r="L69" i="3"/>
  <c r="V69" i="3"/>
  <c r="AF69" i="3"/>
  <c r="AP69" i="3"/>
  <c r="D19" i="1" s="1"/>
  <c r="AX81" i="3"/>
  <c r="AY80" i="3"/>
  <c r="AX79" i="3"/>
  <c r="AX78" i="3"/>
  <c r="AX77" i="3" s="1"/>
  <c r="Q101" i="3"/>
  <c r="AW73" i="3"/>
  <c r="BD74" i="3"/>
  <c r="AO78" i="3"/>
  <c r="AQ78" i="3"/>
  <c r="AS78" i="3"/>
  <c r="BB79" i="3"/>
  <c r="AW81" i="3"/>
  <c r="D97" i="3"/>
  <c r="D98" i="3"/>
  <c r="D93" i="3"/>
  <c r="F97" i="3"/>
  <c r="F98" i="3"/>
  <c r="F93" i="3"/>
  <c r="K94" i="3" s="1"/>
  <c r="H98" i="3"/>
  <c r="H97" i="3"/>
  <c r="H93" i="3"/>
  <c r="J98" i="3"/>
  <c r="J97" i="3"/>
  <c r="J93" i="3"/>
  <c r="N98" i="3"/>
  <c r="N97" i="3"/>
  <c r="N93" i="3"/>
  <c r="P98" i="3"/>
  <c r="P97" i="3"/>
  <c r="P93" i="3"/>
  <c r="P94" i="3" s="1"/>
  <c r="R104" i="3"/>
  <c r="R105" i="3" s="1"/>
  <c r="R98" i="3"/>
  <c r="R97" i="3"/>
  <c r="R93" i="3"/>
  <c r="T98" i="3"/>
  <c r="T97" i="3"/>
  <c r="T93" i="3"/>
  <c r="T94" i="3" s="1"/>
  <c r="S106" i="3"/>
  <c r="S107" i="3" s="1"/>
  <c r="X98" i="3"/>
  <c r="X97" i="3"/>
  <c r="X93" i="3"/>
  <c r="Z98" i="3"/>
  <c r="Z97" i="3"/>
  <c r="Z93" i="3"/>
  <c r="AB98" i="3"/>
  <c r="AB97" i="3"/>
  <c r="AB93" i="3"/>
  <c r="AD98" i="3"/>
  <c r="AD97" i="3"/>
  <c r="AD93" i="3"/>
  <c r="AH98" i="3"/>
  <c r="AH97" i="3"/>
  <c r="AH93" i="3"/>
  <c r="AJ98" i="3"/>
  <c r="AJ97" i="3"/>
  <c r="AJ93" i="3"/>
  <c r="AL98" i="3"/>
  <c r="AL97" i="3"/>
  <c r="AL93" i="3"/>
  <c r="AQ94" i="3" s="1"/>
  <c r="AN98" i="3"/>
  <c r="AN97" i="3"/>
  <c r="AN93" i="3"/>
  <c r="AR98" i="3"/>
  <c r="AR97" i="3"/>
  <c r="AR93" i="3"/>
  <c r="H85" i="3"/>
  <c r="J85" i="3"/>
  <c r="N85" i="3"/>
  <c r="P85" i="3"/>
  <c r="R85" i="3"/>
  <c r="T85" i="3"/>
  <c r="X85" i="3"/>
  <c r="Z85" i="3"/>
  <c r="AB85" i="3"/>
  <c r="AD85" i="3"/>
  <c r="AH85" i="3"/>
  <c r="AJ85" i="3"/>
  <c r="AL85" i="3"/>
  <c r="AN85" i="3"/>
  <c r="AR85" i="3"/>
  <c r="C101" i="3"/>
  <c r="C100" i="3"/>
  <c r="E101" i="3"/>
  <c r="E100" i="3"/>
  <c r="I101" i="3"/>
  <c r="I100" i="3"/>
  <c r="K101" i="3"/>
  <c r="K100" i="3"/>
  <c r="M101" i="3"/>
  <c r="M100" i="3"/>
  <c r="O101" i="3"/>
  <c r="O100" i="3"/>
  <c r="S101" i="3"/>
  <c r="S100" i="3"/>
  <c r="U101" i="3"/>
  <c r="U100" i="3"/>
  <c r="W101" i="3"/>
  <c r="W100" i="3"/>
  <c r="Y101" i="3"/>
  <c r="Y100" i="3"/>
  <c r="AC101" i="3"/>
  <c r="AC100" i="3"/>
  <c r="AE101" i="3"/>
  <c r="AE100" i="3"/>
  <c r="AG101" i="3"/>
  <c r="AG100" i="3"/>
  <c r="AI101" i="3"/>
  <c r="AI100" i="3"/>
  <c r="AM101" i="3"/>
  <c r="AM100" i="3"/>
  <c r="AO101" i="3"/>
  <c r="AO100" i="3"/>
  <c r="AQ101" i="3"/>
  <c r="AQ100" i="3"/>
  <c r="AS101" i="3"/>
  <c r="AS100" i="3"/>
  <c r="I88" i="3"/>
  <c r="K88" i="3"/>
  <c r="M88" i="3"/>
  <c r="O88" i="3"/>
  <c r="S88" i="3"/>
  <c r="U88" i="3"/>
  <c r="W88" i="3"/>
  <c r="Y88" i="3"/>
  <c r="AC88" i="3"/>
  <c r="AE88" i="3"/>
  <c r="AG88" i="3"/>
  <c r="AI88" i="3"/>
  <c r="AM88" i="3"/>
  <c r="AO88" i="3"/>
  <c r="AQ88" i="3"/>
  <c r="AS88" i="3"/>
  <c r="V101" i="3"/>
  <c r="AF101" i="3"/>
  <c r="Q72" i="3"/>
  <c r="AA72" i="3"/>
  <c r="AK72" i="3"/>
  <c r="AR78" i="3"/>
  <c r="AW79" i="3"/>
  <c r="C98" i="3"/>
  <c r="C97" i="3"/>
  <c r="E98" i="3"/>
  <c r="E97" i="3"/>
  <c r="I98" i="3"/>
  <c r="I97" i="3"/>
  <c r="K98" i="3"/>
  <c r="K97" i="3"/>
  <c r="M98" i="3"/>
  <c r="M97" i="3"/>
  <c r="O98" i="3"/>
  <c r="O97" i="3"/>
  <c r="S98" i="3"/>
  <c r="S97" i="3"/>
  <c r="U98" i="3"/>
  <c r="U97" i="3"/>
  <c r="W98" i="3"/>
  <c r="W97" i="3"/>
  <c r="Y98" i="3"/>
  <c r="Y97" i="3"/>
  <c r="AC98" i="3"/>
  <c r="AC97" i="3"/>
  <c r="AE98" i="3"/>
  <c r="AE108" i="3"/>
  <c r="AE109" i="3" s="1"/>
  <c r="AE97" i="3"/>
  <c r="AG98" i="3"/>
  <c r="AG97" i="3"/>
  <c r="AI98" i="3"/>
  <c r="AI97" i="3"/>
  <c r="AM98" i="3"/>
  <c r="AM97" i="3"/>
  <c r="AO98" i="3"/>
  <c r="AO97" i="3"/>
  <c r="AQ98" i="3"/>
  <c r="AQ97" i="3"/>
  <c r="AS98" i="3"/>
  <c r="AS97" i="3"/>
  <c r="I85" i="3"/>
  <c r="K85" i="3"/>
  <c r="M85" i="3"/>
  <c r="O85" i="3"/>
  <c r="S85" i="3"/>
  <c r="U85" i="3"/>
  <c r="W85" i="3"/>
  <c r="Y85" i="3"/>
  <c r="AC85" i="3"/>
  <c r="AE85" i="3"/>
  <c r="AG85" i="3"/>
  <c r="AI85" i="3"/>
  <c r="AM85" i="3"/>
  <c r="AO85" i="3"/>
  <c r="AQ85" i="3"/>
  <c r="AS85" i="3"/>
  <c r="D100" i="3"/>
  <c r="D101" i="3"/>
  <c r="F100" i="3"/>
  <c r="F101" i="3"/>
  <c r="H100" i="3"/>
  <c r="H101" i="3"/>
  <c r="J100" i="3"/>
  <c r="J101" i="3"/>
  <c r="N100" i="3"/>
  <c r="N101" i="3"/>
  <c r="P100" i="3"/>
  <c r="P101" i="3"/>
  <c r="R100" i="3"/>
  <c r="R101" i="3"/>
  <c r="T100" i="3"/>
  <c r="T101" i="3"/>
  <c r="X100" i="3"/>
  <c r="X101" i="3"/>
  <c r="Z100" i="3"/>
  <c r="Z101" i="3"/>
  <c r="AB100" i="3"/>
  <c r="AB101" i="3"/>
  <c r="AD100" i="3"/>
  <c r="AD101" i="3"/>
  <c r="AH100" i="3"/>
  <c r="AH101" i="3"/>
  <c r="AJ100" i="3"/>
  <c r="AJ101" i="3"/>
  <c r="AL100" i="3"/>
  <c r="AL101" i="3"/>
  <c r="AN100" i="3"/>
  <c r="AN101" i="3"/>
  <c r="AR100" i="3"/>
  <c r="AR101" i="3"/>
  <c r="H88" i="3"/>
  <c r="J88" i="3"/>
  <c r="N88" i="3"/>
  <c r="P88" i="3"/>
  <c r="R88" i="3"/>
  <c r="T88" i="3"/>
  <c r="X88" i="3"/>
  <c r="Z88" i="3"/>
  <c r="AB88" i="3"/>
  <c r="AD88" i="3"/>
  <c r="AH88" i="3"/>
  <c r="AJ88" i="3"/>
  <c r="AL88" i="3"/>
  <c r="AN88" i="3"/>
  <c r="AR88" i="3"/>
  <c r="E93" i="3"/>
  <c r="I93" i="3"/>
  <c r="M93" i="3"/>
  <c r="U93" i="3"/>
  <c r="U94" i="3" s="1"/>
  <c r="Y93" i="3"/>
  <c r="AC93" i="3"/>
  <c r="AG93" i="3"/>
  <c r="AO93" i="3"/>
  <c r="AS93" i="3"/>
  <c r="BC31" i="3" l="1"/>
  <c r="BC28" i="3" s="1"/>
  <c r="BC29" i="3" s="1"/>
  <c r="AO94" i="3"/>
  <c r="P258" i="2"/>
  <c r="AJ148" i="2"/>
  <c r="AJ54" i="4" s="1"/>
  <c r="AP150" i="2"/>
  <c r="AP56" i="4" s="1"/>
  <c r="AU177" i="2"/>
  <c r="Z150" i="2"/>
  <c r="AA150" i="2" s="1"/>
  <c r="AA56" i="4" s="1"/>
  <c r="V150" i="2"/>
  <c r="V56" i="4" s="1"/>
  <c r="AS75" i="4"/>
  <c r="U152" i="2"/>
  <c r="U58" i="4" s="1"/>
  <c r="BB71" i="3"/>
  <c r="Y94" i="3"/>
  <c r="M94" i="3"/>
  <c r="AC94" i="3"/>
  <c r="L21" i="3"/>
  <c r="AM266" i="2"/>
  <c r="AQ266" i="2"/>
  <c r="AH266" i="2"/>
  <c r="AI46" i="2"/>
  <c r="AI25" i="4" s="1"/>
  <c r="AS264" i="2"/>
  <c r="AT188" i="2"/>
  <c r="AT92" i="4" s="1"/>
  <c r="AT86" i="2"/>
  <c r="AT87" i="2" s="1"/>
  <c r="AU68" i="3"/>
  <c r="P128" i="4"/>
  <c r="P252" i="2"/>
  <c r="P253" i="2" s="1"/>
  <c r="O257" i="2"/>
  <c r="AE256" i="2"/>
  <c r="AE258" i="2" s="1"/>
  <c r="AE185" i="2"/>
  <c r="AE89" i="4" s="1"/>
  <c r="Z178" i="2"/>
  <c r="Z84" i="4" s="1"/>
  <c r="AM299" i="2"/>
  <c r="AO170" i="2"/>
  <c r="AP170" i="2" s="1"/>
  <c r="AP76" i="4" s="1"/>
  <c r="U146" i="2"/>
  <c r="U52" i="4" s="1"/>
  <c r="BD64" i="2"/>
  <c r="AL190" i="2"/>
  <c r="AL94" i="4" s="1"/>
  <c r="AN61" i="4"/>
  <c r="AO156" i="2"/>
  <c r="AP156" i="2" s="1"/>
  <c r="AP61" i="4" s="1"/>
  <c r="Z185" i="2"/>
  <c r="Z89" i="4" s="1"/>
  <c r="AH188" i="2"/>
  <c r="AH92" i="4" s="1"/>
  <c r="AI187" i="2"/>
  <c r="AI83" i="4"/>
  <c r="AJ177" i="2"/>
  <c r="AJ83" i="4" s="1"/>
  <c r="AD90" i="4"/>
  <c r="AE186" i="2"/>
  <c r="AR46" i="2"/>
  <c r="AR33" i="2"/>
  <c r="AR265" i="2"/>
  <c r="AR7" i="4"/>
  <c r="AF132" i="2"/>
  <c r="F31" i="5" s="1"/>
  <c r="AF298" i="2"/>
  <c r="P85" i="4"/>
  <c r="Q179" i="2"/>
  <c r="Q85" i="4" s="1"/>
  <c r="BD46" i="2"/>
  <c r="BC25" i="4"/>
  <c r="AP131" i="2"/>
  <c r="H24" i="5" s="1"/>
  <c r="H42" i="5" s="1"/>
  <c r="AT133" i="4"/>
  <c r="AV248" i="2"/>
  <c r="AV133" i="4" s="1"/>
  <c r="X255" i="2"/>
  <c r="Z55" i="2" s="1"/>
  <c r="AB252" i="2"/>
  <c r="AB137" i="4" s="1"/>
  <c r="AV116" i="4"/>
  <c r="AS33" i="2"/>
  <c r="AS15" i="4" s="1"/>
  <c r="AS27" i="2"/>
  <c r="AS13" i="4" s="1"/>
  <c r="AS38" i="2"/>
  <c r="AS17" i="4" s="1"/>
  <c r="AS21" i="2"/>
  <c r="AS11" i="4" s="1"/>
  <c r="AR267" i="2"/>
  <c r="AS16" i="2"/>
  <c r="AR27" i="2"/>
  <c r="AR13" i="4" s="1"/>
  <c r="AR266" i="2"/>
  <c r="AW236" i="2"/>
  <c r="AW123" i="4" s="1"/>
  <c r="AU11" i="3"/>
  <c r="AT87" i="3"/>
  <c r="AT88" i="3" s="1"/>
  <c r="AS87" i="2"/>
  <c r="BA71" i="3"/>
  <c r="BF71" i="3" s="1"/>
  <c r="BB20" i="3"/>
  <c r="BG20" i="3" s="1"/>
  <c r="BA20" i="3"/>
  <c r="BF20" i="3" s="1"/>
  <c r="AV87" i="3"/>
  <c r="AV88" i="3" s="1"/>
  <c r="BA31" i="3"/>
  <c r="BA28" i="3" s="1"/>
  <c r="BB77" i="3"/>
  <c r="BG77" i="3" s="1"/>
  <c r="BF77" i="3"/>
  <c r="AY31" i="3"/>
  <c r="AY28" i="3" s="1"/>
  <c r="T258" i="2"/>
  <c r="Z152" i="2"/>
  <c r="Z58" i="4" s="1"/>
  <c r="V151" i="2"/>
  <c r="V57" i="4" s="1"/>
  <c r="T259" i="2"/>
  <c r="AA170" i="2"/>
  <c r="AA76" i="4" s="1"/>
  <c r="BG71" i="3"/>
  <c r="AB94" i="3"/>
  <c r="S94" i="3"/>
  <c r="R252" i="2"/>
  <c r="R137" i="4" s="1"/>
  <c r="BB134" i="2"/>
  <c r="BI40" i="3"/>
  <c r="AR94" i="3"/>
  <c r="AM94" i="3"/>
  <c r="AF88" i="3"/>
  <c r="AO178" i="2"/>
  <c r="AF151" i="2"/>
  <c r="AF57" i="4" s="1"/>
  <c r="V298" i="2"/>
  <c r="C56" i="5"/>
  <c r="AD57" i="4"/>
  <c r="BA15" i="3"/>
  <c r="AA101" i="3"/>
  <c r="AK98" i="3"/>
  <c r="C20" i="1" s="1"/>
  <c r="AM188" i="2"/>
  <c r="AM92" i="4" s="1"/>
  <c r="AF186" i="2"/>
  <c r="AF90" i="4" s="1"/>
  <c r="V152" i="2"/>
  <c r="D48" i="5" s="1"/>
  <c r="P153" i="2"/>
  <c r="P59" i="4" s="1"/>
  <c r="AD252" i="2"/>
  <c r="AD137" i="4" s="1"/>
  <c r="S252" i="2"/>
  <c r="S253" i="2" s="1"/>
  <c r="Y299" i="2"/>
  <c r="F5" i="5"/>
  <c r="D56" i="5" s="1"/>
  <c r="G100" i="3"/>
  <c r="G101" i="3"/>
  <c r="AD78" i="4"/>
  <c r="AE172" i="2"/>
  <c r="AE78" i="4" s="1"/>
  <c r="Q149" i="2"/>
  <c r="Q55" i="4" s="1"/>
  <c r="M17" i="4"/>
  <c r="M259" i="2"/>
  <c r="AO74" i="4"/>
  <c r="AP168" i="2"/>
  <c r="AP74" i="4" s="1"/>
  <c r="AN90" i="4"/>
  <c r="AS61" i="4"/>
  <c r="AR165" i="2"/>
  <c r="AR71" i="4" s="1"/>
  <c r="AR61" i="4"/>
  <c r="AE150" i="2"/>
  <c r="AE56" i="4" s="1"/>
  <c r="AQ241" i="2"/>
  <c r="AQ121" i="4"/>
  <c r="BD51" i="3"/>
  <c r="AY48" i="3"/>
  <c r="BC51" i="3"/>
  <c r="AX48" i="3"/>
  <c r="BF134" i="2"/>
  <c r="BG134" i="2"/>
  <c r="G97" i="3"/>
  <c r="G98" i="3"/>
  <c r="AP88" i="3"/>
  <c r="AP101" i="3"/>
  <c r="O74" i="4"/>
  <c r="P168" i="2"/>
  <c r="P74" i="4" s="1"/>
  <c r="U128" i="4"/>
  <c r="U252" i="2"/>
  <c r="X117" i="4"/>
  <c r="X234" i="2"/>
  <c r="X241" i="2" s="1"/>
  <c r="AN299" i="2"/>
  <c r="AB55" i="2"/>
  <c r="AB256" i="2"/>
  <c r="AB257" i="2"/>
  <c r="AB259" i="2"/>
  <c r="AD56" i="4"/>
  <c r="AK100" i="3"/>
  <c r="AK101" i="3"/>
  <c r="AO54" i="4"/>
  <c r="AP148" i="2"/>
  <c r="AP54" i="4" s="1"/>
  <c r="AE179" i="2"/>
  <c r="AE85" i="4" s="1"/>
  <c r="AD85" i="4"/>
  <c r="AK78" i="3"/>
  <c r="AL132" i="4"/>
  <c r="AL250" i="2"/>
  <c r="AL136" i="4" s="1"/>
  <c r="O54" i="4"/>
  <c r="P148" i="2"/>
  <c r="P54" i="4" s="1"/>
  <c r="AD52" i="4"/>
  <c r="AE146" i="2"/>
  <c r="AE52" i="4" s="1"/>
  <c r="AW87" i="3"/>
  <c r="AW88" i="3" s="1"/>
  <c r="BB11" i="3"/>
  <c r="BG11" i="3" s="1"/>
  <c r="AF75" i="2"/>
  <c r="AF296" i="2" s="1"/>
  <c r="AJ94" i="3"/>
  <c r="L88" i="3"/>
  <c r="AP98" i="3"/>
  <c r="D20" i="1" s="1"/>
  <c r="M258" i="2"/>
  <c r="AA298" i="2"/>
  <c r="BH60" i="3"/>
  <c r="BB51" i="3"/>
  <c r="AG94" i="3"/>
  <c r="AN188" i="2"/>
  <c r="AN92" i="4" s="1"/>
  <c r="BI60" i="3"/>
  <c r="BF40" i="3"/>
  <c r="X94" i="3"/>
  <c r="H94" i="3"/>
  <c r="AA78" i="3"/>
  <c r="BG31" i="3"/>
  <c r="BG28" i="3" s="1"/>
  <c r="BB28" i="3"/>
  <c r="BH40" i="3"/>
  <c r="BI134" i="2"/>
  <c r="BH134" i="2"/>
  <c r="BA51" i="3"/>
  <c r="AZ51" i="3"/>
  <c r="AZ52" i="3" s="1"/>
  <c r="BF60" i="3"/>
  <c r="N128" i="4"/>
  <c r="N252" i="2"/>
  <c r="N137" i="4" s="1"/>
  <c r="AE58" i="4"/>
  <c r="AF152" i="2"/>
  <c r="AF58" i="4" s="1"/>
  <c r="AK169" i="2"/>
  <c r="AK75" i="4" s="1"/>
  <c r="AA169" i="2"/>
  <c r="AA75" i="4" s="1"/>
  <c r="AK148" i="2"/>
  <c r="AK54" i="4" s="1"/>
  <c r="P259" i="2"/>
  <c r="Y188" i="2"/>
  <c r="Y92" i="4" s="1"/>
  <c r="AQ190" i="2"/>
  <c r="AQ94" i="4" s="1"/>
  <c r="AD58" i="4"/>
  <c r="BC120" i="2"/>
  <c r="BD120" i="2" s="1"/>
  <c r="BF120" i="2"/>
  <c r="AA168" i="2"/>
  <c r="AA74" i="4" s="1"/>
  <c r="AF255" i="2"/>
  <c r="AF256" i="2" s="1"/>
  <c r="Q234" i="2"/>
  <c r="Q121" i="4" s="1"/>
  <c r="AQ27" i="2"/>
  <c r="AQ13" i="4" s="1"/>
  <c r="AH27" i="2"/>
  <c r="AH13" i="4" s="1"/>
  <c r="AQ38" i="2"/>
  <c r="AQ17" i="4" s="1"/>
  <c r="AH16" i="2"/>
  <c r="AO259" i="2"/>
  <c r="AI265" i="2"/>
  <c r="AF257" i="2"/>
  <c r="AI38" i="2"/>
  <c r="AI17" i="4" s="1"/>
  <c r="AN16" i="2"/>
  <c r="AI264" i="2"/>
  <c r="V257" i="2"/>
  <c r="AF241" i="2"/>
  <c r="AO258" i="2"/>
  <c r="AF46" i="2"/>
  <c r="AF25" i="4" s="1"/>
  <c r="BH266" i="2"/>
  <c r="BC62" i="2"/>
  <c r="AE81" i="2"/>
  <c r="AE87" i="2" s="1"/>
  <c r="BF15" i="3"/>
  <c r="BF13" i="3"/>
  <c r="BF12" i="3"/>
  <c r="BA13" i="3"/>
  <c r="AV8" i="3"/>
  <c r="AX22" i="3"/>
  <c r="AW8" i="3"/>
  <c r="AQ267" i="2"/>
  <c r="AH38" i="2"/>
  <c r="AH17" i="4" s="1"/>
  <c r="AS258" i="2"/>
  <c r="AK15" i="2"/>
  <c r="AH264" i="2"/>
  <c r="AA98" i="3"/>
  <c r="I94" i="3"/>
  <c r="AN94" i="3"/>
  <c r="Q78" i="3"/>
  <c r="AH267" i="2"/>
  <c r="AI33" i="2"/>
  <c r="AI15" i="4" s="1"/>
  <c r="AI266" i="2"/>
  <c r="AH33" i="2"/>
  <c r="AH15" i="4" s="1"/>
  <c r="AH265" i="2"/>
  <c r="AF21" i="2"/>
  <c r="AF11" i="4" s="1"/>
  <c r="W258" i="2"/>
  <c r="AI267" i="2"/>
  <c r="AM267" i="2"/>
  <c r="AI27" i="2"/>
  <c r="AI13" i="4" s="1"/>
  <c r="AI16" i="2"/>
  <c r="AM264" i="2"/>
  <c r="AH46" i="2"/>
  <c r="AH25" i="4" s="1"/>
  <c r="AF97" i="3"/>
  <c r="L97" i="3"/>
  <c r="AP97" i="3"/>
  <c r="D16" i="1" s="1"/>
  <c r="V97" i="3"/>
  <c r="AR258" i="2"/>
  <c r="U258" i="2"/>
  <c r="U259" i="2"/>
  <c r="AG39" i="2"/>
  <c r="AG18" i="4" s="1"/>
  <c r="R258" i="2"/>
  <c r="AD258" i="2"/>
  <c r="W259" i="2"/>
  <c r="AD259" i="2"/>
  <c r="O259" i="2"/>
  <c r="AM33" i="2"/>
  <c r="AM15" i="4" s="1"/>
  <c r="S259" i="2"/>
  <c r="O258" i="2"/>
  <c r="S258" i="2"/>
  <c r="K259" i="2"/>
  <c r="R259" i="2"/>
  <c r="K258" i="2"/>
  <c r="Z39" i="2"/>
  <c r="Z18" i="4" s="1"/>
  <c r="AV68" i="3"/>
  <c r="AV69" i="3" s="1"/>
  <c r="BC15" i="3"/>
  <c r="BC12" i="3"/>
  <c r="AG259" i="2"/>
  <c r="AG256" i="2"/>
  <c r="AG258" i="2" s="1"/>
  <c r="AG257" i="2"/>
  <c r="AE253" i="2"/>
  <c r="AE137" i="4"/>
  <c r="W253" i="2"/>
  <c r="W137" i="4"/>
  <c r="AP255" i="2"/>
  <c r="D40" i="1" s="1"/>
  <c r="AP116" i="4"/>
  <c r="AG241" i="2"/>
  <c r="AG121" i="4"/>
  <c r="AB253" i="2"/>
  <c r="U253" i="2"/>
  <c r="U137" i="4"/>
  <c r="N253" i="2"/>
  <c r="O241" i="2"/>
  <c r="O121" i="4"/>
  <c r="AR241" i="2"/>
  <c r="AR121" i="4"/>
  <c r="AW219" i="2"/>
  <c r="AW109" i="4" s="1"/>
  <c r="AU109" i="4"/>
  <c r="AX236" i="2"/>
  <c r="R190" i="2"/>
  <c r="R94" i="4" s="1"/>
  <c r="R92" i="4"/>
  <c r="Z88" i="4"/>
  <c r="AT249" i="2"/>
  <c r="AT134" i="4" s="1"/>
  <c r="AS134" i="4"/>
  <c r="S137" i="4"/>
  <c r="AU83" i="4"/>
  <c r="Z187" i="2"/>
  <c r="Z91" i="4" s="1"/>
  <c r="Y91" i="4"/>
  <c r="AP186" i="2"/>
  <c r="AP90" i="4" s="1"/>
  <c r="AO90" i="4"/>
  <c r="AI91" i="4"/>
  <c r="AH91" i="4"/>
  <c r="AU182" i="2"/>
  <c r="AU88" i="4" s="1"/>
  <c r="AS88" i="4"/>
  <c r="AD182" i="2"/>
  <c r="AC88" i="4"/>
  <c r="AJ179" i="2"/>
  <c r="AI85" i="4"/>
  <c r="O188" i="2"/>
  <c r="O92" i="4" s="1"/>
  <c r="O85" i="4"/>
  <c r="AS179" i="2"/>
  <c r="AR85" i="4"/>
  <c r="AE180" i="2"/>
  <c r="AE86" i="4" s="1"/>
  <c r="AD86" i="4"/>
  <c r="AF172" i="2"/>
  <c r="AF78" i="4" s="1"/>
  <c r="AO76" i="4"/>
  <c r="AK168" i="2"/>
  <c r="AJ74" i="4"/>
  <c r="AE170" i="2"/>
  <c r="AE76" i="4" s="1"/>
  <c r="AD76" i="4"/>
  <c r="AU164" i="2"/>
  <c r="AU69" i="4" s="1"/>
  <c r="AS69" i="4"/>
  <c r="AO163" i="2"/>
  <c r="AO68" i="4" s="1"/>
  <c r="AN68" i="4"/>
  <c r="AO161" i="2"/>
  <c r="AO66" i="4" s="1"/>
  <c r="AN66" i="4"/>
  <c r="AO159" i="2"/>
  <c r="AO64" i="4" s="1"/>
  <c r="AN64" i="4"/>
  <c r="AJ164" i="2"/>
  <c r="AI69" i="4"/>
  <c r="AJ161" i="2"/>
  <c r="AI66" i="4"/>
  <c r="AJ158" i="2"/>
  <c r="AI63" i="4"/>
  <c r="AE163" i="2"/>
  <c r="AE68" i="4" s="1"/>
  <c r="AD68" i="4"/>
  <c r="AE161" i="2"/>
  <c r="AE66" i="4" s="1"/>
  <c r="AD66" i="4"/>
  <c r="AE159" i="2"/>
  <c r="AE64" i="4" s="1"/>
  <c r="AD64" i="4"/>
  <c r="Z164" i="2"/>
  <c r="Z69" i="4" s="1"/>
  <c r="Y69" i="4"/>
  <c r="Z162" i="2"/>
  <c r="Z67" i="4" s="1"/>
  <c r="Y67" i="4"/>
  <c r="Z160" i="2"/>
  <c r="Z65" i="4" s="1"/>
  <c r="Y65" i="4"/>
  <c r="Z158" i="2"/>
  <c r="Z63" i="4" s="1"/>
  <c r="Y63" i="4"/>
  <c r="U163" i="2"/>
  <c r="U68" i="4" s="1"/>
  <c r="T68" i="4"/>
  <c r="U161" i="2"/>
  <c r="U66" i="4" s="1"/>
  <c r="T66" i="4"/>
  <c r="U159" i="2"/>
  <c r="U64" i="4" s="1"/>
  <c r="T64" i="4"/>
  <c r="P164" i="2"/>
  <c r="O69" i="4"/>
  <c r="P161" i="2"/>
  <c r="O66" i="4"/>
  <c r="P158" i="2"/>
  <c r="O63" i="4"/>
  <c r="AO61" i="4"/>
  <c r="AH61" i="4"/>
  <c r="P299" i="2"/>
  <c r="P58" i="4"/>
  <c r="Q148" i="2"/>
  <c r="Q54" i="4" s="1"/>
  <c r="AJ163" i="2"/>
  <c r="AJ68" i="4" s="1"/>
  <c r="P163" i="2"/>
  <c r="P68" i="4" s="1"/>
  <c r="O165" i="2"/>
  <c r="O71" i="4" s="1"/>
  <c r="O61" i="4"/>
  <c r="Y165" i="2"/>
  <c r="Y54" i="4"/>
  <c r="AH165" i="2"/>
  <c r="AH71" i="4" s="1"/>
  <c r="AU153" i="2"/>
  <c r="AS59" i="4"/>
  <c r="Q32" i="2"/>
  <c r="L14" i="4"/>
  <c r="AQ31" i="4"/>
  <c r="H16" i="5"/>
  <c r="AP14" i="4"/>
  <c r="E16" i="5"/>
  <c r="AA14" i="4"/>
  <c r="C7" i="5"/>
  <c r="C14" i="5" s="1"/>
  <c r="Q7" i="4"/>
  <c r="H13" i="5"/>
  <c r="AP12" i="4"/>
  <c r="AK26" i="2"/>
  <c r="F13" i="5"/>
  <c r="AF12" i="4"/>
  <c r="AW239" i="2"/>
  <c r="AV126" i="4"/>
  <c r="AV124" i="4"/>
  <c r="AW235" i="2"/>
  <c r="AV122" i="4"/>
  <c r="AW232" i="2"/>
  <c r="AV119" i="4"/>
  <c r="AW228" i="2"/>
  <c r="AV117" i="4"/>
  <c r="AW225" i="2"/>
  <c r="AV114" i="4"/>
  <c r="AV163" i="2"/>
  <c r="AX219" i="2"/>
  <c r="AX109" i="4" s="1"/>
  <c r="AV109" i="4"/>
  <c r="AV153" i="2"/>
  <c r="AV59" i="4" s="1"/>
  <c r="AW213" i="2"/>
  <c r="AV103" i="4"/>
  <c r="AO182" i="2"/>
  <c r="AN88" i="4"/>
  <c r="AP136" i="4"/>
  <c r="D43" i="1"/>
  <c r="AE55" i="2"/>
  <c r="AG55" i="2"/>
  <c r="AP221" i="2"/>
  <c r="AP104" i="4"/>
  <c r="AK221" i="2"/>
  <c r="AK104" i="4"/>
  <c r="AF221" i="2"/>
  <c r="AF111" i="4" s="1"/>
  <c r="AF104" i="4"/>
  <c r="AA221" i="2"/>
  <c r="AA111" i="4" s="1"/>
  <c r="AA104" i="4"/>
  <c r="V221" i="2"/>
  <c r="V111" i="4" s="1"/>
  <c r="V104" i="4"/>
  <c r="Q221" i="2"/>
  <c r="Q111" i="4" s="1"/>
  <c r="Q104" i="4"/>
  <c r="L221" i="2"/>
  <c r="L111" i="4" s="1"/>
  <c r="L104" i="4"/>
  <c r="AW220" i="2"/>
  <c r="AV110" i="4"/>
  <c r="AW218" i="2"/>
  <c r="AV108" i="4"/>
  <c r="AV210" i="2"/>
  <c r="AU100" i="4"/>
  <c r="AU181" i="2"/>
  <c r="AU87" i="4" s="1"/>
  <c r="U185" i="2"/>
  <c r="U178" i="2"/>
  <c r="AO152" i="2"/>
  <c r="AO58" i="4" s="1"/>
  <c r="AN58" i="4"/>
  <c r="AO151" i="2"/>
  <c r="AN57" i="4"/>
  <c r="AK152" i="2"/>
  <c r="AJ58" i="4"/>
  <c r="AK151" i="2"/>
  <c r="AK57" i="4" s="1"/>
  <c r="O299" i="2"/>
  <c r="O58" i="4"/>
  <c r="AK31" i="4"/>
  <c r="AU187" i="2"/>
  <c r="AU91" i="4" s="1"/>
  <c r="AJ182" i="2"/>
  <c r="Q178" i="2"/>
  <c r="Q84" i="4" s="1"/>
  <c r="U182" i="2"/>
  <c r="U177" i="2"/>
  <c r="V171" i="2"/>
  <c r="V77" i="4" s="1"/>
  <c r="T253" i="2"/>
  <c r="T137" i="4"/>
  <c r="G253" i="2"/>
  <c r="G137" i="4"/>
  <c r="AD253" i="2"/>
  <c r="Z253" i="2"/>
  <c r="Z137" i="4"/>
  <c r="P137" i="4"/>
  <c r="AC255" i="2"/>
  <c r="AC256" i="2" s="1"/>
  <c r="AC258" i="2" s="1"/>
  <c r="AC122" i="4"/>
  <c r="AO241" i="2"/>
  <c r="AO121" i="4"/>
  <c r="M241" i="2"/>
  <c r="M121" i="4"/>
  <c r="L193" i="2"/>
  <c r="Q192" i="2" s="1"/>
  <c r="L94" i="4"/>
  <c r="AB190" i="2"/>
  <c r="AB94" i="4" s="1"/>
  <c r="AB92" i="4"/>
  <c r="AA182" i="2"/>
  <c r="AA88" i="4" s="1"/>
  <c r="AP178" i="2"/>
  <c r="AP84" i="4" s="1"/>
  <c r="AO84" i="4"/>
  <c r="AR190" i="2"/>
  <c r="AR94" i="4" s="1"/>
  <c r="AR79" i="4"/>
  <c r="N190" i="2"/>
  <c r="N94" i="4" s="1"/>
  <c r="N79" i="4"/>
  <c r="AW248" i="2"/>
  <c r="AC188" i="2"/>
  <c r="AC92" i="4" s="1"/>
  <c r="AO187" i="2"/>
  <c r="AO91" i="4" s="1"/>
  <c r="AN91" i="4"/>
  <c r="P187" i="2"/>
  <c r="P91" i="4" s="1"/>
  <c r="O91" i="4"/>
  <c r="AE187" i="2"/>
  <c r="AE91" i="4" s="1"/>
  <c r="AD91" i="4"/>
  <c r="AE90" i="4"/>
  <c r="AO185" i="2"/>
  <c r="AO89" i="4" s="1"/>
  <c r="AN89" i="4"/>
  <c r="AF185" i="2"/>
  <c r="AF89" i="4" s="1"/>
  <c r="AA185" i="2"/>
  <c r="AA89" i="4" s="1"/>
  <c r="AY188" i="2"/>
  <c r="AY92" i="4" s="1"/>
  <c r="AY85" i="4"/>
  <c r="Q180" i="2"/>
  <c r="Q86" i="4" s="1"/>
  <c r="P86" i="4"/>
  <c r="AE178" i="2"/>
  <c r="AF178" i="2" s="1"/>
  <c r="AF84" i="4" s="1"/>
  <c r="AD84" i="4"/>
  <c r="AC79" i="4"/>
  <c r="AA172" i="2"/>
  <c r="AA78" i="4" s="1"/>
  <c r="Z78" i="4"/>
  <c r="AO169" i="2"/>
  <c r="AP169" i="2" s="1"/>
  <c r="AN75" i="4"/>
  <c r="AI173" i="2"/>
  <c r="AI79" i="4" s="1"/>
  <c r="AI75" i="4"/>
  <c r="AF169" i="2"/>
  <c r="AF75" i="4" s="1"/>
  <c r="AE75" i="4"/>
  <c r="U169" i="2"/>
  <c r="U173" i="2" s="1"/>
  <c r="U79" i="4" s="1"/>
  <c r="T75" i="4"/>
  <c r="P170" i="2"/>
  <c r="O76" i="4"/>
  <c r="AG190" i="2"/>
  <c r="AG94" i="4" s="1"/>
  <c r="AG71" i="4"/>
  <c r="AU163" i="2"/>
  <c r="AU68" i="4" s="1"/>
  <c r="AS68" i="4"/>
  <c r="AO164" i="2"/>
  <c r="AO69" i="4" s="1"/>
  <c r="AN69" i="4"/>
  <c r="AO162" i="2"/>
  <c r="AO67" i="4" s="1"/>
  <c r="AN67" i="4"/>
  <c r="AO160" i="2"/>
  <c r="AO65" i="4" s="1"/>
  <c r="AN65" i="4"/>
  <c r="AO158" i="2"/>
  <c r="AO63" i="4" s="1"/>
  <c r="AN63" i="4"/>
  <c r="AJ162" i="2"/>
  <c r="AI67" i="4"/>
  <c r="AJ160" i="2"/>
  <c r="AI65" i="4"/>
  <c r="AE164" i="2"/>
  <c r="AE69" i="4" s="1"/>
  <c r="AD69" i="4"/>
  <c r="AE162" i="2"/>
  <c r="AE67" i="4" s="1"/>
  <c r="AD67" i="4"/>
  <c r="AE160" i="2"/>
  <c r="AE65" i="4" s="1"/>
  <c r="AD65" i="4"/>
  <c r="AE158" i="2"/>
  <c r="AE63" i="4" s="1"/>
  <c r="AD63" i="4"/>
  <c r="Z163" i="2"/>
  <c r="Z68" i="4" s="1"/>
  <c r="Y68" i="4"/>
  <c r="Z161" i="2"/>
  <c r="Z66" i="4" s="1"/>
  <c r="Y66" i="4"/>
  <c r="Z159" i="2"/>
  <c r="Z64" i="4" s="1"/>
  <c r="Y64" i="4"/>
  <c r="U164" i="2"/>
  <c r="U69" i="4" s="1"/>
  <c r="T69" i="4"/>
  <c r="U162" i="2"/>
  <c r="U67" i="4" s="1"/>
  <c r="T67" i="4"/>
  <c r="U160" i="2"/>
  <c r="U65" i="4" s="1"/>
  <c r="T65" i="4"/>
  <c r="U158" i="2"/>
  <c r="U63" i="4" s="1"/>
  <c r="T63" i="4"/>
  <c r="P162" i="2"/>
  <c r="O67" i="4"/>
  <c r="P160" i="2"/>
  <c r="O65" i="4"/>
  <c r="AE61" i="4"/>
  <c r="AD61" i="4"/>
  <c r="Q150" i="2"/>
  <c r="Q56" i="4" s="1"/>
  <c r="P56" i="4"/>
  <c r="AJ159" i="2"/>
  <c r="P159" i="2"/>
  <c r="AA151" i="2"/>
  <c r="AA57" i="4" s="1"/>
  <c r="Z57" i="4"/>
  <c r="AS54" i="4"/>
  <c r="AE154" i="2"/>
  <c r="AE60" i="4" s="1"/>
  <c r="AD60" i="4"/>
  <c r="Q151" i="2"/>
  <c r="Q57" i="4" s="1"/>
  <c r="D16" i="5"/>
  <c r="V14" i="4"/>
  <c r="F16" i="5"/>
  <c r="AF14" i="4"/>
  <c r="G33" i="2"/>
  <c r="G15" i="4" s="1"/>
  <c r="G14" i="4"/>
  <c r="D13" i="5"/>
  <c r="V12" i="4"/>
  <c r="E13" i="5"/>
  <c r="AA12" i="4"/>
  <c r="AK136" i="4"/>
  <c r="C43" i="1"/>
  <c r="AA241" i="2"/>
  <c r="AA121" i="4"/>
  <c r="V241" i="2"/>
  <c r="V121" i="4"/>
  <c r="L241" i="2"/>
  <c r="L121" i="4"/>
  <c r="AO179" i="2"/>
  <c r="AO85" i="4" s="1"/>
  <c r="AN85" i="4"/>
  <c r="AG122" i="4"/>
  <c r="AU186" i="2"/>
  <c r="AU90" i="4" s="1"/>
  <c r="AS90" i="4"/>
  <c r="AJ185" i="2"/>
  <c r="AU178" i="2"/>
  <c r="AU84" i="4" s="1"/>
  <c r="AS84" i="4"/>
  <c r="U187" i="2"/>
  <c r="U181" i="2"/>
  <c r="AU172" i="2"/>
  <c r="AU78" i="4" s="1"/>
  <c r="AE148" i="2"/>
  <c r="AE54" i="4" s="1"/>
  <c r="AD54" i="4"/>
  <c r="AW240" i="2"/>
  <c r="AV127" i="4"/>
  <c r="AW238" i="2"/>
  <c r="AV125" i="4"/>
  <c r="AW233" i="2"/>
  <c r="AV120" i="4"/>
  <c r="AV164" i="2"/>
  <c r="AW231" i="2"/>
  <c r="AV118" i="4"/>
  <c r="AU185" i="2"/>
  <c r="AU89" i="4" s="1"/>
  <c r="AA180" i="2"/>
  <c r="AA86" i="4" s="1"/>
  <c r="AU180" i="2"/>
  <c r="AU86" i="4" s="1"/>
  <c r="AS86" i="4"/>
  <c r="AO177" i="2"/>
  <c r="AN83" i="4"/>
  <c r="AE177" i="2"/>
  <c r="AD83" i="4"/>
  <c r="U186" i="2"/>
  <c r="U180" i="2"/>
  <c r="Q172" i="2"/>
  <c r="Q78" i="4" s="1"/>
  <c r="P171" i="2"/>
  <c r="Q169" i="2"/>
  <c r="Q75" i="4" s="1"/>
  <c r="AU58" i="4"/>
  <c r="AO153" i="2"/>
  <c r="AN59" i="4"/>
  <c r="AK150" i="2"/>
  <c r="AK56" i="4" s="1"/>
  <c r="X190" i="2"/>
  <c r="X94" i="4" s="1"/>
  <c r="X71" i="4"/>
  <c r="AD86" i="2"/>
  <c r="AW36" i="2"/>
  <c r="AX33" i="2"/>
  <c r="AO4" i="2"/>
  <c r="AO8" i="4"/>
  <c r="E7" i="5"/>
  <c r="AA7" i="4"/>
  <c r="AT15" i="4"/>
  <c r="AO15" i="4"/>
  <c r="AJ8" i="4"/>
  <c r="AQ21" i="2"/>
  <c r="AQ7" i="4"/>
  <c r="AM21" i="2"/>
  <c r="AM11" i="4" s="1"/>
  <c r="AM7" i="4"/>
  <c r="BC75" i="3"/>
  <c r="BC72" i="3"/>
  <c r="AW68" i="3"/>
  <c r="AW69" i="3" s="1"/>
  <c r="AR11" i="4"/>
  <c r="AS94" i="3"/>
  <c r="BC73" i="3"/>
  <c r="AP21" i="3"/>
  <c r="V21" i="3"/>
  <c r="AQ46" i="2"/>
  <c r="AQ25" i="4" s="1"/>
  <c r="AQ33" i="2"/>
  <c r="AM27" i="2"/>
  <c r="AM13" i="4" s="1"/>
  <c r="AQ16" i="2"/>
  <c r="AM16" i="2"/>
  <c r="AQ264" i="2"/>
  <c r="AQ265" i="2"/>
  <c r="AM38" i="2"/>
  <c r="AM17" i="4" s="1"/>
  <c r="AM46" i="2"/>
  <c r="AM25" i="4" s="1"/>
  <c r="AM265" i="2"/>
  <c r="AR16" i="2"/>
  <c r="AL4" i="2"/>
  <c r="AL8" i="4"/>
  <c r="AR17" i="4"/>
  <c r="AP15" i="2"/>
  <c r="Y17" i="4"/>
  <c r="D7" i="5"/>
  <c r="V7" i="4"/>
  <c r="AI21" i="2"/>
  <c r="AI11" i="4" s="1"/>
  <c r="AI7" i="4"/>
  <c r="AX24" i="3"/>
  <c r="AX21" i="3"/>
  <c r="AX20" i="3" s="1"/>
  <c r="AO13" i="4"/>
  <c r="AH7" i="4"/>
  <c r="AH21" i="2"/>
  <c r="AH11" i="4" s="1"/>
  <c r="F7" i="5"/>
  <c r="AF7" i="4"/>
  <c r="AO11" i="4"/>
  <c r="O49" i="5"/>
  <c r="D57" i="5"/>
  <c r="AW227" i="2"/>
  <c r="AW116" i="4" s="1"/>
  <c r="L256" i="2"/>
  <c r="L257" i="2"/>
  <c r="N256" i="2"/>
  <c r="N258" i="2" s="1"/>
  <c r="N259" i="2"/>
  <c r="N257" i="2"/>
  <c r="O55" i="2"/>
  <c r="N55" i="2"/>
  <c r="AS131" i="4"/>
  <c r="AP234" i="2"/>
  <c r="AD188" i="2"/>
  <c r="AD92" i="4" s="1"/>
  <c r="Z179" i="2"/>
  <c r="U267" i="2"/>
  <c r="P267" i="2"/>
  <c r="AC241" i="2"/>
  <c r="AZ179" i="2"/>
  <c r="AA187" i="2"/>
  <c r="AA91" i="4" s="1"/>
  <c r="BD179" i="2"/>
  <c r="BD85" i="4" s="1"/>
  <c r="BC188" i="2"/>
  <c r="BC92" i="4" s="1"/>
  <c r="AC299" i="2"/>
  <c r="AS267" i="2"/>
  <c r="AS173" i="2"/>
  <c r="AA163" i="2"/>
  <c r="AA68" i="4" s="1"/>
  <c r="AA159" i="2"/>
  <c r="AA64" i="4" s="1"/>
  <c r="Q152" i="2"/>
  <c r="AK146" i="2"/>
  <c r="Q146" i="2"/>
  <c r="Q52" i="4" s="1"/>
  <c r="AF160" i="2"/>
  <c r="AF65" i="4" s="1"/>
  <c r="V158" i="2"/>
  <c r="P156" i="2"/>
  <c r="AN165" i="2"/>
  <c r="T165" i="2"/>
  <c r="T71" i="4" s="1"/>
  <c r="AP187" i="2"/>
  <c r="AP91" i="4" s="1"/>
  <c r="AJ186" i="2"/>
  <c r="V163" i="2"/>
  <c r="V68" i="4" s="1"/>
  <c r="AZ120" i="2"/>
  <c r="Z50" i="2"/>
  <c r="Z28" i="4" s="1"/>
  <c r="Z59" i="2"/>
  <c r="Z33" i="4" s="1"/>
  <c r="Z128" i="2"/>
  <c r="V32" i="2"/>
  <c r="V33" i="2"/>
  <c r="V15" i="4" s="1"/>
  <c r="Z148" i="2"/>
  <c r="N297" i="2"/>
  <c r="M76" i="2"/>
  <c r="N75" i="2"/>
  <c r="N296" i="2" s="1"/>
  <c r="L55" i="2"/>
  <c r="AG59" i="2"/>
  <c r="AG33" i="4" s="1"/>
  <c r="AG50" i="2"/>
  <c r="AG28" i="4" s="1"/>
  <c r="AC59" i="2"/>
  <c r="AC33" i="4" s="1"/>
  <c r="AC50" i="2"/>
  <c r="AC28" i="4" s="1"/>
  <c r="AP45" i="2"/>
  <c r="AE41" i="2"/>
  <c r="AE20" i="4" s="1"/>
  <c r="AG128" i="2"/>
  <c r="AE128" i="2"/>
  <c r="AE127" i="2"/>
  <c r="AC128" i="2"/>
  <c r="AC133" i="2"/>
  <c r="AC135" i="2" s="1"/>
  <c r="AC40" i="4" s="1"/>
  <c r="I124" i="2"/>
  <c r="I126" i="2" s="1"/>
  <c r="I22" i="4" s="1"/>
  <c r="I110" i="2"/>
  <c r="I117" i="2" s="1"/>
  <c r="I121" i="2" s="1"/>
  <c r="I48" i="2"/>
  <c r="I26" i="4" s="1"/>
  <c r="I40" i="2"/>
  <c r="I39" i="2"/>
  <c r="I18" i="4" s="1"/>
  <c r="C124" i="2"/>
  <c r="C126" i="2" s="1"/>
  <c r="C40" i="2"/>
  <c r="C19" i="4" s="1"/>
  <c r="C48" i="2"/>
  <c r="C26" i="4" s="1"/>
  <c r="AP32" i="2"/>
  <c r="AA33" i="2"/>
  <c r="AA15" i="4" s="1"/>
  <c r="AA32" i="2"/>
  <c r="AF91" i="2"/>
  <c r="AX36" i="2"/>
  <c r="F59" i="2"/>
  <c r="F33" i="4" s="1"/>
  <c r="F50" i="2"/>
  <c r="F28" i="4" s="1"/>
  <c r="V27" i="2"/>
  <c r="V13" i="4" s="1"/>
  <c r="V26" i="2"/>
  <c r="AA38" i="2"/>
  <c r="AA16" i="2"/>
  <c r="Q38" i="2"/>
  <c r="Q259" i="2" s="1"/>
  <c r="Q27" i="2"/>
  <c r="Q13" i="4" s="1"/>
  <c r="Q16" i="2"/>
  <c r="Q8" i="4" s="1"/>
  <c r="Q33" i="2"/>
  <c r="Q15" i="4" s="1"/>
  <c r="H39" i="2"/>
  <c r="H18" i="4" s="1"/>
  <c r="H50" i="2"/>
  <c r="H28" i="4" s="1"/>
  <c r="H59" i="2"/>
  <c r="H33" i="4" s="1"/>
  <c r="H128" i="2"/>
  <c r="H133" i="2"/>
  <c r="AW30" i="2"/>
  <c r="AA27" i="2"/>
  <c r="AA13" i="4" s="1"/>
  <c r="AA26" i="2"/>
  <c r="AF16" i="2"/>
  <c r="AR110" i="2"/>
  <c r="AR124" i="2"/>
  <c r="AR126" i="2" s="1"/>
  <c r="AR22" i="4" s="1"/>
  <c r="AR48" i="2"/>
  <c r="AR40" i="2"/>
  <c r="AN124" i="2"/>
  <c r="AN126" i="2" s="1"/>
  <c r="AN22" i="4" s="1"/>
  <c r="AN110" i="2"/>
  <c r="AN48" i="2"/>
  <c r="AN26" i="4" s="1"/>
  <c r="AN40" i="2"/>
  <c r="AN19" i="4" s="1"/>
  <c r="T124" i="2"/>
  <c r="T126" i="2" s="1"/>
  <c r="T22" i="4" s="1"/>
  <c r="T110" i="2"/>
  <c r="T48" i="2"/>
  <c r="T26" i="4" s="1"/>
  <c r="T40" i="2"/>
  <c r="T19" i="4" s="1"/>
  <c r="T39" i="2"/>
  <c r="T18" i="4" s="1"/>
  <c r="P110" i="2"/>
  <c r="P117" i="2" s="1"/>
  <c r="P41" i="4" s="1"/>
  <c r="P124" i="2"/>
  <c r="P126" i="2" s="1"/>
  <c r="P22" i="4" s="1"/>
  <c r="P48" i="2"/>
  <c r="P26" i="4" s="1"/>
  <c r="P40" i="2"/>
  <c r="P19" i="4" s="1"/>
  <c r="P39" i="2"/>
  <c r="P18" i="4" s="1"/>
  <c r="N110" i="2"/>
  <c r="N117" i="2" s="1"/>
  <c r="N41" i="4" s="1"/>
  <c r="N124" i="2"/>
  <c r="N126" i="2" s="1"/>
  <c r="N22" i="4" s="1"/>
  <c r="N48" i="2"/>
  <c r="N26" i="4" s="1"/>
  <c r="N40" i="2"/>
  <c r="N39" i="2"/>
  <c r="N18" i="4" s="1"/>
  <c r="V21" i="2"/>
  <c r="V11" i="4" s="1"/>
  <c r="Q21" i="2"/>
  <c r="Q11" i="4" s="1"/>
  <c r="AW245" i="2"/>
  <c r="AW130" i="4" s="1"/>
  <c r="X259" i="2"/>
  <c r="X55" i="2"/>
  <c r="AU243" i="2"/>
  <c r="AU135" i="4" s="1"/>
  <c r="AV243" i="2"/>
  <c r="AA257" i="2"/>
  <c r="AA256" i="2"/>
  <c r="Q257" i="2"/>
  <c r="Q256" i="2"/>
  <c r="AD55" i="2"/>
  <c r="AU255" i="2"/>
  <c r="E40" i="1" s="1"/>
  <c r="L195" i="2"/>
  <c r="X290" i="2"/>
  <c r="X291" i="2" s="1"/>
  <c r="Y270" i="2"/>
  <c r="T179" i="2"/>
  <c r="S299" i="2"/>
  <c r="T176" i="2"/>
  <c r="T82" i="4" s="1"/>
  <c r="S188" i="2"/>
  <c r="AJ267" i="2"/>
  <c r="AJ173" i="2"/>
  <c r="AJ79" i="4" s="1"/>
  <c r="AD267" i="2"/>
  <c r="AD173" i="2"/>
  <c r="AD79" i="4" s="1"/>
  <c r="AE168" i="2"/>
  <c r="AE74" i="4" s="1"/>
  <c r="Z267" i="2"/>
  <c r="Z173" i="2"/>
  <c r="Z79" i="4" s="1"/>
  <c r="V168" i="2"/>
  <c r="T267" i="2"/>
  <c r="T173" i="2"/>
  <c r="T79" i="4" s="1"/>
  <c r="O267" i="2"/>
  <c r="O173" i="2"/>
  <c r="AA146" i="2"/>
  <c r="Q168" i="2"/>
  <c r="AH190" i="2"/>
  <c r="AH94" i="4" s="1"/>
  <c r="AD165" i="2"/>
  <c r="Z114" i="2"/>
  <c r="Z116" i="2" s="1"/>
  <c r="Z117" i="2"/>
  <c r="Z41" i="4" s="1"/>
  <c r="L32" i="2"/>
  <c r="L33" i="2"/>
  <c r="L15" i="4" s="1"/>
  <c r="AP146" i="2"/>
  <c r="AH91" i="2"/>
  <c r="AI91" i="2" s="1"/>
  <c r="AJ91" i="2" s="1"/>
  <c r="AL91" i="2" s="1"/>
  <c r="AK297" i="2"/>
  <c r="AK75" i="2"/>
  <c r="AY64" i="2"/>
  <c r="AX62" i="2"/>
  <c r="AE59" i="2"/>
  <c r="AE33" i="4" s="1"/>
  <c r="AE50" i="2"/>
  <c r="AE49" i="2"/>
  <c r="AE27" i="4" s="1"/>
  <c r="AG117" i="2"/>
  <c r="AG41" i="4" s="1"/>
  <c r="AG114" i="2"/>
  <c r="AE117" i="2"/>
  <c r="AE41" i="4" s="1"/>
  <c r="AE114" i="2"/>
  <c r="AE116" i="2" s="1"/>
  <c r="AG116" i="2" s="1"/>
  <c r="AH116" i="2" s="1"/>
  <c r="AI116" i="2" s="1"/>
  <c r="AJ116" i="2" s="1"/>
  <c r="AC117" i="2"/>
  <c r="AC41" i="4" s="1"/>
  <c r="AC114" i="2"/>
  <c r="AC116" i="2" s="1"/>
  <c r="K124" i="2"/>
  <c r="K126" i="2" s="1"/>
  <c r="K22" i="4" s="1"/>
  <c r="K110" i="2"/>
  <c r="K117" i="2" s="1"/>
  <c r="K121" i="2" s="1"/>
  <c r="K48" i="2"/>
  <c r="K26" i="4" s="1"/>
  <c r="K40" i="2"/>
  <c r="K39" i="2"/>
  <c r="K18" i="4" s="1"/>
  <c r="E124" i="2"/>
  <c r="E126" i="2" s="1"/>
  <c r="E40" i="2"/>
  <c r="E48" i="2"/>
  <c r="E26" i="4" s="1"/>
  <c r="AF32" i="2"/>
  <c r="AF33" i="2"/>
  <c r="AF15" i="4" s="1"/>
  <c r="AZ66" i="2"/>
  <c r="D59" i="2"/>
  <c r="D33" i="4" s="1"/>
  <c r="D50" i="2"/>
  <c r="D28" i="4" s="1"/>
  <c r="AB124" i="2"/>
  <c r="AB126" i="2" s="1"/>
  <c r="AB110" i="2"/>
  <c r="AB48" i="2"/>
  <c r="AB40" i="2"/>
  <c r="AB19" i="4" s="1"/>
  <c r="AB39" i="2"/>
  <c r="AB18" i="4" s="1"/>
  <c r="X110" i="2"/>
  <c r="X124" i="2"/>
  <c r="X126" i="2" s="1"/>
  <c r="X48" i="2"/>
  <c r="X26" i="4" s="1"/>
  <c r="X40" i="2"/>
  <c r="X19" i="4" s="1"/>
  <c r="X39" i="2"/>
  <c r="X18" i="4" s="1"/>
  <c r="AO124" i="2"/>
  <c r="AO126" i="2" s="1"/>
  <c r="AO22" i="4" s="1"/>
  <c r="AO110" i="2"/>
  <c r="AO48" i="2"/>
  <c r="AO26" i="4" s="1"/>
  <c r="AO40" i="2"/>
  <c r="AO19" i="4" s="1"/>
  <c r="AO39" i="2"/>
  <c r="AO18" i="4" s="1"/>
  <c r="AF38" i="2"/>
  <c r="W124" i="2"/>
  <c r="W126" i="2" s="1"/>
  <c r="W22" i="4" s="1"/>
  <c r="W110" i="2"/>
  <c r="W48" i="2"/>
  <c r="W26" i="4" s="1"/>
  <c r="W40" i="2"/>
  <c r="W19" i="4" s="1"/>
  <c r="W39" i="2"/>
  <c r="W18" i="4" s="1"/>
  <c r="U124" i="2"/>
  <c r="U126" i="2" s="1"/>
  <c r="U22" i="4" s="1"/>
  <c r="U110" i="2"/>
  <c r="U48" i="2"/>
  <c r="U26" i="4" s="1"/>
  <c r="U40" i="2"/>
  <c r="U39" i="2"/>
  <c r="U18" i="4" s="1"/>
  <c r="S124" i="2"/>
  <c r="S126" i="2" s="1"/>
  <c r="S22" i="4" s="1"/>
  <c r="S110" i="2"/>
  <c r="S48" i="2"/>
  <c r="S26" i="4" s="1"/>
  <c r="S40" i="2"/>
  <c r="S39" i="2"/>
  <c r="S18" i="4" s="1"/>
  <c r="O124" i="2"/>
  <c r="O126" i="2" s="1"/>
  <c r="O22" i="4" s="1"/>
  <c r="O110" i="2"/>
  <c r="O117" i="2" s="1"/>
  <c r="O41" i="4" s="1"/>
  <c r="O48" i="2"/>
  <c r="O26" i="4" s="1"/>
  <c r="O40" i="2"/>
  <c r="O39" i="2"/>
  <c r="O18" i="4" s="1"/>
  <c r="M124" i="2"/>
  <c r="M126" i="2" s="1"/>
  <c r="M22" i="4" s="1"/>
  <c r="M110" i="2"/>
  <c r="M117" i="2" s="1"/>
  <c r="M41" i="4" s="1"/>
  <c r="M48" i="2"/>
  <c r="M26" i="4" s="1"/>
  <c r="M40" i="2"/>
  <c r="M39" i="2"/>
  <c r="M18" i="4" s="1"/>
  <c r="G38" i="2"/>
  <c r="G17" i="4" s="1"/>
  <c r="AU76" i="2"/>
  <c r="AT75" i="2"/>
  <c r="BE66" i="2"/>
  <c r="J39" i="2"/>
  <c r="J18" i="4" s="1"/>
  <c r="J50" i="2"/>
  <c r="J28" i="4" s="1"/>
  <c r="J59" i="2"/>
  <c r="J33" i="4" s="1"/>
  <c r="J128" i="2"/>
  <c r="J133" i="2"/>
  <c r="J135" i="2" s="1"/>
  <c r="AP26" i="2"/>
  <c r="AF27" i="2"/>
  <c r="AF13" i="4" s="1"/>
  <c r="AF26" i="2"/>
  <c r="AL124" i="2"/>
  <c r="AL126" i="2" s="1"/>
  <c r="AL22" i="4" s="1"/>
  <c r="AL110" i="2"/>
  <c r="AL48" i="2"/>
  <c r="AL26" i="4" s="1"/>
  <c r="AL40" i="2"/>
  <c r="AL39" i="2"/>
  <c r="AL18" i="4" s="1"/>
  <c r="AJ110" i="2"/>
  <c r="AJ124" i="2"/>
  <c r="AJ126" i="2" s="1"/>
  <c r="AJ22" i="4" s="1"/>
  <c r="AJ48" i="2"/>
  <c r="AJ26" i="4" s="1"/>
  <c r="AJ40" i="2"/>
  <c r="AJ39" i="2"/>
  <c r="AJ18" i="4" s="1"/>
  <c r="AD124" i="2"/>
  <c r="AD126" i="2" s="1"/>
  <c r="AD22" i="4" s="1"/>
  <c r="AD110" i="2"/>
  <c r="AD48" i="2"/>
  <c r="AD26" i="4" s="1"/>
  <c r="AD40" i="2"/>
  <c r="AD19" i="4" s="1"/>
  <c r="AD39" i="2"/>
  <c r="AD18" i="4" s="1"/>
  <c r="Y124" i="2"/>
  <c r="Y126" i="2" s="1"/>
  <c r="Y22" i="4" s="1"/>
  <c r="Y110" i="2"/>
  <c r="Y48" i="2"/>
  <c r="Y26" i="4" s="1"/>
  <c r="Y40" i="2"/>
  <c r="Y39" i="2"/>
  <c r="Y18" i="4" s="1"/>
  <c r="V38" i="2"/>
  <c r="V16" i="2"/>
  <c r="R124" i="2"/>
  <c r="R126" i="2" s="1"/>
  <c r="R22" i="4" s="1"/>
  <c r="R110" i="2"/>
  <c r="R48" i="2"/>
  <c r="R26" i="4" s="1"/>
  <c r="R40" i="2"/>
  <c r="R19" i="4" s="1"/>
  <c r="R39" i="2"/>
  <c r="R18" i="4" s="1"/>
  <c r="L38" i="2"/>
  <c r="L17" i="4" s="1"/>
  <c r="AA21" i="2"/>
  <c r="AA11" i="4" s="1"/>
  <c r="AD94" i="3"/>
  <c r="Z94" i="3"/>
  <c r="R94" i="3"/>
  <c r="J94" i="3"/>
  <c r="BD75" i="3"/>
  <c r="BD73" i="3"/>
  <c r="BD72" i="3"/>
  <c r="AY74" i="3"/>
  <c r="AX73" i="3"/>
  <c r="AX72" i="3"/>
  <c r="AX71" i="3" s="1"/>
  <c r="AX75" i="3"/>
  <c r="AY79" i="3"/>
  <c r="AY78" i="3"/>
  <c r="AY77" i="3" s="1"/>
  <c r="AY81" i="3"/>
  <c r="AU72" i="3"/>
  <c r="AP100" i="3"/>
  <c r="AF100" i="3"/>
  <c r="V100" i="3"/>
  <c r="L100" i="3"/>
  <c r="AP111" i="3"/>
  <c r="AP93" i="3"/>
  <c r="AP85" i="3"/>
  <c r="AF111" i="3"/>
  <c r="AF93" i="3"/>
  <c r="AF85" i="3"/>
  <c r="V93" i="3"/>
  <c r="V85" i="3"/>
  <c r="L93" i="3"/>
  <c r="L85" i="3"/>
  <c r="W94" i="3"/>
  <c r="AP78" i="3"/>
  <c r="AF78" i="3"/>
  <c r="V78" i="3"/>
  <c r="L78" i="3"/>
  <c r="BC24" i="3"/>
  <c r="BD23" i="3"/>
  <c r="BC22" i="3"/>
  <c r="BC21" i="3"/>
  <c r="AY22" i="3"/>
  <c r="AY21" i="3"/>
  <c r="AY20" i="3" s="1"/>
  <c r="AY24" i="3"/>
  <c r="AA21" i="3"/>
  <c r="AK88" i="3"/>
  <c r="AA88" i="3"/>
  <c r="Q88" i="3"/>
  <c r="AK111" i="3"/>
  <c r="AK93" i="3"/>
  <c r="AK85" i="3"/>
  <c r="AA85" i="3"/>
  <c r="AA93" i="3"/>
  <c r="AA94" i="3" s="1"/>
  <c r="Q93" i="3"/>
  <c r="Q85" i="3"/>
  <c r="G93" i="3"/>
  <c r="AL94" i="3"/>
  <c r="AH94" i="3"/>
  <c r="N94" i="3"/>
  <c r="BC81" i="3"/>
  <c r="BD80" i="3"/>
  <c r="BC79" i="3"/>
  <c r="BC78" i="3"/>
  <c r="BC77" i="3" s="1"/>
  <c r="BH77" i="3" s="1"/>
  <c r="AE94" i="3"/>
  <c r="AI94" i="3"/>
  <c r="O94" i="3"/>
  <c r="AK21" i="3"/>
  <c r="Q21" i="3"/>
  <c r="BD15" i="3"/>
  <c r="BD13" i="3"/>
  <c r="BD12" i="3"/>
  <c r="AX13" i="3"/>
  <c r="AX12" i="3"/>
  <c r="AX11" i="3" s="1"/>
  <c r="AX15" i="3"/>
  <c r="AU77" i="3"/>
  <c r="AU78" i="3" s="1"/>
  <c r="AZ28" i="3" l="1"/>
  <c r="AZ29" i="3" s="1"/>
  <c r="AY29" i="3"/>
  <c r="BH31" i="3"/>
  <c r="BH28" i="3" s="1"/>
  <c r="BH29" i="3" s="1"/>
  <c r="AU299" i="2"/>
  <c r="AT296" i="2"/>
  <c r="AU297" i="2"/>
  <c r="AA178" i="2"/>
  <c r="AA84" i="4" s="1"/>
  <c r="Z56" i="4"/>
  <c r="AK177" i="2"/>
  <c r="AK83" i="4" s="1"/>
  <c r="H44" i="5"/>
  <c r="Z299" i="2"/>
  <c r="AJ299" i="2"/>
  <c r="X257" i="2"/>
  <c r="X256" i="2"/>
  <c r="X258" i="2" s="1"/>
  <c r="BD62" i="2"/>
  <c r="BD134" i="2" s="1"/>
  <c r="AF146" i="2"/>
  <c r="AF52" i="4" s="1"/>
  <c r="AA152" i="2"/>
  <c r="E48" i="5" s="1"/>
  <c r="E49" i="5" s="1"/>
  <c r="AP152" i="2"/>
  <c r="R253" i="2"/>
  <c r="D33" i="1"/>
  <c r="AI8" i="4"/>
  <c r="AN4" i="2"/>
  <c r="AH8" i="4"/>
  <c r="AK46" i="2"/>
  <c r="AK25" i="4" s="1"/>
  <c r="BD25" i="4"/>
  <c r="BF46" i="2"/>
  <c r="BA12" i="3"/>
  <c r="BA11" i="3" s="1"/>
  <c r="BA87" i="3" s="1"/>
  <c r="BA100" i="3" s="1"/>
  <c r="E18" i="1"/>
  <c r="AT69" i="3"/>
  <c r="AT84" i="3"/>
  <c r="AT15" i="2" s="1"/>
  <c r="AU8" i="3"/>
  <c r="AU20" i="3" s="1"/>
  <c r="AU21" i="3" s="1"/>
  <c r="AU69" i="3"/>
  <c r="E19" i="1" s="1"/>
  <c r="V146" i="2"/>
  <c r="V162" i="2"/>
  <c r="V67" i="4" s="1"/>
  <c r="AF164" i="2"/>
  <c r="AF69" i="4" s="1"/>
  <c r="AA161" i="2"/>
  <c r="AA66" i="4" s="1"/>
  <c r="AK173" i="2"/>
  <c r="AK79" i="4" s="1"/>
  <c r="AS8" i="4"/>
  <c r="AR25" i="4"/>
  <c r="AK163" i="2"/>
  <c r="AK68" i="4" s="1"/>
  <c r="AB258" i="2"/>
  <c r="AF179" i="2"/>
  <c r="AF85" i="4" s="1"/>
  <c r="AS110" i="2"/>
  <c r="AS117" i="2" s="1"/>
  <c r="AS41" i="4" s="1"/>
  <c r="AR15" i="4"/>
  <c r="AS48" i="2"/>
  <c r="AS26" i="4" s="1"/>
  <c r="AS259" i="2"/>
  <c r="AS39" i="2"/>
  <c r="AS18" i="4" s="1"/>
  <c r="AS124" i="2"/>
  <c r="AS126" i="2" s="1"/>
  <c r="AS22" i="4" s="1"/>
  <c r="Q241" i="2"/>
  <c r="Q128" i="4" s="1"/>
  <c r="AS40" i="2"/>
  <c r="AS19" i="4" s="1"/>
  <c r="AU12" i="3"/>
  <c r="AU87" i="3"/>
  <c r="AU88" i="3" s="1"/>
  <c r="AT101" i="3"/>
  <c r="AT100" i="3"/>
  <c r="BA68" i="3"/>
  <c r="BA69" i="3" s="1"/>
  <c r="AT9" i="3"/>
  <c r="BB68" i="3"/>
  <c r="BB87" i="3"/>
  <c r="BB101" i="3" s="1"/>
  <c r="AV101" i="3"/>
  <c r="AV100" i="3"/>
  <c r="BG87" i="3"/>
  <c r="BG100" i="3" s="1"/>
  <c r="BF31" i="3"/>
  <c r="BF28" i="3" s="1"/>
  <c r="AZ31" i="3"/>
  <c r="AZ32" i="3" s="1"/>
  <c r="BF68" i="3"/>
  <c r="BG68" i="3"/>
  <c r="BG8" i="3"/>
  <c r="BD31" i="3"/>
  <c r="BB8" i="3"/>
  <c r="AU59" i="4"/>
  <c r="AF162" i="2"/>
  <c r="AF67" i="4" s="1"/>
  <c r="M192" i="2"/>
  <c r="M193" i="2" s="1"/>
  <c r="N192" i="2" s="1"/>
  <c r="N193" i="2" s="1"/>
  <c r="AF161" i="2"/>
  <c r="AF66" i="4" s="1"/>
  <c r="G5" i="5"/>
  <c r="H5" i="5" s="1"/>
  <c r="P173" i="2"/>
  <c r="P79" i="4" s="1"/>
  <c r="AP161" i="2"/>
  <c r="AP66" i="4" s="1"/>
  <c r="AM190" i="2"/>
  <c r="AM94" i="4" s="1"/>
  <c r="AF187" i="2"/>
  <c r="AF91" i="4" s="1"/>
  <c r="AA164" i="2"/>
  <c r="AA69" i="4" s="1"/>
  <c r="F4" i="5"/>
  <c r="H41" i="2"/>
  <c r="H20" i="4" s="1"/>
  <c r="AP185" i="2"/>
  <c r="AP89" i="4" s="1"/>
  <c r="V159" i="2"/>
  <c r="V64" i="4" s="1"/>
  <c r="AA160" i="2"/>
  <c r="AA65" i="4" s="1"/>
  <c r="AN8" i="4"/>
  <c r="AW101" i="3"/>
  <c r="V58" i="4"/>
  <c r="AP158" i="2"/>
  <c r="AE86" i="2"/>
  <c r="AG86" i="2" s="1"/>
  <c r="AH86" i="2" s="1"/>
  <c r="AI86" i="2" s="1"/>
  <c r="AJ86" i="2" s="1"/>
  <c r="AL86" i="2" s="1"/>
  <c r="AM86" i="2" s="1"/>
  <c r="AN86" i="2" s="1"/>
  <c r="AO86" i="2" s="1"/>
  <c r="AW100" i="3"/>
  <c r="AF154" i="2"/>
  <c r="AF60" i="4" s="1"/>
  <c r="AP162" i="2"/>
  <c r="AP67" i="4" s="1"/>
  <c r="AJ165" i="2"/>
  <c r="AJ71" i="4" s="1"/>
  <c r="Q153" i="2"/>
  <c r="Q59" i="4" s="1"/>
  <c r="AV9" i="3"/>
  <c r="AF163" i="2"/>
  <c r="AF68" i="4" s="1"/>
  <c r="AC55" i="2"/>
  <c r="P188" i="2"/>
  <c r="P92" i="4" s="1"/>
  <c r="AW153" i="2"/>
  <c r="AW59" i="4" s="1"/>
  <c r="AO165" i="2"/>
  <c r="AO71" i="4" s="1"/>
  <c r="BG29" i="3"/>
  <c r="BB29" i="3"/>
  <c r="BC48" i="3"/>
  <c r="BC49" i="3" s="1"/>
  <c r="BH51" i="3"/>
  <c r="BH48" i="3" s="1"/>
  <c r="AF150" i="2"/>
  <c r="AF56" i="4" s="1"/>
  <c r="BF51" i="3"/>
  <c r="BF48" i="3" s="1"/>
  <c r="BA48" i="3"/>
  <c r="BE51" i="3"/>
  <c r="BA29" i="3"/>
  <c r="Q94" i="3"/>
  <c r="AK94" i="3"/>
  <c r="AU249" i="2"/>
  <c r="AU134" i="4" s="1"/>
  <c r="AC259" i="2"/>
  <c r="AF156" i="2"/>
  <c r="AF61" i="4" s="1"/>
  <c r="AI188" i="2"/>
  <c r="AI92" i="4" s="1"/>
  <c r="Z188" i="2"/>
  <c r="Z92" i="4" s="1"/>
  <c r="X121" i="4"/>
  <c r="BE120" i="2"/>
  <c r="AZ48" i="3"/>
  <c r="AZ60" i="3" s="1"/>
  <c r="AZ61" i="3" s="1"/>
  <c r="BD48" i="3"/>
  <c r="BD49" i="3" s="1"/>
  <c r="BI51" i="3"/>
  <c r="AU156" i="2"/>
  <c r="AU61" i="4" s="1"/>
  <c r="AF159" i="2"/>
  <c r="AF64" i="4" s="1"/>
  <c r="AF180" i="2"/>
  <c r="AF86" i="4" s="1"/>
  <c r="Z165" i="2"/>
  <c r="AR55" i="2"/>
  <c r="AS165" i="2"/>
  <c r="AS71" i="4" s="1"/>
  <c r="AJ187" i="2"/>
  <c r="AJ91" i="4" s="1"/>
  <c r="BB48" i="3"/>
  <c r="BB49" i="3" s="1"/>
  <c r="BG51" i="3"/>
  <c r="BG48" i="3" s="1"/>
  <c r="AQ128" i="4"/>
  <c r="AQ252" i="2"/>
  <c r="AI110" i="2"/>
  <c r="AI117" i="2" s="1"/>
  <c r="AI41" i="4" s="1"/>
  <c r="AA173" i="2"/>
  <c r="AA79" i="4" s="1"/>
  <c r="AP160" i="2"/>
  <c r="AP65" i="4" s="1"/>
  <c r="Q163" i="2"/>
  <c r="Q68" i="4" s="1"/>
  <c r="BG120" i="2"/>
  <c r="BH120" i="2" s="1"/>
  <c r="BI120" i="2" s="1"/>
  <c r="AQ110" i="2"/>
  <c r="AQ117" i="2" s="1"/>
  <c r="AQ41" i="4" s="1"/>
  <c r="V161" i="2"/>
  <c r="V66" i="4" s="1"/>
  <c r="AF170" i="2"/>
  <c r="AF76" i="4" s="1"/>
  <c r="U165" i="2"/>
  <c r="U71" i="4" s="1"/>
  <c r="AF158" i="2"/>
  <c r="AF63" i="4" s="1"/>
  <c r="AC257" i="2"/>
  <c r="AN39" i="2"/>
  <c r="AN18" i="4" s="1"/>
  <c r="AP163" i="2"/>
  <c r="AP68" i="4" s="1"/>
  <c r="AE165" i="2"/>
  <c r="AE71" i="4" s="1"/>
  <c r="Q187" i="2"/>
  <c r="Q188" i="2" s="1"/>
  <c r="Q92" i="4" s="1"/>
  <c r="AF148" i="2"/>
  <c r="AF54" i="4" s="1"/>
  <c r="V160" i="2"/>
  <c r="V65" i="4" s="1"/>
  <c r="E44" i="5"/>
  <c r="E45" i="5" s="1"/>
  <c r="AQ259" i="2"/>
  <c r="AO188" i="2"/>
  <c r="AO92" i="4" s="1"/>
  <c r="AP179" i="2"/>
  <c r="AP85" i="4" s="1"/>
  <c r="J49" i="2"/>
  <c r="J27" i="4" s="1"/>
  <c r="AA267" i="2"/>
  <c r="AK21" i="2"/>
  <c r="AP159" i="2"/>
  <c r="AP64" i="4" s="1"/>
  <c r="AA158" i="2"/>
  <c r="AA63" i="4" s="1"/>
  <c r="AA162" i="2"/>
  <c r="AA67" i="4" s="1"/>
  <c r="AC190" i="2"/>
  <c r="AC94" i="4" s="1"/>
  <c r="AV249" i="2"/>
  <c r="AV134" i="4" s="1"/>
  <c r="AY219" i="2"/>
  <c r="AY109" i="4" s="1"/>
  <c r="AP257" i="2"/>
  <c r="AP256" i="2"/>
  <c r="AQ48" i="2"/>
  <c r="AQ26" i="4" s="1"/>
  <c r="AQ39" i="2"/>
  <c r="AQ18" i="4" s="1"/>
  <c r="AQ124" i="2"/>
  <c r="AQ126" i="2" s="1"/>
  <c r="AQ22" i="4" s="1"/>
  <c r="AQ40" i="2"/>
  <c r="AQ19" i="4" s="1"/>
  <c r="AQ258" i="2"/>
  <c r="AP16" i="2"/>
  <c r="AI48" i="2"/>
  <c r="AI26" i="4" s="1"/>
  <c r="AI39" i="2"/>
  <c r="AI18" i="4" s="1"/>
  <c r="AI124" i="2"/>
  <c r="AI126" i="2" s="1"/>
  <c r="AI22" i="4" s="1"/>
  <c r="AI40" i="2"/>
  <c r="AI19" i="4" s="1"/>
  <c r="AM124" i="2"/>
  <c r="AM126" i="2" s="1"/>
  <c r="AM22" i="4" s="1"/>
  <c r="AF128" i="4"/>
  <c r="AF252" i="2"/>
  <c r="AF137" i="4" s="1"/>
  <c r="AH39" i="2"/>
  <c r="AH18" i="4" s="1"/>
  <c r="AM39" i="2"/>
  <c r="AM18" i="4" s="1"/>
  <c r="AX15" i="4"/>
  <c r="C11" i="5"/>
  <c r="BI266" i="2"/>
  <c r="AI262" i="2"/>
  <c r="AH40" i="2"/>
  <c r="AH41" i="2" s="1"/>
  <c r="AH20" i="4" s="1"/>
  <c r="AJ262" i="2"/>
  <c r="AH110" i="2"/>
  <c r="AH117" i="2" s="1"/>
  <c r="AH41" i="4" s="1"/>
  <c r="BC134" i="2"/>
  <c r="AW84" i="3"/>
  <c r="AW97" i="3" s="1"/>
  <c r="AW9" i="3"/>
  <c r="AX30" i="2"/>
  <c r="AX27" i="2"/>
  <c r="BC29" i="2" s="1"/>
  <c r="BC28" i="2" s="1"/>
  <c r="AV84" i="3"/>
  <c r="AV15" i="2" s="1"/>
  <c r="AV104" i="2" s="1"/>
  <c r="AP267" i="2"/>
  <c r="AW33" i="2"/>
  <c r="AK33" i="2"/>
  <c r="AK15" i="4" s="1"/>
  <c r="AK38" i="2"/>
  <c r="AK267" i="2"/>
  <c r="AK7" i="4"/>
  <c r="AP21" i="2"/>
  <c r="AP11" i="4" s="1"/>
  <c r="AP38" i="2"/>
  <c r="AP43" i="2" s="1"/>
  <c r="AP27" i="2"/>
  <c r="AP13" i="4" s="1"/>
  <c r="AP33" i="2"/>
  <c r="AP15" i="4" s="1"/>
  <c r="AP46" i="2"/>
  <c r="AP25" i="4" s="1"/>
  <c r="G7" i="5"/>
  <c r="G20" i="5" s="1"/>
  <c r="AK27" i="2"/>
  <c r="AK16" i="2"/>
  <c r="C22" i="1"/>
  <c r="AM40" i="2"/>
  <c r="AM19" i="4" s="1"/>
  <c r="BC20" i="3"/>
  <c r="BH20" i="3" s="1"/>
  <c r="AH48" i="2"/>
  <c r="AH26" i="4" s="1"/>
  <c r="AR39" i="2"/>
  <c r="AW27" i="2"/>
  <c r="BB29" i="2" s="1"/>
  <c r="BB28" i="2" s="1"/>
  <c r="AM48" i="2"/>
  <c r="AM26" i="4" s="1"/>
  <c r="AH124" i="2"/>
  <c r="AH126" i="2" s="1"/>
  <c r="AH22" i="4" s="1"/>
  <c r="AM110" i="2"/>
  <c r="AM114" i="2" s="1"/>
  <c r="AM116" i="2" s="1"/>
  <c r="H49" i="2"/>
  <c r="H27" i="4" s="1"/>
  <c r="C17" i="5"/>
  <c r="Q258" i="2"/>
  <c r="M41" i="2"/>
  <c r="M20" i="4" s="1"/>
  <c r="M19" i="4"/>
  <c r="S41" i="2"/>
  <c r="S20" i="4" s="1"/>
  <c r="S19" i="4"/>
  <c r="AC127" i="2"/>
  <c r="X22" i="4"/>
  <c r="AG49" i="2"/>
  <c r="AG27" i="4" s="1"/>
  <c r="AB26" i="4"/>
  <c r="AG127" i="2"/>
  <c r="AB22" i="4"/>
  <c r="J41" i="2"/>
  <c r="J20" i="4" s="1"/>
  <c r="E19" i="4"/>
  <c r="AE51" i="2"/>
  <c r="AE29" i="4" s="1"/>
  <c r="AE28" i="4"/>
  <c r="V52" i="4"/>
  <c r="AP173" i="2"/>
  <c r="AP79" i="4" s="1"/>
  <c r="AP75" i="4"/>
  <c r="AD190" i="2"/>
  <c r="AD94" i="4" s="1"/>
  <c r="AD71" i="4"/>
  <c r="U179" i="2"/>
  <c r="U85" i="4" s="1"/>
  <c r="T85" i="4"/>
  <c r="I41" i="2"/>
  <c r="I20" i="4" s="1"/>
  <c r="I19" i="4"/>
  <c r="AN190" i="2"/>
  <c r="AN94" i="4" s="1"/>
  <c r="AN71" i="4"/>
  <c r="V63" i="4"/>
  <c r="AC252" i="2"/>
  <c r="AC128" i="4"/>
  <c r="AA179" i="2"/>
  <c r="AA85" i="4" s="1"/>
  <c r="Z85" i="4"/>
  <c r="AP58" i="4"/>
  <c r="AO59" i="4"/>
  <c r="AP153" i="2"/>
  <c r="AP59" i="4" s="1"/>
  <c r="U90" i="4"/>
  <c r="V186" i="2"/>
  <c r="V90" i="4" s="1"/>
  <c r="AE83" i="4"/>
  <c r="AF177" i="2"/>
  <c r="AO83" i="4"/>
  <c r="AO299" i="2"/>
  <c r="AP177" i="2"/>
  <c r="AV69" i="4"/>
  <c r="AX233" i="2"/>
  <c r="AW120" i="4"/>
  <c r="AW164" i="2"/>
  <c r="AW69" i="4" s="1"/>
  <c r="AX238" i="2"/>
  <c r="AW125" i="4"/>
  <c r="AX240" i="2"/>
  <c r="AW127" i="4"/>
  <c r="U91" i="4"/>
  <c r="V187" i="2"/>
  <c r="V91" i="4" s="1"/>
  <c r="L128" i="4"/>
  <c r="L252" i="2"/>
  <c r="V128" i="4"/>
  <c r="V252" i="2"/>
  <c r="AA128" i="4"/>
  <c r="AA252" i="2"/>
  <c r="P64" i="4"/>
  <c r="Q159" i="2"/>
  <c r="Q64" i="4" s="1"/>
  <c r="AJ64" i="4"/>
  <c r="AK159" i="2"/>
  <c r="AK64" i="4" s="1"/>
  <c r="AK156" i="2"/>
  <c r="AK61" i="4" s="1"/>
  <c r="AJ61" i="4"/>
  <c r="Q160" i="2"/>
  <c r="Q65" i="4" s="1"/>
  <c r="P65" i="4"/>
  <c r="Q162" i="2"/>
  <c r="Q67" i="4" s="1"/>
  <c r="P67" i="4"/>
  <c r="Q170" i="2"/>
  <c r="Q76" i="4" s="1"/>
  <c r="P76" i="4"/>
  <c r="V169" i="2"/>
  <c r="V75" i="4" s="1"/>
  <c r="U75" i="4"/>
  <c r="AO173" i="2"/>
  <c r="AO79" i="4" s="1"/>
  <c r="AO75" i="4"/>
  <c r="AE84" i="4"/>
  <c r="AX248" i="2"/>
  <c r="AW133" i="4"/>
  <c r="U83" i="4"/>
  <c r="V177" i="2"/>
  <c r="V83" i="4" s="1"/>
  <c r="AK58" i="4"/>
  <c r="AO57" i="4"/>
  <c r="AP151" i="2"/>
  <c r="U89" i="4"/>
  <c r="V185" i="2"/>
  <c r="V89" i="4" s="1"/>
  <c r="Y190" i="2"/>
  <c r="Y94" i="4" s="1"/>
  <c r="Y71" i="4"/>
  <c r="AI165" i="2"/>
  <c r="AI71" i="4" s="1"/>
  <c r="AI61" i="4"/>
  <c r="Q158" i="2"/>
  <c r="P63" i="4"/>
  <c r="Q161" i="2"/>
  <c r="Q66" i="4" s="1"/>
  <c r="P66" i="4"/>
  <c r="Q164" i="2"/>
  <c r="Q69" i="4" s="1"/>
  <c r="P69" i="4"/>
  <c r="AK158" i="2"/>
  <c r="AJ63" i="4"/>
  <c r="AK161" i="2"/>
  <c r="AK66" i="4" s="1"/>
  <c r="AJ66" i="4"/>
  <c r="AK164" i="2"/>
  <c r="AK69" i="4" s="1"/>
  <c r="AJ69" i="4"/>
  <c r="G44" i="5"/>
  <c r="AK74" i="4"/>
  <c r="C33" i="1"/>
  <c r="AS188" i="2"/>
  <c r="AS92" i="4" s="1"/>
  <c r="AS85" i="4"/>
  <c r="AU179" i="2"/>
  <c r="AU85" i="4" s="1"/>
  <c r="AK179" i="2"/>
  <c r="AK85" i="4" s="1"/>
  <c r="AJ85" i="4"/>
  <c r="AE182" i="2"/>
  <c r="AE188" i="2" s="1"/>
  <c r="AE92" i="4" s="1"/>
  <c r="AD88" i="4"/>
  <c r="AD299" i="2"/>
  <c r="V164" i="2"/>
  <c r="V69" i="4" s="1"/>
  <c r="AP164" i="2"/>
  <c r="AP69" i="4" s="1"/>
  <c r="O41" i="2"/>
  <c r="O20" i="4" s="1"/>
  <c r="O19" i="4"/>
  <c r="U41" i="2"/>
  <c r="U20" i="4" s="1"/>
  <c r="U19" i="4"/>
  <c r="K41" i="2"/>
  <c r="K20" i="4" s="1"/>
  <c r="K19" i="4"/>
  <c r="AK296" i="2"/>
  <c r="AP52" i="4"/>
  <c r="C44" i="5"/>
  <c r="C45" i="5" s="1"/>
  <c r="Q74" i="4"/>
  <c r="AA52" i="4"/>
  <c r="O190" i="2"/>
  <c r="O94" i="4" s="1"/>
  <c r="O79" i="4"/>
  <c r="D44" i="5"/>
  <c r="D45" i="5" s="1"/>
  <c r="V74" i="4"/>
  <c r="S190" i="2"/>
  <c r="S94" i="4" s="1"/>
  <c r="S92" i="4"/>
  <c r="AW243" i="2"/>
  <c r="AV135" i="4"/>
  <c r="N41" i="2"/>
  <c r="N20" i="4" s="1"/>
  <c r="N19" i="4"/>
  <c r="Q17" i="4"/>
  <c r="AA148" i="2"/>
  <c r="AA54" i="4" s="1"/>
  <c r="Z54" i="4"/>
  <c r="AK186" i="2"/>
  <c r="AJ90" i="4"/>
  <c r="Q156" i="2"/>
  <c r="Q61" i="4" s="1"/>
  <c r="P61" i="4"/>
  <c r="AK52" i="4"/>
  <c r="Q299" i="2"/>
  <c r="Q58" i="4"/>
  <c r="AS79" i="4"/>
  <c r="AZ188" i="2"/>
  <c r="AZ92" i="4" s="1"/>
  <c r="AZ85" i="4"/>
  <c r="AP241" i="2"/>
  <c r="AP121" i="4"/>
  <c r="Y241" i="2"/>
  <c r="Y123" i="4"/>
  <c r="P77" i="4"/>
  <c r="Q171" i="2"/>
  <c r="Q77" i="4" s="1"/>
  <c r="U86" i="4"/>
  <c r="V180" i="2"/>
  <c r="V86" i="4" s="1"/>
  <c r="AX231" i="2"/>
  <c r="AW118" i="4"/>
  <c r="U87" i="4"/>
  <c r="V181" i="2"/>
  <c r="V87" i="4" s="1"/>
  <c r="AJ89" i="4"/>
  <c r="AK185" i="2"/>
  <c r="AK89" i="4" s="1"/>
  <c r="AH122" i="4"/>
  <c r="AH241" i="2"/>
  <c r="AH255" i="2"/>
  <c r="AK160" i="2"/>
  <c r="AK65" i="4" s="1"/>
  <c r="AJ65" i="4"/>
  <c r="AK162" i="2"/>
  <c r="AK67" i="4" s="1"/>
  <c r="AJ67" i="4"/>
  <c r="M128" i="4"/>
  <c r="M252" i="2"/>
  <c r="AO128" i="4"/>
  <c r="AO252" i="2"/>
  <c r="X252" i="2"/>
  <c r="X128" i="4"/>
  <c r="U88" i="4"/>
  <c r="V182" i="2"/>
  <c r="V88" i="4" s="1"/>
  <c r="AJ88" i="4"/>
  <c r="AK182" i="2"/>
  <c r="U84" i="4"/>
  <c r="V178" i="2"/>
  <c r="V84" i="4" s="1"/>
  <c r="AW210" i="2"/>
  <c r="AV100" i="4"/>
  <c r="AX218" i="2"/>
  <c r="AW108" i="4"/>
  <c r="AX220" i="2"/>
  <c r="AW110" i="4"/>
  <c r="AK111" i="4"/>
  <c r="C38" i="1"/>
  <c r="AP111" i="4"/>
  <c r="D38" i="1"/>
  <c r="AO88" i="4"/>
  <c r="AP182" i="2"/>
  <c r="AP88" i="4" s="1"/>
  <c r="AX213" i="2"/>
  <c r="AW103" i="4"/>
  <c r="AV68" i="4"/>
  <c r="AX225" i="2"/>
  <c r="AW114" i="4"/>
  <c r="AW163" i="2"/>
  <c r="AW68" i="4" s="1"/>
  <c r="AX228" i="2"/>
  <c r="AW117" i="4"/>
  <c r="AX232" i="2"/>
  <c r="AW119" i="4"/>
  <c r="AX235" i="2"/>
  <c r="AW122" i="4"/>
  <c r="AW124" i="4"/>
  <c r="AX239" i="2"/>
  <c r="AW126" i="4"/>
  <c r="C20" i="5"/>
  <c r="C32" i="5"/>
  <c r="C25" i="5"/>
  <c r="C43" i="5" s="1"/>
  <c r="AY236" i="2"/>
  <c r="AX123" i="4"/>
  <c r="AR128" i="4"/>
  <c r="AR252" i="2"/>
  <c r="O128" i="4"/>
  <c r="O252" i="2"/>
  <c r="AG128" i="4"/>
  <c r="AG252" i="2"/>
  <c r="D32" i="5"/>
  <c r="D8" i="5"/>
  <c r="D11" i="5"/>
  <c r="D14" i="5"/>
  <c r="D17" i="5"/>
  <c r="D25" i="5"/>
  <c r="D43" i="5" s="1"/>
  <c r="D49" i="5"/>
  <c r="D20" i="5"/>
  <c r="AR8" i="4"/>
  <c r="AQ8" i="4"/>
  <c r="AQ15" i="4"/>
  <c r="AQ11" i="4"/>
  <c r="AV30" i="2"/>
  <c r="AV27" i="2"/>
  <c r="AT111" i="2"/>
  <c r="V258" i="2"/>
  <c r="V17" i="4"/>
  <c r="Y41" i="2"/>
  <c r="Y20" i="4" s="1"/>
  <c r="Y19" i="4"/>
  <c r="AJ41" i="2"/>
  <c r="AJ20" i="4" s="1"/>
  <c r="AJ19" i="4"/>
  <c r="AL41" i="2"/>
  <c r="AL20" i="4" s="1"/>
  <c r="AL19" i="4"/>
  <c r="AR26" i="4"/>
  <c r="AA17" i="4"/>
  <c r="V8" i="4"/>
  <c r="AF17" i="4"/>
  <c r="AA258" i="2"/>
  <c r="AA259" i="2"/>
  <c r="AR19" i="4"/>
  <c r="AF8" i="4"/>
  <c r="AA8" i="4"/>
  <c r="F32" i="5"/>
  <c r="F20" i="5"/>
  <c r="F25" i="5"/>
  <c r="F43" i="5" s="1"/>
  <c r="F11" i="5"/>
  <c r="F17" i="5"/>
  <c r="F8" i="5"/>
  <c r="F14" i="5"/>
  <c r="AX21" i="2"/>
  <c r="H7" i="5"/>
  <c r="D22" i="1"/>
  <c r="D34" i="1" s="1"/>
  <c r="AP7" i="4"/>
  <c r="AM4" i="2"/>
  <c r="AM8" i="4"/>
  <c r="AW21" i="2"/>
  <c r="E25" i="5"/>
  <c r="E43" i="5" s="1"/>
  <c r="E8" i="5"/>
  <c r="E32" i="5"/>
  <c r="E11" i="5"/>
  <c r="E14" i="5"/>
  <c r="E17" i="5"/>
  <c r="E20" i="5"/>
  <c r="AT97" i="3"/>
  <c r="E56" i="5"/>
  <c r="AT7" i="4"/>
  <c r="AT16" i="2"/>
  <c r="AU15" i="2"/>
  <c r="P49" i="5"/>
  <c r="AC137" i="2"/>
  <c r="AC46" i="4" s="1"/>
  <c r="L110" i="2"/>
  <c r="L117" i="2" s="1"/>
  <c r="L41" i="4" s="1"/>
  <c r="L124" i="2"/>
  <c r="L126" i="2" s="1"/>
  <c r="L22" i="4" s="1"/>
  <c r="L48" i="2"/>
  <c r="L26" i="4" s="1"/>
  <c r="L40" i="2"/>
  <c r="L19" i="4" s="1"/>
  <c r="L39" i="2"/>
  <c r="L18" i="4" s="1"/>
  <c r="R41" i="2"/>
  <c r="R20" i="4" s="1"/>
  <c r="R117" i="2"/>
  <c r="R41" i="4" s="1"/>
  <c r="R114" i="2"/>
  <c r="Y59" i="2"/>
  <c r="Y33" i="4" s="1"/>
  <c r="Y50" i="2"/>
  <c r="Y28" i="4" s="1"/>
  <c r="Y49" i="2"/>
  <c r="Y27" i="4" s="1"/>
  <c r="Y128" i="2"/>
  <c r="Y127" i="2"/>
  <c r="AD41" i="2"/>
  <c r="AD20" i="4" s="1"/>
  <c r="AD117" i="2"/>
  <c r="AD41" i="4" s="1"/>
  <c r="AD114" i="2"/>
  <c r="AD116" i="2" s="1"/>
  <c r="AJ50" i="2"/>
  <c r="AJ49" i="2"/>
  <c r="AJ27" i="4" s="1"/>
  <c r="AJ59" i="2"/>
  <c r="AJ33" i="4" s="1"/>
  <c r="AJ114" i="2"/>
  <c r="AJ117" i="2"/>
  <c r="AJ41" i="4" s="1"/>
  <c r="AL59" i="2"/>
  <c r="AL33" i="4" s="1"/>
  <c r="AL50" i="2"/>
  <c r="AL49" i="2"/>
  <c r="AL27" i="4" s="1"/>
  <c r="AL127" i="2"/>
  <c r="AL128" i="2"/>
  <c r="AL129" i="2" s="1"/>
  <c r="AW76" i="2"/>
  <c r="M59" i="2"/>
  <c r="M33" i="4" s="1"/>
  <c r="M50" i="2"/>
  <c r="M49" i="2"/>
  <c r="M27" i="4" s="1"/>
  <c r="M128" i="2"/>
  <c r="M129" i="2" s="1"/>
  <c r="M133" i="2"/>
  <c r="M135" i="2" s="1"/>
  <c r="M40" i="4" s="1"/>
  <c r="M127" i="2"/>
  <c r="O118" i="2"/>
  <c r="O47" i="4" s="1"/>
  <c r="O121" i="2"/>
  <c r="S59" i="2"/>
  <c r="S33" i="4" s="1"/>
  <c r="S50" i="2"/>
  <c r="S28" i="4" s="1"/>
  <c r="S49" i="2"/>
  <c r="S27" i="4" s="1"/>
  <c r="S128" i="2"/>
  <c r="S133" i="2"/>
  <c r="S135" i="2" s="1"/>
  <c r="S40" i="4" s="1"/>
  <c r="S127" i="2"/>
  <c r="U117" i="2"/>
  <c r="U41" i="4" s="1"/>
  <c r="U114" i="2"/>
  <c r="U116" i="2" s="1"/>
  <c r="W59" i="2"/>
  <c r="W33" i="4" s="1"/>
  <c r="W50" i="2"/>
  <c r="W28" i="4" s="1"/>
  <c r="W49" i="2"/>
  <c r="W27" i="4" s="1"/>
  <c r="W128" i="2"/>
  <c r="W127" i="2"/>
  <c r="AO59" i="2"/>
  <c r="AO33" i="4" s="1"/>
  <c r="AO50" i="2"/>
  <c r="AO49" i="2"/>
  <c r="AO27" i="4" s="1"/>
  <c r="AO128" i="2"/>
  <c r="AO127" i="2"/>
  <c r="AQ41" i="2"/>
  <c r="AQ20" i="4" s="1"/>
  <c r="X50" i="2"/>
  <c r="AC51" i="2" s="1"/>
  <c r="AC29" i="4" s="1"/>
  <c r="X49" i="2"/>
  <c r="X27" i="4" s="1"/>
  <c r="X59" i="2"/>
  <c r="X33" i="4" s="1"/>
  <c r="X114" i="2"/>
  <c r="X116" i="2" s="1"/>
  <c r="X117" i="2"/>
  <c r="X41" i="4" s="1"/>
  <c r="AB41" i="2"/>
  <c r="AB20" i="4" s="1"/>
  <c r="AB117" i="2"/>
  <c r="AB41" i="4" s="1"/>
  <c r="AB114" i="2"/>
  <c r="D60" i="2"/>
  <c r="D61" i="2"/>
  <c r="K59" i="2"/>
  <c r="K33" i="4" s="1"/>
  <c r="K50" i="2"/>
  <c r="K49" i="2"/>
  <c r="K27" i="4" s="1"/>
  <c r="K133" i="2"/>
  <c r="K135" i="2" s="1"/>
  <c r="K128" i="2"/>
  <c r="AC118" i="2"/>
  <c r="AC47" i="4" s="1"/>
  <c r="AC121" i="2"/>
  <c r="AE118" i="2"/>
  <c r="AE47" i="4" s="1"/>
  <c r="AE121" i="2"/>
  <c r="AG118" i="2"/>
  <c r="AG47" i="4" s="1"/>
  <c r="AG121" i="2"/>
  <c r="AG41" i="2"/>
  <c r="AG20" i="4" s="1"/>
  <c r="AX134" i="2"/>
  <c r="AK91" i="2"/>
  <c r="V267" i="2"/>
  <c r="M195" i="2"/>
  <c r="AX245" i="2"/>
  <c r="AX130" i="4" s="1"/>
  <c r="N133" i="2"/>
  <c r="N135" i="2" s="1"/>
  <c r="N40" i="4" s="1"/>
  <c r="N127" i="2"/>
  <c r="N128" i="2"/>
  <c r="P50" i="2"/>
  <c r="P49" i="2"/>
  <c r="P27" i="4" s="1"/>
  <c r="P59" i="2"/>
  <c r="P33" i="4" s="1"/>
  <c r="P121" i="2"/>
  <c r="P118" i="2"/>
  <c r="P47" i="4" s="1"/>
  <c r="T41" i="2"/>
  <c r="T20" i="4" s="1"/>
  <c r="T117" i="2"/>
  <c r="T41" i="4" s="1"/>
  <c r="T114" i="2"/>
  <c r="T116" i="2" s="1"/>
  <c r="AN117" i="2"/>
  <c r="AN41" i="4" s="1"/>
  <c r="AN114" i="2"/>
  <c r="AN116" i="2" s="1"/>
  <c r="AR50" i="2"/>
  <c r="AR59" i="2"/>
  <c r="AR114" i="2"/>
  <c r="AR116" i="2" s="1"/>
  <c r="AR117" i="2"/>
  <c r="H135" i="2"/>
  <c r="Q124" i="2"/>
  <c r="Q126" i="2" s="1"/>
  <c r="Q22" i="4" s="1"/>
  <c r="Q110" i="2"/>
  <c r="Q117" i="2" s="1"/>
  <c r="Q41" i="4" s="1"/>
  <c r="Q48" i="2"/>
  <c r="Q26" i="4" s="1"/>
  <c r="Q40" i="2"/>
  <c r="Q39" i="2"/>
  <c r="Q18" i="4" s="1"/>
  <c r="AA124" i="2"/>
  <c r="AA126" i="2" s="1"/>
  <c r="AA110" i="2"/>
  <c r="AA117" i="2" s="1"/>
  <c r="AA41" i="4" s="1"/>
  <c r="AA48" i="2"/>
  <c r="AA26" i="4" s="1"/>
  <c r="AA40" i="2"/>
  <c r="AA19" i="4" s="1"/>
  <c r="AA39" i="2"/>
  <c r="AA18" i="4" s="1"/>
  <c r="AS59" i="2"/>
  <c r="AS33" i="4" s="1"/>
  <c r="AS49" i="2"/>
  <c r="AS27" i="4" s="1"/>
  <c r="AS127" i="2"/>
  <c r="C59" i="2"/>
  <c r="C33" i="4" s="1"/>
  <c r="C50" i="2"/>
  <c r="C28" i="4" s="1"/>
  <c r="AE129" i="2"/>
  <c r="AG69" i="2"/>
  <c r="AG37" i="4" s="1"/>
  <c r="AG62" i="2"/>
  <c r="AG60" i="2"/>
  <c r="AG68" i="2"/>
  <c r="Z60" i="2"/>
  <c r="Z69" i="2"/>
  <c r="Z37" i="4" s="1"/>
  <c r="Z68" i="2"/>
  <c r="Z35" i="4" s="1"/>
  <c r="BD188" i="2"/>
  <c r="BD92" i="4" s="1"/>
  <c r="BE179" i="2"/>
  <c r="AS250" i="2"/>
  <c r="AS136" i="4" s="1"/>
  <c r="Y255" i="2"/>
  <c r="L258" i="2"/>
  <c r="AW255" i="2"/>
  <c r="AX227" i="2"/>
  <c r="AX116" i="4" s="1"/>
  <c r="AT112" i="2"/>
  <c r="AT57" i="2"/>
  <c r="AU54" i="2"/>
  <c r="R50" i="2"/>
  <c r="R49" i="2"/>
  <c r="R27" i="4" s="1"/>
  <c r="R59" i="2"/>
  <c r="R33" i="4" s="1"/>
  <c r="R127" i="2"/>
  <c r="R128" i="2"/>
  <c r="V110" i="2"/>
  <c r="V117" i="2" s="1"/>
  <c r="V41" i="4" s="1"/>
  <c r="V124" i="2"/>
  <c r="V126" i="2" s="1"/>
  <c r="V48" i="2"/>
  <c r="V26" i="4" s="1"/>
  <c r="V40" i="2"/>
  <c r="V19" i="4" s="1"/>
  <c r="V39" i="2"/>
  <c r="V18" i="4" s="1"/>
  <c r="V259" i="2"/>
  <c r="Y117" i="2"/>
  <c r="Y41" i="4" s="1"/>
  <c r="Y114" i="2"/>
  <c r="Y116" i="2" s="1"/>
  <c r="AD50" i="2"/>
  <c r="AD49" i="2"/>
  <c r="AD27" i="4" s="1"/>
  <c r="AD59" i="2"/>
  <c r="AD33" i="4" s="1"/>
  <c r="AD127" i="2"/>
  <c r="AD128" i="2"/>
  <c r="AJ127" i="2"/>
  <c r="AJ128" i="2"/>
  <c r="AJ129" i="2" s="1"/>
  <c r="AL117" i="2"/>
  <c r="AL41" i="4" s="1"/>
  <c r="AL114" i="2"/>
  <c r="J60" i="2"/>
  <c r="J61" i="2"/>
  <c r="J34" i="4" s="1"/>
  <c r="AU75" i="2"/>
  <c r="AU296" i="2" s="1"/>
  <c r="G124" i="2"/>
  <c r="G126" i="2" s="1"/>
  <c r="G110" i="2"/>
  <c r="G117" i="2" s="1"/>
  <c r="G121" i="2" s="1"/>
  <c r="G40" i="2"/>
  <c r="G19" i="4" s="1"/>
  <c r="G48" i="2"/>
  <c r="G26" i="4" s="1"/>
  <c r="M118" i="2"/>
  <c r="M47" i="4" s="1"/>
  <c r="M121" i="2"/>
  <c r="O59" i="2"/>
  <c r="O33" i="4" s="1"/>
  <c r="O50" i="2"/>
  <c r="O49" i="2"/>
  <c r="O27" i="4" s="1"/>
  <c r="O128" i="2"/>
  <c r="O129" i="2" s="1"/>
  <c r="O133" i="2"/>
  <c r="O135" i="2" s="1"/>
  <c r="O40" i="4" s="1"/>
  <c r="O127" i="2"/>
  <c r="S117" i="2"/>
  <c r="S41" i="4" s="1"/>
  <c r="S114" i="2"/>
  <c r="S116" i="2" s="1"/>
  <c r="U59" i="2"/>
  <c r="U33" i="4" s="1"/>
  <c r="U50" i="2"/>
  <c r="U49" i="2"/>
  <c r="U27" i="4" s="1"/>
  <c r="U128" i="2"/>
  <c r="Z129" i="2" s="1"/>
  <c r="U133" i="2"/>
  <c r="U135" i="2" s="1"/>
  <c r="U40" i="4" s="1"/>
  <c r="U127" i="2"/>
  <c r="W41" i="2"/>
  <c r="W20" i="4" s="1"/>
  <c r="W117" i="2"/>
  <c r="W41" i="4" s="1"/>
  <c r="W114" i="2"/>
  <c r="AF110" i="2"/>
  <c r="AF117" i="2" s="1"/>
  <c r="AF41" i="4" s="1"/>
  <c r="AF124" i="2"/>
  <c r="AF126" i="2" s="1"/>
  <c r="AF22" i="4" s="1"/>
  <c r="AF48" i="2"/>
  <c r="AF40" i="2"/>
  <c r="AF39" i="2"/>
  <c r="AF18" i="4" s="1"/>
  <c r="AF43" i="2"/>
  <c r="AF259" i="2"/>
  <c r="AO41" i="2"/>
  <c r="AO20" i="4" s="1"/>
  <c r="AO117" i="2"/>
  <c r="AO41" i="4" s="1"/>
  <c r="AO114" i="2"/>
  <c r="AO116" i="2" s="1"/>
  <c r="X41" i="2"/>
  <c r="X20" i="4" s="1"/>
  <c r="X127" i="2"/>
  <c r="X128" i="2"/>
  <c r="AB50" i="2"/>
  <c r="AB28" i="4" s="1"/>
  <c r="AB49" i="2"/>
  <c r="AB27" i="4" s="1"/>
  <c r="AB59" i="2"/>
  <c r="AB33" i="4" s="1"/>
  <c r="AB133" i="2"/>
  <c r="AB135" i="2" s="1"/>
  <c r="AB40" i="4" s="1"/>
  <c r="AB127" i="2"/>
  <c r="AB128" i="2"/>
  <c r="E59" i="2"/>
  <c r="E33" i="4" s="1"/>
  <c r="E50" i="2"/>
  <c r="AC41" i="2"/>
  <c r="AC20" i="4" s="1"/>
  <c r="AE69" i="2"/>
  <c r="AE37" i="4" s="1"/>
  <c r="AE62" i="2"/>
  <c r="AE134" i="2" s="1"/>
  <c r="AE133" i="2" s="1"/>
  <c r="AE135" i="2" s="1"/>
  <c r="AE40" i="4" s="1"/>
  <c r="AE60" i="2"/>
  <c r="AE68" i="2"/>
  <c r="AY62" i="2"/>
  <c r="AM91" i="2"/>
  <c r="AN91" i="2" s="1"/>
  <c r="AO91" i="2" s="1"/>
  <c r="AQ91" i="2" s="1"/>
  <c r="Z121" i="2"/>
  <c r="Z118" i="2"/>
  <c r="Z47" i="4" s="1"/>
  <c r="Q267" i="2"/>
  <c r="AE267" i="2"/>
  <c r="AE173" i="2"/>
  <c r="AE79" i="4" s="1"/>
  <c r="T299" i="2"/>
  <c r="T188" i="2"/>
  <c r="Y290" i="2"/>
  <c r="Y291" i="2" s="1"/>
  <c r="Z270" i="2"/>
  <c r="N50" i="2"/>
  <c r="N28" i="4" s="1"/>
  <c r="N49" i="2"/>
  <c r="N27" i="4" s="1"/>
  <c r="N59" i="2"/>
  <c r="N33" i="4" s="1"/>
  <c r="N121" i="2"/>
  <c r="N118" i="2"/>
  <c r="N47" i="4" s="1"/>
  <c r="P41" i="2"/>
  <c r="P20" i="4" s="1"/>
  <c r="P133" i="2"/>
  <c r="P135" i="2" s="1"/>
  <c r="P40" i="4" s="1"/>
  <c r="P127" i="2"/>
  <c r="P128" i="2"/>
  <c r="T50" i="2"/>
  <c r="T49" i="2"/>
  <c r="T27" i="4" s="1"/>
  <c r="T59" i="2"/>
  <c r="T33" i="4" s="1"/>
  <c r="T133" i="2"/>
  <c r="T135" i="2" s="1"/>
  <c r="T40" i="4" s="1"/>
  <c r="T127" i="2"/>
  <c r="T128" i="2"/>
  <c r="AN59" i="2"/>
  <c r="AN33" i="4" s="1"/>
  <c r="AN50" i="2"/>
  <c r="AN128" i="2"/>
  <c r="AR128" i="2"/>
  <c r="H60" i="2"/>
  <c r="H61" i="2"/>
  <c r="H34" i="4" s="1"/>
  <c r="AS114" i="2"/>
  <c r="AS116" i="2" s="1"/>
  <c r="AT116" i="2" s="1"/>
  <c r="AV116" i="2" s="1"/>
  <c r="AW116" i="2" s="1"/>
  <c r="AX116" i="2" s="1"/>
  <c r="AY116" i="2" s="1"/>
  <c r="BA116" i="2" s="1"/>
  <c r="BB116" i="2" s="1"/>
  <c r="BC116" i="2" s="1"/>
  <c r="BD116" i="2" s="1"/>
  <c r="BF116" i="2" s="1"/>
  <c r="BG116" i="2" s="1"/>
  <c r="BH116" i="2" s="1"/>
  <c r="BI116" i="2" s="1"/>
  <c r="F60" i="2"/>
  <c r="F61" i="2"/>
  <c r="I59" i="2"/>
  <c r="I33" i="4" s="1"/>
  <c r="I50" i="2"/>
  <c r="I49" i="2"/>
  <c r="I27" i="4" s="1"/>
  <c r="I133" i="2"/>
  <c r="I135" i="2" s="1"/>
  <c r="I128" i="2"/>
  <c r="AC49" i="2"/>
  <c r="AC27" i="4" s="1"/>
  <c r="AC69" i="2"/>
  <c r="AC37" i="4" s="1"/>
  <c r="AC60" i="2"/>
  <c r="AC68" i="2"/>
  <c r="M297" i="2"/>
  <c r="Q76" i="2"/>
  <c r="M75" i="2"/>
  <c r="M296" i="2" s="1"/>
  <c r="L76" i="2"/>
  <c r="Z127" i="2"/>
  <c r="Z41" i="2"/>
  <c r="Z20" i="4" s="1"/>
  <c r="Z49" i="2"/>
  <c r="Z27" i="4" s="1"/>
  <c r="P165" i="2"/>
  <c r="AZ219" i="2"/>
  <c r="BA219" i="2"/>
  <c r="BA109" i="4" s="1"/>
  <c r="L259" i="2"/>
  <c r="AF258" i="2"/>
  <c r="AF168" i="2"/>
  <c r="U176" i="2"/>
  <c r="U82" i="4" s="1"/>
  <c r="AX87" i="3"/>
  <c r="AX88" i="3" s="1"/>
  <c r="BC11" i="3"/>
  <c r="BH11" i="3" s="1"/>
  <c r="AX8" i="3"/>
  <c r="AY15" i="3"/>
  <c r="AY13" i="3"/>
  <c r="AT93" i="3"/>
  <c r="AT94" i="3" s="1"/>
  <c r="AT85" i="3"/>
  <c r="AT98" i="3"/>
  <c r="BD21" i="3"/>
  <c r="BD20" i="3" s="1"/>
  <c r="BI20" i="3" s="1"/>
  <c r="BD24" i="3"/>
  <c r="BD22" i="3"/>
  <c r="L94" i="3"/>
  <c r="V94" i="3"/>
  <c r="AF94" i="3"/>
  <c r="BD78" i="3"/>
  <c r="BD77" i="3" s="1"/>
  <c r="BI77" i="3" s="1"/>
  <c r="BD81" i="3"/>
  <c r="BD79" i="3"/>
  <c r="AU84" i="3"/>
  <c r="AP94" i="3"/>
  <c r="BC71" i="3"/>
  <c r="BH71" i="3" s="1"/>
  <c r="AX68" i="3"/>
  <c r="AY75" i="3"/>
  <c r="AY73" i="3"/>
  <c r="AY72" i="3"/>
  <c r="AY71" i="3" s="1"/>
  <c r="AQ114" i="2" l="1"/>
  <c r="AQ116" i="2" s="1"/>
  <c r="BA29" i="2"/>
  <c r="BA28" i="2" s="1"/>
  <c r="BA8" i="3"/>
  <c r="BA9" i="3" s="1"/>
  <c r="AW75" i="2"/>
  <c r="AW296" i="2" s="1"/>
  <c r="AW297" i="2"/>
  <c r="AT31" i="4"/>
  <c r="AT14" i="4"/>
  <c r="AT54" i="4"/>
  <c r="E57" i="5"/>
  <c r="AA299" i="2"/>
  <c r="BF11" i="3"/>
  <c r="BF87" i="3" s="1"/>
  <c r="BF100" i="3" s="1"/>
  <c r="G4" i="5"/>
  <c r="AA58" i="4"/>
  <c r="D23" i="1"/>
  <c r="BF25" i="4"/>
  <c r="BG46" i="2"/>
  <c r="E14" i="1"/>
  <c r="AU9" i="3"/>
  <c r="Z190" i="2"/>
  <c r="Z94" i="4" s="1"/>
  <c r="AS41" i="2"/>
  <c r="AS20" i="4" s="1"/>
  <c r="Q173" i="2"/>
  <c r="Q79" i="4" s="1"/>
  <c r="AQ128" i="2"/>
  <c r="AQ129" i="2" s="1"/>
  <c r="AS128" i="2"/>
  <c r="AS50" i="2"/>
  <c r="AS28" i="4" s="1"/>
  <c r="AK13" i="4"/>
  <c r="H48" i="5"/>
  <c r="H49" i="5" s="1"/>
  <c r="AP8" i="4"/>
  <c r="Q252" i="2"/>
  <c r="Q137" i="4" s="1"/>
  <c r="AK11" i="4"/>
  <c r="I48" i="5"/>
  <c r="BE188" i="2"/>
  <c r="BE92" i="4" s="1"/>
  <c r="BE85" i="4"/>
  <c r="AP63" i="4"/>
  <c r="H46" i="5"/>
  <c r="F46" i="5"/>
  <c r="F47" i="5" s="1"/>
  <c r="AU101" i="3"/>
  <c r="AU100" i="3"/>
  <c r="AV125" i="2"/>
  <c r="AV111" i="2"/>
  <c r="AV148" i="2" s="1"/>
  <c r="AV55" i="2"/>
  <c r="AV54" i="2" s="1"/>
  <c r="BB30" i="2"/>
  <c r="BC30" i="2"/>
  <c r="BB100" i="3"/>
  <c r="BF69" i="3"/>
  <c r="AY12" i="3"/>
  <c r="AY11" i="3" s="1"/>
  <c r="AY8" i="3" s="1"/>
  <c r="BB88" i="3"/>
  <c r="BG69" i="3"/>
  <c r="BA88" i="3"/>
  <c r="BA101" i="3"/>
  <c r="BB69" i="3"/>
  <c r="AZ40" i="3"/>
  <c r="AZ41" i="3" s="1"/>
  <c r="BG9" i="3"/>
  <c r="AW98" i="3"/>
  <c r="BG101" i="3"/>
  <c r="BG88" i="3"/>
  <c r="BB9" i="3"/>
  <c r="AW249" i="2"/>
  <c r="AX249" i="2" s="1"/>
  <c r="BG84" i="3"/>
  <c r="BG15" i="2" s="1"/>
  <c r="BI31" i="3"/>
  <c r="BE31" i="3"/>
  <c r="BE32" i="3" s="1"/>
  <c r="BD28" i="3"/>
  <c r="Z71" i="4"/>
  <c r="AF182" i="2"/>
  <c r="AF88" i="4" s="1"/>
  <c r="F48" i="5"/>
  <c r="F49" i="5" s="1"/>
  <c r="AR18" i="4"/>
  <c r="AW85" i="3"/>
  <c r="AW15" i="2"/>
  <c r="AW104" i="2" s="1"/>
  <c r="AW93" i="3"/>
  <c r="AW94" i="3" s="1"/>
  <c r="BG49" i="3"/>
  <c r="AJ188" i="2"/>
  <c r="P129" i="2"/>
  <c r="E46" i="5"/>
  <c r="E47" i="5" s="1"/>
  <c r="BH49" i="3"/>
  <c r="AV212" i="2"/>
  <c r="AV161" i="2" s="1"/>
  <c r="BF29" i="3"/>
  <c r="AF165" i="2"/>
  <c r="AF71" i="4" s="1"/>
  <c r="BJ51" i="3"/>
  <c r="BJ52" i="3" s="1"/>
  <c r="BI48" i="3"/>
  <c r="BI49" i="3" s="1"/>
  <c r="BA49" i="3"/>
  <c r="BE48" i="3"/>
  <c r="BF49" i="3"/>
  <c r="AV93" i="3"/>
  <c r="AV94" i="3" s="1"/>
  <c r="AI114" i="2"/>
  <c r="AI49" i="2"/>
  <c r="AI27" i="4" s="1"/>
  <c r="AS190" i="2"/>
  <c r="AS94" i="4" s="1"/>
  <c r="AQ253" i="2"/>
  <c r="AQ137" i="4"/>
  <c r="AK187" i="2"/>
  <c r="AK91" i="4" s="1"/>
  <c r="G45" i="5"/>
  <c r="BE52" i="3"/>
  <c r="BB84" i="3"/>
  <c r="BB15" i="2" s="1"/>
  <c r="AA188" i="2"/>
  <c r="AA92" i="4" s="1"/>
  <c r="AH59" i="2"/>
  <c r="AH33" i="4" s="1"/>
  <c r="AH19" i="4"/>
  <c r="AM128" i="2"/>
  <c r="AR129" i="2" s="1"/>
  <c r="AR127" i="2"/>
  <c r="AH49" i="2"/>
  <c r="AH27" i="4" s="1"/>
  <c r="V179" i="2"/>
  <c r="V85" i="4" s="1"/>
  <c r="Q91" i="4"/>
  <c r="AH50" i="2"/>
  <c r="AH28" i="4" s="1"/>
  <c r="V173" i="2"/>
  <c r="V79" i="4" s="1"/>
  <c r="G48" i="5"/>
  <c r="G49" i="5" s="1"/>
  <c r="BJ120" i="2"/>
  <c r="AQ59" i="2"/>
  <c r="AQ33" i="4" s="1"/>
  <c r="AQ49" i="2"/>
  <c r="AQ27" i="4" s="1"/>
  <c r="AI41" i="2"/>
  <c r="AI20" i="4" s="1"/>
  <c r="AQ50" i="2"/>
  <c r="AQ28" i="4" s="1"/>
  <c r="AN41" i="2"/>
  <c r="AN20" i="4" s="1"/>
  <c r="AQ127" i="2"/>
  <c r="AV44" i="2"/>
  <c r="C23" i="1"/>
  <c r="AK8" i="4"/>
  <c r="AP258" i="2"/>
  <c r="AH128" i="2"/>
  <c r="AH129" i="2" s="1"/>
  <c r="AP259" i="2"/>
  <c r="G25" i="5"/>
  <c r="G43" i="5" s="1"/>
  <c r="AP48" i="2"/>
  <c r="AP59" i="2" s="1"/>
  <c r="AP33" i="4" s="1"/>
  <c r="AM41" i="2"/>
  <c r="AM20" i="4" s="1"/>
  <c r="AP40" i="2"/>
  <c r="D26" i="1" s="1"/>
  <c r="AR41" i="2"/>
  <c r="AH127" i="2"/>
  <c r="AI127" i="2"/>
  <c r="AP124" i="2"/>
  <c r="AP126" i="2" s="1"/>
  <c r="AP22" i="4" s="1"/>
  <c r="G11" i="5"/>
  <c r="AH133" i="2"/>
  <c r="AH135" i="2" s="1"/>
  <c r="AH40" i="4" s="1"/>
  <c r="AP110" i="2"/>
  <c r="AP117" i="2" s="1"/>
  <c r="AP41" i="4" s="1"/>
  <c r="C34" i="1"/>
  <c r="AM127" i="2"/>
  <c r="AH114" i="2"/>
  <c r="AI50" i="2"/>
  <c r="AI28" i="4" s="1"/>
  <c r="AF253" i="2"/>
  <c r="AN49" i="2"/>
  <c r="AN27" i="4" s="1"/>
  <c r="AI59" i="2"/>
  <c r="AI33" i="4" s="1"/>
  <c r="AN127" i="2"/>
  <c r="AK48" i="2"/>
  <c r="AK26" i="4" s="1"/>
  <c r="AI128" i="2"/>
  <c r="AN129" i="2" s="1"/>
  <c r="AM59" i="2"/>
  <c r="AM33" i="4" s="1"/>
  <c r="AD129" i="2"/>
  <c r="AM117" i="2"/>
  <c r="AM41" i="4" s="1"/>
  <c r="AK43" i="2"/>
  <c r="AK262" i="2"/>
  <c r="AK17" i="4"/>
  <c r="AM49" i="2"/>
  <c r="AM27" i="4" s="1"/>
  <c r="AK39" i="2"/>
  <c r="AK18" i="4" s="1"/>
  <c r="AK110" i="2"/>
  <c r="AK117" i="2" s="1"/>
  <c r="AP39" i="2"/>
  <c r="AP18" i="4" s="1"/>
  <c r="AU188" i="2"/>
  <c r="AU92" i="4" s="1"/>
  <c r="AM50" i="2"/>
  <c r="AM28" i="4" s="1"/>
  <c r="Q165" i="2"/>
  <c r="Q71" i="4" s="1"/>
  <c r="AK40" i="2"/>
  <c r="C26" i="1" s="1"/>
  <c r="AK124" i="2"/>
  <c r="AK126" i="2" s="1"/>
  <c r="AK22" i="4" s="1"/>
  <c r="AR49" i="2"/>
  <c r="C25" i="1"/>
  <c r="H47" i="5"/>
  <c r="D25" i="1"/>
  <c r="G8" i="5"/>
  <c r="G17" i="5"/>
  <c r="AP17" i="4"/>
  <c r="G14" i="5"/>
  <c r="G32" i="5"/>
  <c r="AP165" i="2"/>
  <c r="AX13" i="4"/>
  <c r="AW13" i="4"/>
  <c r="AV7" i="4"/>
  <c r="AW15" i="4"/>
  <c r="BH87" i="3"/>
  <c r="BH101" i="3" s="1"/>
  <c r="BH68" i="3"/>
  <c r="BH8" i="3"/>
  <c r="AX84" i="3"/>
  <c r="AV215" i="2"/>
  <c r="AV160" i="2" s="1"/>
  <c r="AV211" i="2"/>
  <c r="AV209" i="2"/>
  <c r="AV158" i="2" s="1"/>
  <c r="AV98" i="3"/>
  <c r="AV226" i="2"/>
  <c r="AV224" i="2"/>
  <c r="AV162" i="2" s="1"/>
  <c r="AV97" i="3"/>
  <c r="AV85" i="3"/>
  <c r="AV168" i="2"/>
  <c r="AV173" i="2" s="1"/>
  <c r="AV79" i="4" s="1"/>
  <c r="AV16" i="2"/>
  <c r="X129" i="2"/>
  <c r="AU111" i="2"/>
  <c r="R129" i="2"/>
  <c r="AG51" i="2"/>
  <c r="AG29" i="4" s="1"/>
  <c r="T129" i="2"/>
  <c r="L133" i="2"/>
  <c r="L134" i="2" s="1"/>
  <c r="AG253" i="2"/>
  <c r="AG137" i="4"/>
  <c r="O253" i="2"/>
  <c r="O137" i="4"/>
  <c r="AR253" i="2"/>
  <c r="AR137" i="4"/>
  <c r="C27" i="5"/>
  <c r="C21" i="5"/>
  <c r="AY239" i="2"/>
  <c r="AX126" i="4"/>
  <c r="AX153" i="2"/>
  <c r="AX59" i="4" s="1"/>
  <c r="AX124" i="4"/>
  <c r="AY235" i="2"/>
  <c r="AX122" i="4"/>
  <c r="AY232" i="2"/>
  <c r="AX119" i="4"/>
  <c r="AY228" i="2"/>
  <c r="AX117" i="4"/>
  <c r="AK88" i="4"/>
  <c r="AK299" i="2"/>
  <c r="AO253" i="2"/>
  <c r="AO137" i="4"/>
  <c r="M253" i="2"/>
  <c r="M137" i="4"/>
  <c r="AH259" i="2"/>
  <c r="AH55" i="2"/>
  <c r="AH256" i="2"/>
  <c r="AH258" i="2" s="1"/>
  <c r="AH257" i="2"/>
  <c r="AY231" i="2"/>
  <c r="AX118" i="4"/>
  <c r="AK165" i="2"/>
  <c r="AK90" i="4"/>
  <c r="AX243" i="2"/>
  <c r="AW135" i="4"/>
  <c r="AA165" i="2"/>
  <c r="AY248" i="2"/>
  <c r="AX133" i="4"/>
  <c r="AA253" i="2"/>
  <c r="AA137" i="4"/>
  <c r="V253" i="2"/>
  <c r="V137" i="4"/>
  <c r="L253" i="2"/>
  <c r="L137" i="4"/>
  <c r="AY233" i="2"/>
  <c r="AX120" i="4"/>
  <c r="AX164" i="2"/>
  <c r="AX69" i="4" s="1"/>
  <c r="AF83" i="4"/>
  <c r="BB219" i="2"/>
  <c r="AZ109" i="4"/>
  <c r="P190" i="2"/>
  <c r="P94" i="4" s="1"/>
  <c r="P71" i="4"/>
  <c r="T190" i="2"/>
  <c r="T94" i="4" s="1"/>
  <c r="T92" i="4"/>
  <c r="U51" i="2"/>
  <c r="U29" i="4" s="1"/>
  <c r="U28" i="4"/>
  <c r="AG295" i="2"/>
  <c r="AG35" i="4"/>
  <c r="Q41" i="2"/>
  <c r="Q20" i="4" s="1"/>
  <c r="Q19" i="4"/>
  <c r="D67" i="2"/>
  <c r="D69" i="2" s="1"/>
  <c r="D34" i="4"/>
  <c r="X51" i="2"/>
  <c r="X29" i="4" s="1"/>
  <c r="X28" i="4"/>
  <c r="F44" i="5"/>
  <c r="F45" i="5" s="1"/>
  <c r="AF74" i="4"/>
  <c r="AE190" i="2"/>
  <c r="AE94" i="4" s="1"/>
  <c r="AC295" i="2"/>
  <c r="AC35" i="4"/>
  <c r="I51" i="2"/>
  <c r="I29" i="4" s="1"/>
  <c r="I28" i="4"/>
  <c r="F67" i="2"/>
  <c r="F69" i="2" s="1"/>
  <c r="F34" i="4"/>
  <c r="H51" i="2"/>
  <c r="H29" i="4" s="1"/>
  <c r="T51" i="2"/>
  <c r="T29" i="4" s="1"/>
  <c r="T28" i="4"/>
  <c r="V176" i="2"/>
  <c r="V82" i="4" s="1"/>
  <c r="AP91" i="2"/>
  <c r="AE295" i="2"/>
  <c r="AE35" i="4"/>
  <c r="J51" i="2"/>
  <c r="J29" i="4" s="1"/>
  <c r="E28" i="4"/>
  <c r="O51" i="2"/>
  <c r="O29" i="4" s="1"/>
  <c r="O28" i="4"/>
  <c r="AU57" i="2"/>
  <c r="P51" i="2"/>
  <c r="P29" i="4" s="1"/>
  <c r="P28" i="4"/>
  <c r="K51" i="2"/>
  <c r="K29" i="4" s="1"/>
  <c r="K28" i="4"/>
  <c r="M51" i="2"/>
  <c r="M29" i="4" s="1"/>
  <c r="M28" i="4"/>
  <c r="AY123" i="4"/>
  <c r="BA236" i="2"/>
  <c r="AZ236" i="2"/>
  <c r="AZ123" i="4" s="1"/>
  <c r="AY225" i="2"/>
  <c r="AX114" i="4"/>
  <c r="AX163" i="2"/>
  <c r="AX68" i="4" s="1"/>
  <c r="AY213" i="2"/>
  <c r="AX103" i="4"/>
  <c r="AY220" i="2"/>
  <c r="AX110" i="4"/>
  <c r="AY218" i="2"/>
  <c r="AX108" i="4"/>
  <c r="AX210" i="2"/>
  <c r="AW100" i="4"/>
  <c r="X253" i="2"/>
  <c r="X137" i="4"/>
  <c r="AI122" i="4"/>
  <c r="AI255" i="2"/>
  <c r="AI241" i="2"/>
  <c r="AH128" i="4"/>
  <c r="AH252" i="2"/>
  <c r="Y252" i="2"/>
  <c r="Y128" i="4"/>
  <c r="AP252" i="2"/>
  <c r="AP128" i="4"/>
  <c r="D42" i="1"/>
  <c r="C48" i="5"/>
  <c r="C49" i="5" s="1"/>
  <c r="AE299" i="2"/>
  <c r="AE88" i="4"/>
  <c r="G46" i="5"/>
  <c r="AK63" i="4"/>
  <c r="C46" i="5"/>
  <c r="C47" i="5" s="1"/>
  <c r="Q63" i="4"/>
  <c r="AP57" i="4"/>
  <c r="AY240" i="2"/>
  <c r="AX127" i="4"/>
  <c r="AY238" i="2"/>
  <c r="AX125" i="4"/>
  <c r="AP83" i="4"/>
  <c r="AC253" i="2"/>
  <c r="AC137" i="4"/>
  <c r="D46" i="5"/>
  <c r="D47" i="5" s="1"/>
  <c r="AI190" i="2"/>
  <c r="AI94" i="4" s="1"/>
  <c r="AP188" i="2"/>
  <c r="AO190" i="2"/>
  <c r="AO94" i="4" s="1"/>
  <c r="V165" i="2"/>
  <c r="AF26" i="4"/>
  <c r="V22" i="4"/>
  <c r="R51" i="2"/>
  <c r="R29" i="4" s="1"/>
  <c r="R28" i="4"/>
  <c r="AR41" i="4"/>
  <c r="AR33" i="4"/>
  <c r="AR28" i="4"/>
  <c r="AH51" i="2"/>
  <c r="AH29" i="4" s="1"/>
  <c r="AO51" i="2"/>
  <c r="AO29" i="4" s="1"/>
  <c r="AO28" i="4"/>
  <c r="AL51" i="2"/>
  <c r="AL29" i="4" s="1"/>
  <c r="AL28" i="4"/>
  <c r="AJ51" i="2"/>
  <c r="AJ29" i="4" s="1"/>
  <c r="AJ28" i="4"/>
  <c r="H32" i="5"/>
  <c r="H25" i="5"/>
  <c r="H43" i="5" s="1"/>
  <c r="H20" i="5"/>
  <c r="H8" i="5"/>
  <c r="H11" i="5"/>
  <c r="H14" i="5"/>
  <c r="H17" i="5"/>
  <c r="H45" i="5"/>
  <c r="AX11" i="4"/>
  <c r="F27" i="5"/>
  <c r="F21" i="5"/>
  <c r="AT11" i="4"/>
  <c r="AV13" i="4"/>
  <c r="AV21" i="2"/>
  <c r="AV33" i="2"/>
  <c r="AU97" i="3"/>
  <c r="E16" i="1" s="1"/>
  <c r="AN28" i="4"/>
  <c r="AB129" i="2"/>
  <c r="AB51" i="2"/>
  <c r="AB29" i="4" s="1"/>
  <c r="AF41" i="2"/>
  <c r="AF20" i="4" s="1"/>
  <c r="AF19" i="4"/>
  <c r="AD51" i="2"/>
  <c r="AD29" i="4" s="1"/>
  <c r="AD28" i="4"/>
  <c r="AA22" i="4"/>
  <c r="AT8" i="4"/>
  <c r="E27" i="5"/>
  <c r="E21" i="5"/>
  <c r="AW11" i="4"/>
  <c r="AV25" i="2"/>
  <c r="G27" i="5"/>
  <c r="G21" i="5"/>
  <c r="D21" i="5"/>
  <c r="D27" i="5"/>
  <c r="AT13" i="4"/>
  <c r="AX101" i="3"/>
  <c r="AX100" i="3"/>
  <c r="Q49" i="5"/>
  <c r="AT105" i="4"/>
  <c r="AU215" i="2"/>
  <c r="AU105" i="4" s="1"/>
  <c r="AT10" i="4"/>
  <c r="AU19" i="2"/>
  <c r="AT99" i="4"/>
  <c r="AU209" i="2"/>
  <c r="AU99" i="4" s="1"/>
  <c r="AT101" i="4"/>
  <c r="AU211" i="2"/>
  <c r="AU101" i="4" s="1"/>
  <c r="AT12" i="4"/>
  <c r="AU25" i="2"/>
  <c r="AT102" i="4"/>
  <c r="AU212" i="2"/>
  <c r="AU102" i="4" s="1"/>
  <c r="E15" i="1"/>
  <c r="I7" i="5"/>
  <c r="AU7" i="4"/>
  <c r="E22" i="1"/>
  <c r="AU16" i="2"/>
  <c r="AT24" i="4"/>
  <c r="AU44" i="2"/>
  <c r="AT131" i="2"/>
  <c r="AU131" i="2" s="1"/>
  <c r="I24" i="5" s="1"/>
  <c r="AT45" i="2"/>
  <c r="AT113" i="4"/>
  <c r="AT234" i="2"/>
  <c r="AU224" i="2"/>
  <c r="AT115" i="4"/>
  <c r="AU226" i="2"/>
  <c r="AU115" i="4" s="1"/>
  <c r="AT74" i="4"/>
  <c r="AT173" i="2"/>
  <c r="AT79" i="4" s="1"/>
  <c r="AU168" i="2"/>
  <c r="F57" i="5"/>
  <c r="F56" i="5"/>
  <c r="H4" i="5"/>
  <c r="I5" i="5"/>
  <c r="P137" i="2"/>
  <c r="P136" i="2"/>
  <c r="U137" i="2"/>
  <c r="U136" i="2"/>
  <c r="S137" i="2"/>
  <c r="S136" i="2"/>
  <c r="M137" i="2"/>
  <c r="M136" i="2"/>
  <c r="N137" i="2"/>
  <c r="N136" i="2"/>
  <c r="U299" i="2"/>
  <c r="U188" i="2"/>
  <c r="BC219" i="2"/>
  <c r="BC109" i="4" s="1"/>
  <c r="AC261" i="2"/>
  <c r="AC260" i="2"/>
  <c r="AC92" i="2"/>
  <c r="AC93" i="2" s="1"/>
  <c r="AC72" i="2"/>
  <c r="T68" i="2"/>
  <c r="T60" i="2"/>
  <c r="T69" i="2"/>
  <c r="T37" i="4" s="1"/>
  <c r="N60" i="2"/>
  <c r="N61" i="2"/>
  <c r="N34" i="4" s="1"/>
  <c r="N51" i="2"/>
  <c r="N29" i="4" s="1"/>
  <c r="Z290" i="2"/>
  <c r="Z291" i="2" s="1"/>
  <c r="AB270" i="2"/>
  <c r="AR91" i="2"/>
  <c r="AS91" i="2" s="1"/>
  <c r="AT91" i="2" s="1"/>
  <c r="AV91" i="2" s="1"/>
  <c r="AY134" i="2"/>
  <c r="AE137" i="2"/>
  <c r="AE46" i="4" s="1"/>
  <c r="AB60" i="2"/>
  <c r="AB69" i="2"/>
  <c r="AB37" i="4" s="1"/>
  <c r="AB68" i="2"/>
  <c r="AI118" i="2"/>
  <c r="AI47" i="4" s="1"/>
  <c r="AI121" i="2"/>
  <c r="AF50" i="2"/>
  <c r="AF28" i="4" s="1"/>
  <c r="AF49" i="2"/>
  <c r="AF27" i="4" s="1"/>
  <c r="AF59" i="2"/>
  <c r="AF33" i="4" s="1"/>
  <c r="AF121" i="2"/>
  <c r="AF118" i="2"/>
  <c r="W118" i="2"/>
  <c r="W47" i="4" s="1"/>
  <c r="W121" i="2"/>
  <c r="U129" i="2"/>
  <c r="U69" i="2"/>
  <c r="U37" i="4" s="1"/>
  <c r="U60" i="2"/>
  <c r="U68" i="2"/>
  <c r="S118" i="2"/>
  <c r="S47" i="4" s="1"/>
  <c r="S121" i="2"/>
  <c r="G59" i="2"/>
  <c r="G33" i="4" s="1"/>
  <c r="G50" i="2"/>
  <c r="G28" i="4" s="1"/>
  <c r="AU31" i="2"/>
  <c r="AT38" i="2"/>
  <c r="AT106" i="4"/>
  <c r="AL121" i="2"/>
  <c r="AL118" i="2"/>
  <c r="AL47" i="4" s="1"/>
  <c r="V41" i="2"/>
  <c r="V20" i="4" s="1"/>
  <c r="V127" i="2"/>
  <c r="V128" i="2"/>
  <c r="R68" i="2"/>
  <c r="R35" i="4" s="1"/>
  <c r="R60" i="2"/>
  <c r="R69" i="2"/>
  <c r="R37" i="4" s="1"/>
  <c r="Y259" i="2"/>
  <c r="Y257" i="2"/>
  <c r="Y256" i="2"/>
  <c r="Y258" i="2" s="1"/>
  <c r="Y55" i="2"/>
  <c r="Z51" i="2"/>
  <c r="Z29" i="4" s="1"/>
  <c r="Z260" i="2"/>
  <c r="Z261" i="2"/>
  <c r="Z92" i="2"/>
  <c r="Z93" i="2" s="1"/>
  <c r="Z72" i="2"/>
  <c r="Z43" i="4" s="1"/>
  <c r="AG134" i="2"/>
  <c r="AG133" i="2" s="1"/>
  <c r="AG97" i="2"/>
  <c r="AS129" i="2"/>
  <c r="AS69" i="2"/>
  <c r="AS37" i="4" s="1"/>
  <c r="AS60" i="2"/>
  <c r="AS68" i="2"/>
  <c r="AS62" i="2"/>
  <c r="AS97" i="2" s="1"/>
  <c r="AA41" i="2"/>
  <c r="AA20" i="4" s="1"/>
  <c r="AA118" i="2"/>
  <c r="AA121" i="2"/>
  <c r="Q59" i="2"/>
  <c r="Q33" i="4" s="1"/>
  <c r="Q50" i="2"/>
  <c r="Q28" i="4" s="1"/>
  <c r="Q49" i="2"/>
  <c r="Q27" i="4" s="1"/>
  <c r="Q128" i="2"/>
  <c r="Q127" i="2"/>
  <c r="AR121" i="2"/>
  <c r="AR118" i="2"/>
  <c r="AR68" i="2"/>
  <c r="AR62" i="2"/>
  <c r="AR69" i="2"/>
  <c r="AR60" i="2"/>
  <c r="AN121" i="2"/>
  <c r="AN118" i="2"/>
  <c r="AN47" i="4" s="1"/>
  <c r="AH121" i="2"/>
  <c r="AH118" i="2"/>
  <c r="AH47" i="4" s="1"/>
  <c r="T121" i="2"/>
  <c r="T118" i="2"/>
  <c r="T47" i="4" s="1"/>
  <c r="P60" i="2"/>
  <c r="P61" i="2"/>
  <c r="P34" i="4" s="1"/>
  <c r="AY245" i="2"/>
  <c r="AY130" i="4" s="1"/>
  <c r="K61" i="2"/>
  <c r="K34" i="4" s="1"/>
  <c r="K60" i="2"/>
  <c r="AB116" i="2"/>
  <c r="AF114" i="2"/>
  <c r="AF116" i="2" s="1"/>
  <c r="AQ118" i="2"/>
  <c r="AQ47" i="4" s="1"/>
  <c r="AQ121" i="2"/>
  <c r="AO129" i="2"/>
  <c r="AO69" i="2"/>
  <c r="AO37" i="4" s="1"/>
  <c r="AO62" i="2"/>
  <c r="AO60" i="2"/>
  <c r="AO68" i="2"/>
  <c r="W129" i="2"/>
  <c r="W69" i="2"/>
  <c r="W37" i="4" s="1"/>
  <c r="W60" i="2"/>
  <c r="W68" i="2"/>
  <c r="W35" i="4" s="1"/>
  <c r="U118" i="2"/>
  <c r="U47" i="4" s="1"/>
  <c r="U121" i="2"/>
  <c r="S51" i="2"/>
  <c r="S29" i="4" s="1"/>
  <c r="M61" i="2"/>
  <c r="M34" i="4" s="1"/>
  <c r="M60" i="2"/>
  <c r="AL68" i="2"/>
  <c r="AL62" i="2"/>
  <c r="AL60" i="2"/>
  <c r="AL69" i="2"/>
  <c r="AL37" i="4" s="1"/>
  <c r="Y51" i="2"/>
  <c r="Y29" i="4" s="1"/>
  <c r="R116" i="2"/>
  <c r="V114" i="2"/>
  <c r="V116" i="2" s="1"/>
  <c r="L41" i="2"/>
  <c r="L20" i="4" s="1"/>
  <c r="L135" i="2"/>
  <c r="L128" i="2"/>
  <c r="AF267" i="2"/>
  <c r="AF173" i="2"/>
  <c r="L297" i="2"/>
  <c r="L75" i="2"/>
  <c r="L296" i="2" s="1"/>
  <c r="Q297" i="2"/>
  <c r="Q75" i="2"/>
  <c r="Q296" i="2" s="1"/>
  <c r="I61" i="2"/>
  <c r="I34" i="4" s="1"/>
  <c r="I60" i="2"/>
  <c r="AS118" i="2"/>
  <c r="AS47" i="4" s="1"/>
  <c r="AS121" i="2"/>
  <c r="H67" i="2"/>
  <c r="H298" i="2"/>
  <c r="AN68" i="2"/>
  <c r="AN62" i="2"/>
  <c r="AN60" i="2"/>
  <c r="AN69" i="2"/>
  <c r="AN37" i="4" s="1"/>
  <c r="T137" i="2"/>
  <c r="T136" i="2"/>
  <c r="AE261" i="2"/>
  <c r="AE260" i="2"/>
  <c r="AE70" i="2"/>
  <c r="AE38" i="4" s="1"/>
  <c r="AE92" i="2"/>
  <c r="AE93" i="2" s="1"/>
  <c r="AE72" i="2"/>
  <c r="E61" i="2"/>
  <c r="E60" i="2"/>
  <c r="AB137" i="2"/>
  <c r="AB46" i="4" s="1"/>
  <c r="AO118" i="2"/>
  <c r="AO47" i="4" s="1"/>
  <c r="AO121" i="2"/>
  <c r="AF127" i="2"/>
  <c r="AF128" i="2"/>
  <c r="AA114" i="2"/>
  <c r="AA116" i="2" s="1"/>
  <c r="W116" i="2"/>
  <c r="O137" i="2"/>
  <c r="O136" i="2"/>
  <c r="O61" i="2"/>
  <c r="O34" i="4" s="1"/>
  <c r="O60" i="2"/>
  <c r="AY36" i="2"/>
  <c r="AY33" i="2"/>
  <c r="J67" i="2"/>
  <c r="J69" i="2" s="1"/>
  <c r="J37" i="4" s="1"/>
  <c r="J298" i="2"/>
  <c r="AL116" i="2"/>
  <c r="AP114" i="2"/>
  <c r="AP116" i="2" s="1"/>
  <c r="AD68" i="2"/>
  <c r="AD60" i="2"/>
  <c r="AD69" i="2"/>
  <c r="AD37" i="4" s="1"/>
  <c r="AD62" i="2"/>
  <c r="AD134" i="2" s="1"/>
  <c r="AD133" i="2" s="1"/>
  <c r="AD135" i="2" s="1"/>
  <c r="AD40" i="4" s="1"/>
  <c r="Y118" i="2"/>
  <c r="Y47" i="4" s="1"/>
  <c r="Y121" i="2"/>
  <c r="V50" i="2"/>
  <c r="V49" i="2"/>
  <c r="V27" i="4" s="1"/>
  <c r="V59" i="2"/>
  <c r="V33" i="4" s="1"/>
  <c r="V121" i="2"/>
  <c r="V118" i="2"/>
  <c r="AT132" i="2"/>
  <c r="AU132" i="2" s="1"/>
  <c r="I31" i="5" s="1"/>
  <c r="AU112" i="2"/>
  <c r="AX255" i="2"/>
  <c r="AY227" i="2"/>
  <c r="AY116" i="4" s="1"/>
  <c r="AS252" i="2"/>
  <c r="AS257" i="2"/>
  <c r="Z295" i="2"/>
  <c r="Z134" i="2"/>
  <c r="Z133" i="2" s="1"/>
  <c r="Z135" i="2" s="1"/>
  <c r="Z40" i="4" s="1"/>
  <c r="AG261" i="2"/>
  <c r="AG260" i="2"/>
  <c r="AG96" i="2"/>
  <c r="AG92" i="2"/>
  <c r="AG93" i="2" s="1"/>
  <c r="AG72" i="2"/>
  <c r="AG129" i="2"/>
  <c r="AC129" i="2"/>
  <c r="C61" i="2"/>
  <c r="C34" i="4" s="1"/>
  <c r="C60" i="2"/>
  <c r="BC33" i="2"/>
  <c r="BH35" i="2" s="1"/>
  <c r="AS51" i="2"/>
  <c r="AS29" i="4" s="1"/>
  <c r="AA59" i="2"/>
  <c r="AA33" i="4" s="1"/>
  <c r="AA50" i="2"/>
  <c r="AA49" i="2"/>
  <c r="AA27" i="4" s="1"/>
  <c r="AA128" i="2"/>
  <c r="AA127" i="2"/>
  <c r="Q118" i="2"/>
  <c r="Q47" i="4" s="1"/>
  <c r="Q121" i="2"/>
  <c r="N129" i="2"/>
  <c r="N195" i="2"/>
  <c r="O192" i="2"/>
  <c r="O193" i="2" s="1"/>
  <c r="AB121" i="2"/>
  <c r="AB118" i="2"/>
  <c r="AB47" i="4" s="1"/>
  <c r="X121" i="2"/>
  <c r="X118" i="2"/>
  <c r="X47" i="4" s="1"/>
  <c r="X60" i="2"/>
  <c r="X69" i="2"/>
  <c r="X37" i="4" s="1"/>
  <c r="X68" i="2"/>
  <c r="X35" i="4" s="1"/>
  <c r="W51" i="2"/>
  <c r="W29" i="4" s="1"/>
  <c r="S129" i="2"/>
  <c r="S69" i="2"/>
  <c r="S37" i="4" s="1"/>
  <c r="S60" i="2"/>
  <c r="S68" i="2"/>
  <c r="Q133" i="2"/>
  <c r="AX76" i="2"/>
  <c r="AX297" i="2" s="1"/>
  <c r="AJ121" i="2"/>
  <c r="AJ118" i="2"/>
  <c r="AJ47" i="4" s="1"/>
  <c r="AJ68" i="2"/>
  <c r="AJ62" i="2"/>
  <c r="AJ69" i="2"/>
  <c r="AJ37" i="4" s="1"/>
  <c r="AJ60" i="2"/>
  <c r="AD121" i="2"/>
  <c r="AD118" i="2"/>
  <c r="AD47" i="4" s="1"/>
  <c r="Y129" i="2"/>
  <c r="Y69" i="2"/>
  <c r="Y37" i="4" s="1"/>
  <c r="Y60" i="2"/>
  <c r="Y68" i="2"/>
  <c r="Y35" i="4" s="1"/>
  <c r="R121" i="2"/>
  <c r="R118" i="2"/>
  <c r="R47" i="4" s="1"/>
  <c r="L50" i="2"/>
  <c r="L49" i="2"/>
  <c r="L27" i="4" s="1"/>
  <c r="L59" i="2"/>
  <c r="L33" i="4" s="1"/>
  <c r="L121" i="2"/>
  <c r="L118" i="2"/>
  <c r="L47" i="4" s="1"/>
  <c r="BD71" i="3"/>
  <c r="AY68" i="3"/>
  <c r="AZ68" i="3" s="1"/>
  <c r="AZ71" i="3"/>
  <c r="AX69" i="3"/>
  <c r="BC68" i="3"/>
  <c r="AU85" i="3"/>
  <c r="AU93" i="3"/>
  <c r="AU94" i="3" s="1"/>
  <c r="AU98" i="3"/>
  <c r="E20" i="1" s="1"/>
  <c r="AX9" i="3"/>
  <c r="BC87" i="3"/>
  <c r="BC88" i="3" s="1"/>
  <c r="BC8" i="3"/>
  <c r="BA84" i="3" l="1"/>
  <c r="BA97" i="3" s="1"/>
  <c r="BA30" i="2"/>
  <c r="BB104" i="2"/>
  <c r="BG104" i="2"/>
  <c r="BF88" i="3"/>
  <c r="BG224" i="2"/>
  <c r="BG113" i="4" s="1"/>
  <c r="BF101" i="3"/>
  <c r="BF8" i="3"/>
  <c r="BF84" i="3" s="1"/>
  <c r="BF15" i="2" s="1"/>
  <c r="BF7" i="4" s="1"/>
  <c r="AV45" i="2"/>
  <c r="F18" i="1"/>
  <c r="I15" i="1"/>
  <c r="AU148" i="2"/>
  <c r="AU54" i="4" s="1"/>
  <c r="AT17" i="4"/>
  <c r="AT107" i="4"/>
  <c r="Q190" i="2"/>
  <c r="AH137" i="2"/>
  <c r="AH138" i="2" s="1"/>
  <c r="AK188" i="2"/>
  <c r="AK92" i="4" s="1"/>
  <c r="AV8" i="4"/>
  <c r="BB111" i="2"/>
  <c r="BB148" i="2" s="1"/>
  <c r="BB54" i="4" s="1"/>
  <c r="AW25" i="2"/>
  <c r="AW12" i="4" s="1"/>
  <c r="BH46" i="2"/>
  <c r="BG25" i="4"/>
  <c r="AV97" i="2"/>
  <c r="AV152" i="2"/>
  <c r="AQ62" i="2"/>
  <c r="AQ97" i="2" s="1"/>
  <c r="AM68" i="2"/>
  <c r="AM295" i="2" s="1"/>
  <c r="AH69" i="2"/>
  <c r="AH37" i="4" s="1"/>
  <c r="AF299" i="2"/>
  <c r="AH60" i="2"/>
  <c r="Q253" i="2"/>
  <c r="AF188" i="2"/>
  <c r="AF92" i="4" s="1"/>
  <c r="AQ60" i="2"/>
  <c r="AP26" i="4"/>
  <c r="F54" i="5"/>
  <c r="AQ69" i="2"/>
  <c r="AQ37" i="4" s="1"/>
  <c r="AH68" i="2"/>
  <c r="AH35" i="4" s="1"/>
  <c r="BD219" i="2"/>
  <c r="BD109" i="4" s="1"/>
  <c r="BB109" i="4"/>
  <c r="AQ68" i="2"/>
  <c r="AN51" i="2"/>
  <c r="AN29" i="4" s="1"/>
  <c r="AZ11" i="3"/>
  <c r="AZ12" i="3" s="1"/>
  <c r="BD11" i="3"/>
  <c r="BD87" i="3" s="1"/>
  <c r="AW7" i="4"/>
  <c r="AY87" i="3"/>
  <c r="AY88" i="3" s="1"/>
  <c r="AW212" i="2"/>
  <c r="AW102" i="4" s="1"/>
  <c r="BG7" i="4"/>
  <c r="BG111" i="2"/>
  <c r="BG148" i="2" s="1"/>
  <c r="BG54" i="4" s="1"/>
  <c r="AW111" i="2"/>
  <c r="AW148" i="2" s="1"/>
  <c r="AW54" i="4" s="1"/>
  <c r="BB236" i="2"/>
  <c r="BA123" i="4"/>
  <c r="AV216" i="2"/>
  <c r="AW134" i="4"/>
  <c r="BG97" i="3"/>
  <c r="BG209" i="2"/>
  <c r="BG99" i="4" s="1"/>
  <c r="BG93" i="3"/>
  <c r="BA15" i="2"/>
  <c r="BA93" i="3"/>
  <c r="BA94" i="3" s="1"/>
  <c r="BA85" i="3"/>
  <c r="BA98" i="3"/>
  <c r="BG98" i="3"/>
  <c r="BG212" i="2"/>
  <c r="BG102" i="4" s="1"/>
  <c r="BG44" i="2"/>
  <c r="BG24" i="4" s="1"/>
  <c r="BI28" i="3"/>
  <c r="BJ31" i="3"/>
  <c r="BJ32" i="3" s="1"/>
  <c r="BC84" i="3"/>
  <c r="BD29" i="3"/>
  <c r="BE28" i="3"/>
  <c r="BC15" i="4"/>
  <c r="BG16" i="2"/>
  <c r="BB7" i="4"/>
  <c r="AR51" i="2"/>
  <c r="AR29" i="4" s="1"/>
  <c r="AW19" i="2"/>
  <c r="AW20" i="2" s="1"/>
  <c r="AW209" i="2"/>
  <c r="AW158" i="2" s="1"/>
  <c r="AW63" i="4" s="1"/>
  <c r="AR27" i="4"/>
  <c r="AM51" i="2"/>
  <c r="AM29" i="4" s="1"/>
  <c r="E54" i="5"/>
  <c r="AW55" i="2"/>
  <c r="AW54" i="2" s="1"/>
  <c r="AW57" i="2" s="1"/>
  <c r="AW31" i="4" s="1"/>
  <c r="AW44" i="2"/>
  <c r="AW45" i="2" s="1"/>
  <c r="AW168" i="2"/>
  <c r="AW74" i="4" s="1"/>
  <c r="AW226" i="2"/>
  <c r="AW115" i="4" s="1"/>
  <c r="AW215" i="2"/>
  <c r="AW160" i="2" s="1"/>
  <c r="AW65" i="4" s="1"/>
  <c r="AW31" i="2"/>
  <c r="AW32" i="2" s="1"/>
  <c r="AW16" i="2"/>
  <c r="AW211" i="2"/>
  <c r="BB211" i="2" s="1"/>
  <c r="AW224" i="2"/>
  <c r="BJ48" i="3"/>
  <c r="BJ60" i="3" s="1"/>
  <c r="AV102" i="4"/>
  <c r="BH100" i="3"/>
  <c r="BB16" i="2"/>
  <c r="BB98" i="3"/>
  <c r="BB85" i="3"/>
  <c r="AV131" i="2"/>
  <c r="BB44" i="2"/>
  <c r="BB168" i="2"/>
  <c r="BB93" i="3"/>
  <c r="BB94" i="3" s="1"/>
  <c r="BB209" i="2"/>
  <c r="BB99" i="4" s="1"/>
  <c r="BB212" i="2"/>
  <c r="BB102" i="4" s="1"/>
  <c r="BB97" i="3"/>
  <c r="BB224" i="2"/>
  <c r="BG85" i="3"/>
  <c r="AV24" i="4"/>
  <c r="AV112" i="2"/>
  <c r="AV132" i="2" s="1"/>
  <c r="AF197" i="2"/>
  <c r="AK114" i="2"/>
  <c r="AK116" i="2" s="1"/>
  <c r="AJ92" i="4"/>
  <c r="AJ190" i="2"/>
  <c r="AJ94" i="4" s="1"/>
  <c r="AP50" i="2"/>
  <c r="D28" i="1" s="1"/>
  <c r="V299" i="2"/>
  <c r="Z70" i="2"/>
  <c r="Z38" i="4" s="1"/>
  <c r="D27" i="1"/>
  <c r="BE60" i="3"/>
  <c r="BE61" i="3" s="1"/>
  <c r="BE49" i="3"/>
  <c r="AI129" i="2"/>
  <c r="AG70" i="2"/>
  <c r="AG38" i="4" s="1"/>
  <c r="V188" i="2"/>
  <c r="V92" i="4" s="1"/>
  <c r="BC27" i="2"/>
  <c r="AQ51" i="2"/>
  <c r="AQ29" i="4" s="1"/>
  <c r="AR20" i="4"/>
  <c r="Q197" i="2"/>
  <c r="AM129" i="2"/>
  <c r="AI60" i="2"/>
  <c r="AV99" i="4"/>
  <c r="D22" i="5"/>
  <c r="AV113" i="4"/>
  <c r="AK41" i="2"/>
  <c r="AH136" i="2"/>
  <c r="AM69" i="2"/>
  <c r="AM37" i="4" s="1"/>
  <c r="AP19" i="4"/>
  <c r="AM60" i="2"/>
  <c r="AM62" i="2"/>
  <c r="AM134" i="2" s="1"/>
  <c r="AM133" i="2" s="1"/>
  <c r="AM135" i="2" s="1"/>
  <c r="AM40" i="4" s="1"/>
  <c r="AI62" i="2"/>
  <c r="AI97" i="2" s="1"/>
  <c r="AP41" i="2"/>
  <c r="AP20" i="4" s="1"/>
  <c r="AK19" i="4"/>
  <c r="AP118" i="2"/>
  <c r="AP47" i="4" s="1"/>
  <c r="AI69" i="2"/>
  <c r="AI37" i="4" s="1"/>
  <c r="AP121" i="2"/>
  <c r="AI68" i="2"/>
  <c r="AI35" i="4" s="1"/>
  <c r="AP128" i="2"/>
  <c r="AA129" i="2"/>
  <c r="AK49" i="2"/>
  <c r="AK27" i="4" s="1"/>
  <c r="BB33" i="2"/>
  <c r="BG35" i="2" s="1"/>
  <c r="AI51" i="2"/>
  <c r="AI29" i="4" s="1"/>
  <c r="AK127" i="2"/>
  <c r="AK50" i="2"/>
  <c r="AM121" i="2"/>
  <c r="C27" i="1"/>
  <c r="AP49" i="2"/>
  <c r="AP27" i="4" s="1"/>
  <c r="AK59" i="2"/>
  <c r="AK60" i="2" s="1"/>
  <c r="AP127" i="2"/>
  <c r="AK118" i="2"/>
  <c r="AV159" i="2"/>
  <c r="AV64" i="4" s="1"/>
  <c r="AK128" i="2"/>
  <c r="BB27" i="2"/>
  <c r="AM118" i="2"/>
  <c r="AM47" i="4" s="1"/>
  <c r="AV74" i="4"/>
  <c r="AK41" i="4"/>
  <c r="AK121" i="2"/>
  <c r="AP71" i="4"/>
  <c r="AP197" i="2"/>
  <c r="BF219" i="2"/>
  <c r="BF109" i="4" s="1"/>
  <c r="G22" i="5"/>
  <c r="AY15" i="4"/>
  <c r="AV31" i="2"/>
  <c r="BH84" i="3"/>
  <c r="BH15" i="2" s="1"/>
  <c r="BH9" i="3"/>
  <c r="BH88" i="3"/>
  <c r="BE71" i="3"/>
  <c r="BE72" i="3" s="1"/>
  <c r="BI71" i="3"/>
  <c r="BH69" i="3"/>
  <c r="AZ8" i="3"/>
  <c r="AY84" i="3"/>
  <c r="AY15" i="2" s="1"/>
  <c r="AY104" i="2" s="1"/>
  <c r="AV105" i="4"/>
  <c r="AV234" i="2"/>
  <c r="AV121" i="4" s="1"/>
  <c r="AV115" i="4"/>
  <c r="AV101" i="4"/>
  <c r="AG98" i="2"/>
  <c r="AG99" i="2" s="1"/>
  <c r="AG46" i="4" s="1"/>
  <c r="L61" i="2"/>
  <c r="L298" i="2" s="1"/>
  <c r="U138" i="2"/>
  <c r="L51" i="2"/>
  <c r="L29" i="4" s="1"/>
  <c r="L28" i="4"/>
  <c r="S295" i="2"/>
  <c r="S35" i="4"/>
  <c r="AS253" i="2"/>
  <c r="AS137" i="4"/>
  <c r="AE73" i="2"/>
  <c r="AE44" i="4" s="1"/>
  <c r="AE43" i="4"/>
  <c r="L137" i="2"/>
  <c r="L40" i="4"/>
  <c r="U295" i="2"/>
  <c r="U35" i="4"/>
  <c r="AC43" i="4"/>
  <c r="V71" i="4"/>
  <c r="V197" i="2"/>
  <c r="AP92" i="4"/>
  <c r="AP190" i="2"/>
  <c r="AP94" i="4" s="1"/>
  <c r="AY125" i="4"/>
  <c r="AZ238" i="2"/>
  <c r="AZ125" i="4" s="1"/>
  <c r="BA238" i="2"/>
  <c r="AY127" i="4"/>
  <c r="AZ240" i="2"/>
  <c r="AZ127" i="4" s="1"/>
  <c r="BA240" i="2"/>
  <c r="G54" i="5"/>
  <c r="G47" i="5"/>
  <c r="AP253" i="2"/>
  <c r="AP137" i="4"/>
  <c r="Y253" i="2"/>
  <c r="Y137" i="4"/>
  <c r="AI259" i="2"/>
  <c r="AI256" i="2"/>
  <c r="AI257" i="2"/>
  <c r="AI55" i="2"/>
  <c r="AY210" i="2"/>
  <c r="AX100" i="4"/>
  <c r="AY108" i="4"/>
  <c r="BA218" i="2"/>
  <c r="AZ218" i="2"/>
  <c r="AZ108" i="4" s="1"/>
  <c r="AY110" i="4"/>
  <c r="BA220" i="2"/>
  <c r="AZ220" i="2"/>
  <c r="AZ110" i="4" s="1"/>
  <c r="AY103" i="4"/>
  <c r="AZ213" i="2"/>
  <c r="AZ103" i="4" s="1"/>
  <c r="BA213" i="2"/>
  <c r="AY114" i="4"/>
  <c r="AY163" i="2"/>
  <c r="AY68" i="4" s="1"/>
  <c r="AZ225" i="2"/>
  <c r="AZ114" i="4" s="1"/>
  <c r="BA225" i="2"/>
  <c r="BA114" i="4" s="1"/>
  <c r="F92" i="2"/>
  <c r="F37" i="4"/>
  <c r="AA71" i="4"/>
  <c r="AA197" i="2"/>
  <c r="AY243" i="2"/>
  <c r="AX135" i="4"/>
  <c r="AY126" i="4"/>
  <c r="AZ239" i="2"/>
  <c r="AZ126" i="4" s="1"/>
  <c r="BA239" i="2"/>
  <c r="BA126" i="4" s="1"/>
  <c r="AY153" i="2"/>
  <c r="C33" i="5"/>
  <c r="C28" i="5"/>
  <c r="Q134" i="2"/>
  <c r="C35" i="5"/>
  <c r="AG43" i="4"/>
  <c r="Q193" i="2"/>
  <c r="Q195" i="2" s="1"/>
  <c r="Q94" i="4"/>
  <c r="E67" i="2"/>
  <c r="E69" i="2" s="1"/>
  <c r="J70" i="2" s="1"/>
  <c r="E34" i="4"/>
  <c r="AF79" i="4"/>
  <c r="AB295" i="2"/>
  <c r="AB35" i="4"/>
  <c r="T295" i="2"/>
  <c r="T35" i="4"/>
  <c r="U190" i="2"/>
  <c r="U94" i="4" s="1"/>
  <c r="U92" i="4"/>
  <c r="F22" i="5"/>
  <c r="AH253" i="2"/>
  <c r="AH137" i="4"/>
  <c r="AI252" i="2"/>
  <c r="AI128" i="4"/>
  <c r="AJ122" i="4"/>
  <c r="AJ241" i="2"/>
  <c r="AJ255" i="2"/>
  <c r="AK235" i="2"/>
  <c r="AU31" i="4"/>
  <c r="D92" i="2"/>
  <c r="D37" i="4"/>
  <c r="AA190" i="2"/>
  <c r="AA94" i="4" s="1"/>
  <c r="AY120" i="4"/>
  <c r="AY164" i="2"/>
  <c r="BA233" i="2"/>
  <c r="BA120" i="4" s="1"/>
  <c r="AZ233" i="2"/>
  <c r="AZ120" i="4" s="1"/>
  <c r="AY133" i="4"/>
  <c r="AZ248" i="2"/>
  <c r="AZ133" i="4" s="1"/>
  <c r="BA248" i="2"/>
  <c r="AK71" i="4"/>
  <c r="AK190" i="2"/>
  <c r="AK94" i="4" s="1"/>
  <c r="AK197" i="2"/>
  <c r="AY118" i="4"/>
  <c r="BA231" i="2"/>
  <c r="AZ231" i="2"/>
  <c r="AZ118" i="4" s="1"/>
  <c r="AY117" i="4"/>
  <c r="AZ228" i="2"/>
  <c r="AZ117" i="4" s="1"/>
  <c r="BA228" i="2"/>
  <c r="AY119" i="4"/>
  <c r="AZ232" i="2"/>
  <c r="AZ119" i="4" s="1"/>
  <c r="BA232" i="2"/>
  <c r="AY122" i="4"/>
  <c r="AZ235" i="2"/>
  <c r="AZ122" i="4" s="1"/>
  <c r="BA235" i="2"/>
  <c r="AY124" i="4"/>
  <c r="AZ237" i="2"/>
  <c r="AJ295" i="2"/>
  <c r="AJ35" i="4"/>
  <c r="AR37" i="4"/>
  <c r="AR35" i="4"/>
  <c r="AS35" i="4"/>
  <c r="AF47" i="4"/>
  <c r="AY30" i="2"/>
  <c r="AY27" i="2"/>
  <c r="BD29" i="2" s="1"/>
  <c r="BD28" i="2" s="1"/>
  <c r="D28" i="5"/>
  <c r="D33" i="5"/>
  <c r="AV12" i="4"/>
  <c r="AV26" i="2"/>
  <c r="E28" i="5"/>
  <c r="E29" i="5" s="1"/>
  <c r="E33" i="5"/>
  <c r="AY21" i="2"/>
  <c r="BC21" i="2"/>
  <c r="AA51" i="2"/>
  <c r="AA29" i="4" s="1"/>
  <c r="AA28" i="4"/>
  <c r="V47" i="4"/>
  <c r="V51" i="2"/>
  <c r="V29" i="4" s="1"/>
  <c r="V28" i="4"/>
  <c r="AD295" i="2"/>
  <c r="AD35" i="4"/>
  <c r="AQ35" i="4"/>
  <c r="AN295" i="2"/>
  <c r="AN35" i="4"/>
  <c r="AL295" i="2"/>
  <c r="AL35" i="4"/>
  <c r="AO295" i="2"/>
  <c r="AO35" i="4"/>
  <c r="AH295" i="2"/>
  <c r="AR47" i="4"/>
  <c r="AA47" i="4"/>
  <c r="G28" i="5"/>
  <c r="G33" i="5"/>
  <c r="BB21" i="2"/>
  <c r="E22" i="5"/>
  <c r="AV15" i="4"/>
  <c r="AV11" i="4"/>
  <c r="AV19" i="2"/>
  <c r="F28" i="5"/>
  <c r="F33" i="5"/>
  <c r="H27" i="5"/>
  <c r="H21" i="5"/>
  <c r="H22" i="5" s="1"/>
  <c r="AX98" i="3"/>
  <c r="AX15" i="2"/>
  <c r="AX104" i="2" s="1"/>
  <c r="I44" i="5"/>
  <c r="I45" i="5" s="1"/>
  <c r="AU74" i="4"/>
  <c r="E33" i="1"/>
  <c r="E34" i="1" s="1"/>
  <c r="AU267" i="2"/>
  <c r="AU173" i="2"/>
  <c r="AU79" i="4" s="1"/>
  <c r="AU234" i="2"/>
  <c r="AU113" i="4"/>
  <c r="AT241" i="2"/>
  <c r="AT128" i="4" s="1"/>
  <c r="AT121" i="4"/>
  <c r="AU24" i="4"/>
  <c r="AU46" i="2"/>
  <c r="AU45" i="2"/>
  <c r="AU8" i="4"/>
  <c r="E23" i="1"/>
  <c r="I8" i="5"/>
  <c r="C64" i="5" s="1"/>
  <c r="I32" i="5"/>
  <c r="I49" i="5"/>
  <c r="AU161" i="2"/>
  <c r="AU66" i="4" s="1"/>
  <c r="AT66" i="4"/>
  <c r="AV66" i="4"/>
  <c r="I13" i="5"/>
  <c r="I14" i="5" s="1"/>
  <c r="AU12" i="4"/>
  <c r="AU27" i="2"/>
  <c r="AU26" i="2"/>
  <c r="AU158" i="2"/>
  <c r="AT63" i="4"/>
  <c r="AV63" i="4"/>
  <c r="I16" i="5"/>
  <c r="I17" i="5" s="1"/>
  <c r="AU14" i="4"/>
  <c r="G56" i="5"/>
  <c r="G57" i="5"/>
  <c r="J5" i="5"/>
  <c r="I4" i="5"/>
  <c r="AV67" i="4"/>
  <c r="AV54" i="4"/>
  <c r="AU162" i="2"/>
  <c r="AU67" i="4" s="1"/>
  <c r="AT67" i="4"/>
  <c r="I42" i="5"/>
  <c r="I25" i="5"/>
  <c r="I43" i="5" s="1"/>
  <c r="AU159" i="2"/>
  <c r="AU64" i="4" s="1"/>
  <c r="AT64" i="4"/>
  <c r="I10" i="5"/>
  <c r="I11" i="5" s="1"/>
  <c r="AU10" i="4"/>
  <c r="AU20" i="2"/>
  <c r="AU21" i="2"/>
  <c r="AV65" i="4"/>
  <c r="AU160" i="2"/>
  <c r="AU65" i="4" s="1"/>
  <c r="AT65" i="4"/>
  <c r="AY249" i="2"/>
  <c r="AX134" i="4"/>
  <c r="Y295" i="2"/>
  <c r="Y134" i="2"/>
  <c r="Y133" i="2" s="1"/>
  <c r="Y135" i="2" s="1"/>
  <c r="Y40" i="4" s="1"/>
  <c r="Y261" i="2"/>
  <c r="Y260" i="2"/>
  <c r="Y92" i="2"/>
  <c r="Y93" i="2" s="1"/>
  <c r="Y70" i="2"/>
  <c r="Y38" i="4" s="1"/>
  <c r="Y72" i="2"/>
  <c r="Y43" i="4" s="1"/>
  <c r="AJ134" i="2"/>
  <c r="AJ133" i="2" s="1"/>
  <c r="AJ135" i="2" s="1"/>
  <c r="AJ40" i="4" s="1"/>
  <c r="AJ97" i="2"/>
  <c r="AP62" i="2"/>
  <c r="AP97" i="2" s="1"/>
  <c r="AP60" i="2"/>
  <c r="AP69" i="2"/>
  <c r="AP37" i="4" s="1"/>
  <c r="AP68" i="2"/>
  <c r="X260" i="2"/>
  <c r="X261" i="2"/>
  <c r="X92" i="2"/>
  <c r="X93" i="2" s="1"/>
  <c r="X72" i="2"/>
  <c r="X43" i="4" s="1"/>
  <c r="X70" i="2"/>
  <c r="X38" i="4" s="1"/>
  <c r="O195" i="2"/>
  <c r="P192" i="2"/>
  <c r="P193" i="2" s="1"/>
  <c r="P195" i="2" s="1"/>
  <c r="AA69" i="2"/>
  <c r="AA60" i="2"/>
  <c r="AA68" i="2"/>
  <c r="AY255" i="2"/>
  <c r="H67" i="5" s="1"/>
  <c r="C82" i="5" s="1"/>
  <c r="AZ227" i="2"/>
  <c r="AZ116" i="4" s="1"/>
  <c r="BA227" i="2"/>
  <c r="BA116" i="4" s="1"/>
  <c r="V60" i="2"/>
  <c r="V69" i="2"/>
  <c r="V68" i="2"/>
  <c r="AD260" i="2"/>
  <c r="AD261" i="2"/>
  <c r="AD92" i="2"/>
  <c r="AD93" i="2" s="1"/>
  <c r="AD72" i="2"/>
  <c r="AD70" i="2"/>
  <c r="AD38" i="4" s="1"/>
  <c r="O67" i="2"/>
  <c r="O69" i="2" s="1"/>
  <c r="O37" i="4" s="1"/>
  <c r="O298" i="2"/>
  <c r="AF129" i="2"/>
  <c r="AF133" i="2"/>
  <c r="AN260" i="2"/>
  <c r="AN261" i="2"/>
  <c r="AN96" i="2"/>
  <c r="AN92" i="2"/>
  <c r="AN93" i="2" s="1"/>
  <c r="AN72" i="2"/>
  <c r="AN134" i="2"/>
  <c r="AN133" i="2" s="1"/>
  <c r="AN135" i="2" s="1"/>
  <c r="AN40" i="4" s="1"/>
  <c r="AN97" i="2"/>
  <c r="H69" i="2"/>
  <c r="H37" i="4" s="1"/>
  <c r="M67" i="2"/>
  <c r="Q61" i="2"/>
  <c r="M298" i="2"/>
  <c r="AO134" i="2"/>
  <c r="AO133" i="2" s="1"/>
  <c r="AO135" i="2" s="1"/>
  <c r="AO40" i="4" s="1"/>
  <c r="AO97" i="2"/>
  <c r="AZ245" i="2"/>
  <c r="AZ130" i="4" s="1"/>
  <c r="BA245" i="2"/>
  <c r="BA130" i="4" s="1"/>
  <c r="AR134" i="2"/>
  <c r="AR133" i="2" s="1"/>
  <c r="AR135" i="2" s="1"/>
  <c r="AR40" i="4" s="1"/>
  <c r="AR97" i="2"/>
  <c r="Q129" i="2"/>
  <c r="Q51" i="2"/>
  <c r="Q29" i="4" s="1"/>
  <c r="AS261" i="2"/>
  <c r="AS260" i="2"/>
  <c r="AS96" i="2"/>
  <c r="AS92" i="2"/>
  <c r="AS93" i="2" s="1"/>
  <c r="AS70" i="2"/>
  <c r="AS38" i="4" s="1"/>
  <c r="AS72" i="2"/>
  <c r="V129" i="2"/>
  <c r="AU216" i="2"/>
  <c r="AU106" i="4" s="1"/>
  <c r="AU32" i="2"/>
  <c r="AU33" i="2"/>
  <c r="AU38" i="2"/>
  <c r="U261" i="2"/>
  <c r="U260" i="2"/>
  <c r="U92" i="2"/>
  <c r="U93" i="2" s="1"/>
  <c r="U72" i="2"/>
  <c r="U43" i="4" s="1"/>
  <c r="AF60" i="2"/>
  <c r="AF69" i="2"/>
  <c r="AF198" i="2" s="1"/>
  <c r="AF68" i="2"/>
  <c r="AF62" i="2"/>
  <c r="AF97" i="2" s="1"/>
  <c r="AF51" i="2"/>
  <c r="AF29" i="4" s="1"/>
  <c r="AU91" i="2"/>
  <c r="AB292" i="2"/>
  <c r="AB290" i="2"/>
  <c r="AB291" i="2" s="1"/>
  <c r="AC270" i="2"/>
  <c r="T260" i="2"/>
  <c r="T261" i="2"/>
  <c r="T92" i="2"/>
  <c r="T93" i="2" s="1"/>
  <c r="T72" i="2"/>
  <c r="T43" i="4" s="1"/>
  <c r="AC70" i="2"/>
  <c r="AC38" i="4" s="1"/>
  <c r="S138" i="2"/>
  <c r="L60" i="2"/>
  <c r="AJ260" i="2"/>
  <c r="AJ261" i="2"/>
  <c r="AJ96" i="2"/>
  <c r="AJ92" i="2"/>
  <c r="AJ93" i="2" s="1"/>
  <c r="AJ72" i="2"/>
  <c r="AJ70" i="2"/>
  <c r="AJ38" i="4" s="1"/>
  <c r="AY76" i="2"/>
  <c r="AY297" i="2" s="1"/>
  <c r="AX75" i="2"/>
  <c r="AX296" i="2" s="1"/>
  <c r="S261" i="2"/>
  <c r="S260" i="2"/>
  <c r="S92" i="2"/>
  <c r="S93" i="2" s="1"/>
  <c r="S72" i="2"/>
  <c r="S43" i="4" s="1"/>
  <c r="X295" i="2"/>
  <c r="X134" i="2"/>
  <c r="X133" i="2" s="1"/>
  <c r="X135" i="2" s="1"/>
  <c r="X40" i="4" s="1"/>
  <c r="C67" i="2"/>
  <c r="G61" i="2"/>
  <c r="Z137" i="2"/>
  <c r="Z138" i="2" s="1"/>
  <c r="Z136" i="2"/>
  <c r="V192" i="2"/>
  <c r="AD137" i="2"/>
  <c r="AD46" i="4" s="1"/>
  <c r="J92" i="2"/>
  <c r="AQ134" i="2"/>
  <c r="AQ133" i="2" s="1"/>
  <c r="AQ96" i="2"/>
  <c r="T138" i="2"/>
  <c r="I67" i="2"/>
  <c r="I69" i="2" s="1"/>
  <c r="I37" i="4" s="1"/>
  <c r="I298" i="2"/>
  <c r="AL260" i="2"/>
  <c r="AL261" i="2"/>
  <c r="AL96" i="2"/>
  <c r="AL92" i="2"/>
  <c r="AL93" i="2" s="1"/>
  <c r="AL72" i="2"/>
  <c r="AL70" i="2"/>
  <c r="AL38" i="4" s="1"/>
  <c r="AL134" i="2"/>
  <c r="AL133" i="2" s="1"/>
  <c r="AL97" i="2"/>
  <c r="W295" i="2"/>
  <c r="W134" i="2"/>
  <c r="W133" i="2" s="1"/>
  <c r="W261" i="2"/>
  <c r="W260" i="2"/>
  <c r="W70" i="2"/>
  <c r="W38" i="4" s="1"/>
  <c r="W92" i="2"/>
  <c r="W93" i="2" s="1"/>
  <c r="W72" i="2"/>
  <c r="W43" i="4" s="1"/>
  <c r="AO261" i="2"/>
  <c r="AO260" i="2"/>
  <c r="AO96" i="2"/>
  <c r="AO92" i="2"/>
  <c r="AO93" i="2" s="1"/>
  <c r="AO70" i="2"/>
  <c r="AO38" i="4" s="1"/>
  <c r="AO72" i="2"/>
  <c r="K67" i="2"/>
  <c r="K69" i="2" s="1"/>
  <c r="K37" i="4" s="1"/>
  <c r="K298" i="2"/>
  <c r="P67" i="2"/>
  <c r="P69" i="2" s="1"/>
  <c r="P37" i="4" s="1"/>
  <c r="P298" i="2"/>
  <c r="AH261" i="2"/>
  <c r="AH92" i="2"/>
  <c r="AH93" i="2" s="1"/>
  <c r="AH70" i="2"/>
  <c r="AH38" i="4" s="1"/>
  <c r="AR260" i="2"/>
  <c r="AR261" i="2"/>
  <c r="AR96" i="2"/>
  <c r="AR92" i="2"/>
  <c r="AR93" i="2" s="1"/>
  <c r="AR72" i="2"/>
  <c r="Q135" i="2"/>
  <c r="Q40" i="4" s="1"/>
  <c r="Q60" i="2"/>
  <c r="AS134" i="2"/>
  <c r="AS133" i="2" s="1"/>
  <c r="AS135" i="2" s="1"/>
  <c r="AS40" i="4" s="1"/>
  <c r="AG135" i="2"/>
  <c r="AG40" i="4" s="1"/>
  <c r="R260" i="2"/>
  <c r="R261" i="2"/>
  <c r="R92" i="2"/>
  <c r="R93" i="2" s="1"/>
  <c r="R72" i="2"/>
  <c r="R43" i="4" s="1"/>
  <c r="R295" i="2"/>
  <c r="R134" i="2"/>
  <c r="R133" i="2" s="1"/>
  <c r="AT110" i="2"/>
  <c r="AT124" i="2"/>
  <c r="AT126" i="2" s="1"/>
  <c r="AT22" i="4" s="1"/>
  <c r="AT48" i="2"/>
  <c r="AT40" i="2"/>
  <c r="AT39" i="2"/>
  <c r="AT259" i="2"/>
  <c r="G60" i="2"/>
  <c r="AB260" i="2"/>
  <c r="AB261" i="2"/>
  <c r="AB92" i="2"/>
  <c r="AB93" i="2" s="1"/>
  <c r="AB72" i="2"/>
  <c r="AB70" i="2"/>
  <c r="AB38" i="4" s="1"/>
  <c r="AE136" i="2"/>
  <c r="AY91" i="2"/>
  <c r="BA91" i="2" s="1"/>
  <c r="N67" i="2"/>
  <c r="N69" i="2" s="1"/>
  <c r="N298" i="2"/>
  <c r="AZ77" i="3"/>
  <c r="AZ78" i="3" s="1"/>
  <c r="AZ69" i="3"/>
  <c r="BC9" i="3"/>
  <c r="BC100" i="3"/>
  <c r="AX97" i="3"/>
  <c r="BC69" i="3"/>
  <c r="AZ72" i="3"/>
  <c r="BD68" i="3"/>
  <c r="BE68" i="3" s="1"/>
  <c r="AX93" i="3"/>
  <c r="AX94" i="3" s="1"/>
  <c r="AX85" i="3"/>
  <c r="BC101" i="3"/>
  <c r="AY9" i="3"/>
  <c r="AY69" i="3"/>
  <c r="BH104" i="2" l="1"/>
  <c r="BA104" i="2"/>
  <c r="BF104" i="2"/>
  <c r="BG125" i="2"/>
  <c r="BG152" i="2"/>
  <c r="BG97" i="2"/>
  <c r="BB152" i="2"/>
  <c r="BB125" i="2"/>
  <c r="BB97" i="2"/>
  <c r="BF97" i="3"/>
  <c r="BF224" i="2"/>
  <c r="BF113" i="4" s="1"/>
  <c r="BF85" i="3"/>
  <c r="BF44" i="2"/>
  <c r="BF24" i="4" s="1"/>
  <c r="BF9" i="3"/>
  <c r="BF111" i="2"/>
  <c r="BF148" i="2" s="1"/>
  <c r="BF54" i="4" s="1"/>
  <c r="BF98" i="3"/>
  <c r="BF209" i="2"/>
  <c r="BF99" i="4" s="1"/>
  <c r="BF93" i="3"/>
  <c r="BF94" i="3" s="1"/>
  <c r="BF212" i="2"/>
  <c r="BF102" i="4" s="1"/>
  <c r="AW26" i="2"/>
  <c r="AZ87" i="3"/>
  <c r="AZ88" i="3" s="1"/>
  <c r="AV57" i="2"/>
  <c r="F19" i="1"/>
  <c r="I16" i="1"/>
  <c r="AZ84" i="3"/>
  <c r="AZ85" i="3" s="1"/>
  <c r="F14" i="1"/>
  <c r="AU217" i="2"/>
  <c r="AU107" i="4" s="1"/>
  <c r="AT26" i="4"/>
  <c r="AT18" i="4"/>
  <c r="AV217" i="2"/>
  <c r="AW217" i="2" s="1"/>
  <c r="AV299" i="2"/>
  <c r="BI11" i="3"/>
  <c r="BI8" i="3" s="1"/>
  <c r="AM35" i="4"/>
  <c r="AW8" i="4"/>
  <c r="BA209" i="2"/>
  <c r="BA99" i="4" s="1"/>
  <c r="BI46" i="2"/>
  <c r="BI25" i="4" s="1"/>
  <c r="BH25" i="4"/>
  <c r="AX111" i="2"/>
  <c r="AY111" i="2"/>
  <c r="AY148" i="2" s="1"/>
  <c r="AY54" i="4" s="1"/>
  <c r="BB8" i="4"/>
  <c r="BG8" i="4"/>
  <c r="BD8" i="3"/>
  <c r="BD9" i="3" s="1"/>
  <c r="BE11" i="3"/>
  <c r="BE12" i="3" s="1"/>
  <c r="AV58" i="4"/>
  <c r="AQ98" i="2"/>
  <c r="AQ99" i="2" s="1"/>
  <c r="AQ46" i="4" s="1"/>
  <c r="AH72" i="2"/>
  <c r="AH96" i="2"/>
  <c r="AH98" i="2" s="1"/>
  <c r="AH99" i="2" s="1"/>
  <c r="AH46" i="4" s="1"/>
  <c r="AH260" i="2"/>
  <c r="R192" i="2"/>
  <c r="R193" i="2" s="1"/>
  <c r="S192" i="2" s="1"/>
  <c r="S193" i="2" s="1"/>
  <c r="AZ124" i="4"/>
  <c r="BB237" i="2"/>
  <c r="BC237" i="2" s="1"/>
  <c r="BD237" i="2" s="1"/>
  <c r="BF237" i="2" s="1"/>
  <c r="AQ72" i="2"/>
  <c r="AQ260" i="2"/>
  <c r="AK20" i="4"/>
  <c r="AQ92" i="2"/>
  <c r="AQ93" i="2" s="1"/>
  <c r="AQ70" i="2"/>
  <c r="AQ38" i="4" s="1"/>
  <c r="AQ261" i="2"/>
  <c r="AF190" i="2"/>
  <c r="AF94" i="4" s="1"/>
  <c r="BB240" i="2"/>
  <c r="BA127" i="4"/>
  <c r="BA76" i="2"/>
  <c r="H70" i="5"/>
  <c r="BB213" i="2"/>
  <c r="BA103" i="4"/>
  <c r="BB220" i="2"/>
  <c r="BA110" i="4"/>
  <c r="BB238" i="2"/>
  <c r="BA125" i="4"/>
  <c r="BB235" i="2"/>
  <c r="BA122" i="4"/>
  <c r="AW161" i="2"/>
  <c r="AW66" i="4" s="1"/>
  <c r="BB231" i="2"/>
  <c r="BA118" i="4"/>
  <c r="BB228" i="2"/>
  <c r="BA117" i="4"/>
  <c r="V190" i="2"/>
  <c r="V94" i="4" s="1"/>
  <c r="BE219" i="2"/>
  <c r="AI92" i="2"/>
  <c r="AI93" i="2" s="1"/>
  <c r="AW131" i="2"/>
  <c r="BB232" i="2"/>
  <c r="BA119" i="4"/>
  <c r="BD88" i="3"/>
  <c r="AY101" i="3"/>
  <c r="AY100" i="3"/>
  <c r="BA226" i="2"/>
  <c r="BF226" i="2" s="1"/>
  <c r="BF115" i="4" s="1"/>
  <c r="AW216" i="2"/>
  <c r="BH7" i="4"/>
  <c r="BH111" i="2"/>
  <c r="BH148" i="2" s="1"/>
  <c r="BH54" i="4" s="1"/>
  <c r="BA224" i="2"/>
  <c r="BA113" i="4" s="1"/>
  <c r="BA111" i="2"/>
  <c r="BA148" i="2" s="1"/>
  <c r="BA54" i="4" s="1"/>
  <c r="C83" i="5"/>
  <c r="D82" i="5" s="1"/>
  <c r="BC236" i="2"/>
  <c r="BB123" i="4"/>
  <c r="AW112" i="2"/>
  <c r="AW132" i="2" s="1"/>
  <c r="BB218" i="2"/>
  <c r="BA108" i="4"/>
  <c r="BD30" i="2"/>
  <c r="BH34" i="2"/>
  <c r="BH36" i="2"/>
  <c r="BA215" i="2"/>
  <c r="BF215" i="2" s="1"/>
  <c r="BF105" i="4" s="1"/>
  <c r="BF16" i="2"/>
  <c r="BA212" i="2"/>
  <c r="BA102" i="4" s="1"/>
  <c r="BA211" i="2"/>
  <c r="BA101" i="4" s="1"/>
  <c r="BA16" i="2"/>
  <c r="BA168" i="2"/>
  <c r="BA173" i="2" s="1"/>
  <c r="BA79" i="4" s="1"/>
  <c r="AW173" i="2"/>
  <c r="AW79" i="4" s="1"/>
  <c r="BA7" i="4"/>
  <c r="BA44" i="2"/>
  <c r="BA24" i="4" s="1"/>
  <c r="BG131" i="2"/>
  <c r="AW24" i="4"/>
  <c r="AW101" i="4"/>
  <c r="AW99" i="4"/>
  <c r="AZ20" i="3"/>
  <c r="AZ21" i="3" s="1"/>
  <c r="BA27" i="2"/>
  <c r="BF29" i="2" s="1"/>
  <c r="BF30" i="2" s="1"/>
  <c r="BE29" i="3"/>
  <c r="BE40" i="3"/>
  <c r="BE41" i="3" s="1"/>
  <c r="BI29" i="3"/>
  <c r="BJ28" i="3"/>
  <c r="BH29" i="2"/>
  <c r="BC13" i="4"/>
  <c r="BG29" i="2"/>
  <c r="BB13" i="4"/>
  <c r="AU63" i="4"/>
  <c r="I46" i="5"/>
  <c r="I47" i="5" s="1"/>
  <c r="BB113" i="4"/>
  <c r="BG211" i="2"/>
  <c r="BG101" i="4" s="1"/>
  <c r="BB101" i="4"/>
  <c r="BG23" i="2"/>
  <c r="BB11" i="4"/>
  <c r="BB173" i="2"/>
  <c r="BB79" i="4" s="1"/>
  <c r="BB74" i="4"/>
  <c r="BG45" i="2"/>
  <c r="BB24" i="4"/>
  <c r="BH23" i="2"/>
  <c r="BH22" i="2" s="1"/>
  <c r="BC11" i="4"/>
  <c r="BB15" i="4"/>
  <c r="BB248" i="2"/>
  <c r="BA133" i="4"/>
  <c r="AW152" i="2"/>
  <c r="AW299" i="2" s="1"/>
  <c r="AW125" i="2"/>
  <c r="AW97" i="2"/>
  <c r="AZ9" i="3"/>
  <c r="F15" i="1" s="1"/>
  <c r="AW105" i="4"/>
  <c r="AW10" i="4"/>
  <c r="AP28" i="4"/>
  <c r="AX55" i="2"/>
  <c r="AX54" i="2" s="1"/>
  <c r="AW38" i="2"/>
  <c r="AW17" i="4" s="1"/>
  <c r="AW234" i="2"/>
  <c r="AW241" i="2" s="1"/>
  <c r="AW128" i="4" s="1"/>
  <c r="AW14" i="4"/>
  <c r="BJ49" i="3"/>
  <c r="AW162" i="2"/>
  <c r="AW67" i="4" s="1"/>
  <c r="AW159" i="2"/>
  <c r="AW64" i="4" s="1"/>
  <c r="BB215" i="2"/>
  <c r="BB226" i="2"/>
  <c r="AW113" i="4"/>
  <c r="BG94" i="3"/>
  <c r="BB45" i="2"/>
  <c r="BB131" i="2"/>
  <c r="BH98" i="3"/>
  <c r="AK47" i="4"/>
  <c r="AM261" i="2"/>
  <c r="BJ61" i="3"/>
  <c r="BB31" i="2"/>
  <c r="AK68" i="2"/>
  <c r="AK35" i="4" s="1"/>
  <c r="AI261" i="2"/>
  <c r="C28" i="1"/>
  <c r="BH44" i="2"/>
  <c r="BH224" i="2"/>
  <c r="BH209" i="2"/>
  <c r="BH99" i="4" s="1"/>
  <c r="BH212" i="2"/>
  <c r="BH102" i="4" s="1"/>
  <c r="AC73" i="2"/>
  <c r="AC44" i="4" s="1"/>
  <c r="T70" i="2"/>
  <c r="T38" i="4" s="1"/>
  <c r="AM260" i="2"/>
  <c r="AM97" i="2"/>
  <c r="AM72" i="2"/>
  <c r="AI295" i="2"/>
  <c r="D29" i="5"/>
  <c r="AM92" i="2"/>
  <c r="AM93" i="2" s="1"/>
  <c r="AI96" i="2"/>
  <c r="AI98" i="2" s="1"/>
  <c r="AI99" i="2" s="1"/>
  <c r="AI46" i="4" s="1"/>
  <c r="AN70" i="2"/>
  <c r="AN38" i="4" s="1"/>
  <c r="AR70" i="2"/>
  <c r="AR38" i="4" s="1"/>
  <c r="AI70" i="2"/>
  <c r="AI38" i="4" s="1"/>
  <c r="AI134" i="2"/>
  <c r="AI133" i="2" s="1"/>
  <c r="AI135" i="2" s="1"/>
  <c r="AI40" i="4" s="1"/>
  <c r="AM96" i="2"/>
  <c r="AP129" i="2"/>
  <c r="AI72" i="2"/>
  <c r="AI260" i="2"/>
  <c r="AM70" i="2"/>
  <c r="AM38" i="4" s="1"/>
  <c r="AK129" i="2"/>
  <c r="AV241" i="2"/>
  <c r="AV128" i="4" s="1"/>
  <c r="AV38" i="2"/>
  <c r="BB25" i="2"/>
  <c r="AK69" i="2"/>
  <c r="AK37" i="4" s="1"/>
  <c r="AK33" i="4"/>
  <c r="AK51" i="2"/>
  <c r="AK29" i="4" s="1"/>
  <c r="AK62" i="2"/>
  <c r="AK97" i="2" s="1"/>
  <c r="AK28" i="4"/>
  <c r="AP51" i="2"/>
  <c r="AP29" i="4" s="1"/>
  <c r="AZ163" i="2"/>
  <c r="AZ68" i="4" s="1"/>
  <c r="BH219" i="2"/>
  <c r="BH109" i="4" s="1"/>
  <c r="BI68" i="3"/>
  <c r="BJ71" i="3"/>
  <c r="BH97" i="3"/>
  <c r="BH85" i="3"/>
  <c r="BH93" i="3"/>
  <c r="AR98" i="2"/>
  <c r="AR99" i="2" s="1"/>
  <c r="AR46" i="4" s="1"/>
  <c r="Z73" i="2"/>
  <c r="Z44" i="4" s="1"/>
  <c r="BB19" i="2"/>
  <c r="BB10" i="4" s="1"/>
  <c r="AD136" i="2"/>
  <c r="L34" i="4"/>
  <c r="AJ98" i="2"/>
  <c r="AJ99" i="2" s="1"/>
  <c r="AJ46" i="4" s="1"/>
  <c r="F29" i="5"/>
  <c r="C36" i="5"/>
  <c r="AY98" i="3"/>
  <c r="S70" i="2"/>
  <c r="S38" i="4" s="1"/>
  <c r="N37" i="4"/>
  <c r="G298" i="2"/>
  <c r="G34" i="4"/>
  <c r="Q298" i="2"/>
  <c r="Q34" i="4"/>
  <c r="G29" i="5"/>
  <c r="BB233" i="2"/>
  <c r="BB120" i="4" s="1"/>
  <c r="BA164" i="2"/>
  <c r="BA69" i="4" s="1"/>
  <c r="AJ256" i="2"/>
  <c r="AJ259" i="2"/>
  <c r="AJ257" i="2"/>
  <c r="AJ55" i="2"/>
  <c r="AL122" i="4"/>
  <c r="AL255" i="2"/>
  <c r="AL55" i="2" s="1"/>
  <c r="AL241" i="2"/>
  <c r="AZ153" i="2"/>
  <c r="AY59" i="4"/>
  <c r="BB225" i="2"/>
  <c r="BB114" i="4" s="1"/>
  <c r="BA163" i="2"/>
  <c r="BA68" i="4" s="1"/>
  <c r="AZ210" i="2"/>
  <c r="AY100" i="4"/>
  <c r="AB43" i="4"/>
  <c r="AY69" i="4"/>
  <c r="AZ164" i="2"/>
  <c r="AZ69" i="4" s="1"/>
  <c r="AK122" i="4"/>
  <c r="AK255" i="2"/>
  <c r="AK241" i="2"/>
  <c r="AJ252" i="2"/>
  <c r="AJ128" i="4"/>
  <c r="AI253" i="2"/>
  <c r="AI137" i="4"/>
  <c r="E92" i="2"/>
  <c r="E37" i="4"/>
  <c r="C37" i="5"/>
  <c r="BB239" i="2"/>
  <c r="BB126" i="4" s="1"/>
  <c r="BA153" i="2"/>
  <c r="BA59" i="4" s="1"/>
  <c r="AY135" i="4"/>
  <c r="BA243" i="2"/>
  <c r="AZ243" i="2"/>
  <c r="AZ135" i="4" s="1"/>
  <c r="AI263" i="2"/>
  <c r="AI258" i="2"/>
  <c r="AR43" i="4"/>
  <c r="AH73" i="2"/>
  <c r="AH43" i="4"/>
  <c r="AO73" i="2"/>
  <c r="AO43" i="4"/>
  <c r="AF37" i="4"/>
  <c r="AS73" i="2"/>
  <c r="AS43" i="4"/>
  <c r="V37" i="4"/>
  <c r="AA295" i="2"/>
  <c r="AA35" i="4"/>
  <c r="AA37" i="4"/>
  <c r="AU11" i="4"/>
  <c r="AU13" i="4"/>
  <c r="AU25" i="4"/>
  <c r="F37" i="5"/>
  <c r="F36" i="5"/>
  <c r="F50" i="5" s="1"/>
  <c r="BA21" i="2"/>
  <c r="BA33" i="2"/>
  <c r="BF35" i="2" s="1"/>
  <c r="AY11" i="4"/>
  <c r="E37" i="5"/>
  <c r="E36" i="5"/>
  <c r="E50" i="5" s="1"/>
  <c r="D36" i="5"/>
  <c r="D37" i="5"/>
  <c r="AY13" i="4"/>
  <c r="BD101" i="3"/>
  <c r="BD100" i="3"/>
  <c r="AB73" i="2"/>
  <c r="AB44" i="4" s="1"/>
  <c r="AO98" i="2"/>
  <c r="AO99" i="2" s="1"/>
  <c r="AO46" i="4" s="1"/>
  <c r="AL73" i="2"/>
  <c r="AL43" i="4"/>
  <c r="AL98" i="2"/>
  <c r="AL99" i="2" s="1"/>
  <c r="AL46" i="4" s="1"/>
  <c r="AJ73" i="2"/>
  <c r="AJ43" i="4"/>
  <c r="AF295" i="2"/>
  <c r="AF35" i="4"/>
  <c r="AU15" i="4"/>
  <c r="AN43" i="4"/>
  <c r="AD73" i="2"/>
  <c r="AD44" i="4" s="1"/>
  <c r="AD43" i="4"/>
  <c r="V295" i="2"/>
  <c r="V35" i="4"/>
  <c r="AP35" i="4"/>
  <c r="H28" i="5"/>
  <c r="H29" i="5" s="1"/>
  <c r="H33" i="5"/>
  <c r="AV20" i="2"/>
  <c r="AV10" i="4"/>
  <c r="AV14" i="4"/>
  <c r="AV32" i="2"/>
  <c r="G37" i="5"/>
  <c r="G36" i="5"/>
  <c r="G50" i="5" s="1"/>
  <c r="AY7" i="4"/>
  <c r="AY212" i="2"/>
  <c r="AY168" i="2"/>
  <c r="AY16" i="2"/>
  <c r="AY224" i="2"/>
  <c r="AY209" i="2"/>
  <c r="AY44" i="2"/>
  <c r="AY25" i="2"/>
  <c r="AY19" i="2"/>
  <c r="AY215" i="2"/>
  <c r="AY211" i="2"/>
  <c r="AY226" i="2"/>
  <c r="AT41" i="2"/>
  <c r="AT19" i="4"/>
  <c r="AY31" i="2"/>
  <c r="AY14" i="4" s="1"/>
  <c r="AY134" i="4"/>
  <c r="AZ249" i="2"/>
  <c r="AZ134" i="4" s="1"/>
  <c r="BA249" i="2"/>
  <c r="J4" i="5"/>
  <c r="J6" i="5"/>
  <c r="K5" i="5"/>
  <c r="AX7" i="4"/>
  <c r="AX212" i="2"/>
  <c r="AX168" i="2"/>
  <c r="AX215" i="2"/>
  <c r="AX224" i="2"/>
  <c r="AX209" i="2"/>
  <c r="AX44" i="2"/>
  <c r="AX16" i="2"/>
  <c r="AX19" i="2"/>
  <c r="AX226" i="2"/>
  <c r="AX211" i="2"/>
  <c r="AX25" i="2"/>
  <c r="AX31" i="2"/>
  <c r="AZ15" i="2"/>
  <c r="AY97" i="3"/>
  <c r="BC97" i="3"/>
  <c r="BC15" i="2"/>
  <c r="AU17" i="4"/>
  <c r="E25" i="1"/>
  <c r="AV106" i="4"/>
  <c r="I20" i="5"/>
  <c r="AU241" i="2"/>
  <c r="AU121" i="4"/>
  <c r="AZ91" i="2"/>
  <c r="AT127" i="2"/>
  <c r="AT128" i="2"/>
  <c r="AT129" i="2" s="1"/>
  <c r="V133" i="2"/>
  <c r="R135" i="2"/>
  <c r="R40" i="4" s="1"/>
  <c r="AS137" i="2"/>
  <c r="AS136" i="2"/>
  <c r="K261" i="2"/>
  <c r="K260" i="2"/>
  <c r="K70" i="2"/>
  <c r="K92" i="2"/>
  <c r="W73" i="2"/>
  <c r="W44" i="4" s="1"/>
  <c r="I92" i="2"/>
  <c r="I70" i="2"/>
  <c r="AM137" i="2"/>
  <c r="AM138" i="2" s="1"/>
  <c r="AM136" i="2"/>
  <c r="AQ135" i="2"/>
  <c r="AQ40" i="4" s="1"/>
  <c r="R195" i="2"/>
  <c r="X137" i="2"/>
  <c r="X136" i="2"/>
  <c r="AC136" i="2"/>
  <c r="AY75" i="2"/>
  <c r="AY296" i="2" s="1"/>
  <c r="AE138" i="2"/>
  <c r="AF260" i="2"/>
  <c r="AF261" i="2"/>
  <c r="AF96" i="2"/>
  <c r="AF98" i="2" s="1"/>
  <c r="AF99" i="2" s="1"/>
  <c r="AF92" i="2"/>
  <c r="AF93" i="2" s="1"/>
  <c r="AF72" i="2"/>
  <c r="AF70" i="2"/>
  <c r="AF38" i="4" s="1"/>
  <c r="BB245" i="2"/>
  <c r="BB130" i="4" s="1"/>
  <c r="AO137" i="2"/>
  <c r="AO136" i="2"/>
  <c r="L67" i="2"/>
  <c r="AN137" i="2"/>
  <c r="AN98" i="2"/>
  <c r="AN99" i="2" s="1"/>
  <c r="AN46" i="4" s="1"/>
  <c r="O261" i="2"/>
  <c r="O260" i="2"/>
  <c r="O70" i="2"/>
  <c r="O38" i="4" s="1"/>
  <c r="O92" i="2"/>
  <c r="O93" i="2" s="1"/>
  <c r="O72" i="2"/>
  <c r="BD33" i="2"/>
  <c r="BI35" i="2" s="1"/>
  <c r="AZ255" i="2"/>
  <c r="F40" i="1" s="1"/>
  <c r="Y73" i="2"/>
  <c r="Y44" i="4" s="1"/>
  <c r="N260" i="2"/>
  <c r="N261" i="2"/>
  <c r="N92" i="2"/>
  <c r="N93" i="2" s="1"/>
  <c r="N72" i="2"/>
  <c r="N70" i="2"/>
  <c r="N38" i="4" s="1"/>
  <c r="BB91" i="2"/>
  <c r="BC91" i="2" s="1"/>
  <c r="BD91" i="2" s="1"/>
  <c r="BF91" i="2" s="1"/>
  <c r="AT59" i="2"/>
  <c r="AT62" i="2" s="1"/>
  <c r="AT50" i="2"/>
  <c r="AT49" i="2"/>
  <c r="AT114" i="2"/>
  <c r="AG137" i="2"/>
  <c r="AG138" i="2" s="1"/>
  <c r="AG136" i="2"/>
  <c r="Q137" i="2"/>
  <c r="Q136" i="2"/>
  <c r="P260" i="2"/>
  <c r="P261" i="2"/>
  <c r="P92" i="2"/>
  <c r="P93" i="2" s="1"/>
  <c r="P72" i="2"/>
  <c r="P70" i="2"/>
  <c r="P38" i="4" s="1"/>
  <c r="AA133" i="2"/>
  <c r="W135" i="2"/>
  <c r="W40" i="4" s="1"/>
  <c r="AP133" i="2"/>
  <c r="AL135" i="2"/>
  <c r="AL40" i="4" s="1"/>
  <c r="AG73" i="2"/>
  <c r="G67" i="2"/>
  <c r="C69" i="2"/>
  <c r="AC290" i="2"/>
  <c r="AC291" i="2" s="1"/>
  <c r="AD270" i="2"/>
  <c r="U70" i="2"/>
  <c r="U38" i="4" s="1"/>
  <c r="AU124" i="2"/>
  <c r="AU126" i="2" s="1"/>
  <c r="AU22" i="4" s="1"/>
  <c r="AU110" i="2"/>
  <c r="AU48" i="2"/>
  <c r="AU43" i="2"/>
  <c r="AU40" i="2"/>
  <c r="AU39" i="2"/>
  <c r="AU259" i="2"/>
  <c r="AS98" i="2"/>
  <c r="AS99" i="2" s="1"/>
  <c r="AS46" i="4" s="1"/>
  <c r="AR137" i="2"/>
  <c r="AR136" i="2"/>
  <c r="Q67" i="2"/>
  <c r="M69" i="2"/>
  <c r="M37" i="4" s="1"/>
  <c r="H92" i="2"/>
  <c r="AF134" i="2"/>
  <c r="AF135" i="2"/>
  <c r="AF40" i="4" s="1"/>
  <c r="V260" i="2"/>
  <c r="V261" i="2"/>
  <c r="V92" i="2"/>
  <c r="V93" i="2" s="1"/>
  <c r="V72" i="2"/>
  <c r="V198" i="2"/>
  <c r="BA255" i="2"/>
  <c r="BB227" i="2"/>
  <c r="BB116" i="4" s="1"/>
  <c r="AA261" i="2"/>
  <c r="AA260" i="2"/>
  <c r="AA70" i="2"/>
  <c r="AA38" i="4" s="1"/>
  <c r="AA92" i="2"/>
  <c r="AA93" i="2" s="1"/>
  <c r="AA72" i="2"/>
  <c r="AA198" i="2"/>
  <c r="X73" i="2"/>
  <c r="X44" i="4" s="1"/>
  <c r="AP260" i="2"/>
  <c r="AP261" i="2"/>
  <c r="AP96" i="2"/>
  <c r="AP98" i="2" s="1"/>
  <c r="AP99" i="2" s="1"/>
  <c r="AP92" i="2"/>
  <c r="AP93" i="2" s="1"/>
  <c r="AP72" i="2"/>
  <c r="AP198" i="2"/>
  <c r="AJ137" i="2"/>
  <c r="AJ138" i="2" s="1"/>
  <c r="AJ136" i="2"/>
  <c r="Y137" i="2"/>
  <c r="Y138" i="2" s="1"/>
  <c r="Y136" i="2"/>
  <c r="AZ76" i="2"/>
  <c r="AZ297" i="2" s="1"/>
  <c r="BE77" i="3"/>
  <c r="BE78" i="3" s="1"/>
  <c r="BE69" i="3"/>
  <c r="AY85" i="3"/>
  <c r="AY93" i="3"/>
  <c r="AY94" i="3" s="1"/>
  <c r="BC98" i="3"/>
  <c r="BD69" i="3"/>
  <c r="BC85" i="3"/>
  <c r="BC93" i="3"/>
  <c r="BC94" i="3" s="1"/>
  <c r="BE8" i="3" l="1"/>
  <c r="BE84" i="3" s="1"/>
  <c r="BL85" i="3" s="1"/>
  <c r="BL86" i="3"/>
  <c r="BD84" i="3"/>
  <c r="BD98" i="3" s="1"/>
  <c r="BG58" i="4"/>
  <c r="BG299" i="2"/>
  <c r="BF152" i="2"/>
  <c r="BF125" i="2"/>
  <c r="BF97" i="2"/>
  <c r="BH152" i="2"/>
  <c r="BH125" i="2"/>
  <c r="BH97" i="2"/>
  <c r="BC104" i="2"/>
  <c r="BB58" i="4"/>
  <c r="BB299" i="2"/>
  <c r="BA152" i="2"/>
  <c r="BA125" i="2"/>
  <c r="BA97" i="2"/>
  <c r="BG162" i="2"/>
  <c r="BG67" i="4" s="1"/>
  <c r="BG161" i="2"/>
  <c r="BG66" i="4" s="1"/>
  <c r="AZ101" i="3"/>
  <c r="AZ100" i="3"/>
  <c r="BF131" i="2"/>
  <c r="AV107" i="4"/>
  <c r="AV31" i="4"/>
  <c r="AT134" i="2"/>
  <c r="AT133" i="2" s="1"/>
  <c r="AU133" i="2" s="1"/>
  <c r="AU134" i="2" s="1"/>
  <c r="AT97" i="2"/>
  <c r="AZ98" i="3"/>
  <c r="F20" i="1" s="1"/>
  <c r="AZ93" i="3"/>
  <c r="AZ94" i="3" s="1"/>
  <c r="BI87" i="3"/>
  <c r="BI88" i="3" s="1"/>
  <c r="BJ11" i="3"/>
  <c r="BJ12" i="3" s="1"/>
  <c r="AZ97" i="3"/>
  <c r="F16" i="1" s="1"/>
  <c r="I19" i="1"/>
  <c r="I13" i="1" s="1"/>
  <c r="AT27" i="4"/>
  <c r="AT33" i="4"/>
  <c r="AT20" i="4"/>
  <c r="AK70" i="2"/>
  <c r="AK38" i="4" s="1"/>
  <c r="AP70" i="2"/>
  <c r="AP38" i="4" s="1"/>
  <c r="AQ73" i="2"/>
  <c r="AQ43" i="4"/>
  <c r="BC111" i="2"/>
  <c r="AI73" i="2"/>
  <c r="AR73" i="2"/>
  <c r="BF8" i="4"/>
  <c r="BA8" i="4"/>
  <c r="BA131" i="2"/>
  <c r="BE87" i="3"/>
  <c r="BE100" i="3" s="1"/>
  <c r="AK261" i="2"/>
  <c r="BA124" i="4"/>
  <c r="V193" i="2"/>
  <c r="V195" i="2" s="1"/>
  <c r="BF211" i="2"/>
  <c r="BF101" i="4" s="1"/>
  <c r="BB162" i="2"/>
  <c r="BB67" i="4" s="1"/>
  <c r="BB243" i="2"/>
  <c r="BA135" i="4"/>
  <c r="BC238" i="2"/>
  <c r="BB125" i="4"/>
  <c r="BC220" i="2"/>
  <c r="BB110" i="4"/>
  <c r="BC213" i="2"/>
  <c r="BB103" i="4"/>
  <c r="BC240" i="2"/>
  <c r="BB127" i="4"/>
  <c r="BB124" i="4"/>
  <c r="BC235" i="2"/>
  <c r="BB122" i="4"/>
  <c r="AI43" i="4"/>
  <c r="BG219" i="2"/>
  <c r="BE109" i="4"/>
  <c r="AK295" i="2"/>
  <c r="BC232" i="2"/>
  <c r="BB119" i="4"/>
  <c r="BC231" i="2"/>
  <c r="BB118" i="4"/>
  <c r="BF45" i="2"/>
  <c r="BC228" i="2"/>
  <c r="BB117" i="4"/>
  <c r="BA105" i="4"/>
  <c r="BH33" i="2"/>
  <c r="BH15" i="4" s="1"/>
  <c r="BA74" i="4"/>
  <c r="BA234" i="2"/>
  <c r="BA121" i="4" s="1"/>
  <c r="BB161" i="2"/>
  <c r="BB66" i="4" s="1"/>
  <c r="BA115" i="4"/>
  <c r="BA45" i="2"/>
  <c r="BD236" i="2"/>
  <c r="BC123" i="4"/>
  <c r="F82" i="5"/>
  <c r="F81" i="5"/>
  <c r="D81" i="5"/>
  <c r="D83" i="5" s="1"/>
  <c r="BC218" i="2"/>
  <c r="BB108" i="4"/>
  <c r="BG34" i="2"/>
  <c r="BG36" i="2"/>
  <c r="BG28" i="2"/>
  <c r="BG30" i="2"/>
  <c r="BH28" i="2"/>
  <c r="BH30" i="2"/>
  <c r="BG24" i="2"/>
  <c r="BG22" i="2"/>
  <c r="BF28" i="2"/>
  <c r="BH24" i="2"/>
  <c r="BH21" i="2" s="1"/>
  <c r="AW259" i="2"/>
  <c r="AW48" i="2"/>
  <c r="AW26" i="4" s="1"/>
  <c r="AW124" i="2"/>
  <c r="AW126" i="2" s="1"/>
  <c r="AW22" i="4" s="1"/>
  <c r="AW121" i="4"/>
  <c r="BA25" i="2"/>
  <c r="BA26" i="2" s="1"/>
  <c r="BA13" i="4"/>
  <c r="BJ29" i="3"/>
  <c r="BJ40" i="3"/>
  <c r="BJ41" i="3" s="1"/>
  <c r="BI36" i="2"/>
  <c r="BD15" i="4"/>
  <c r="BH16" i="2"/>
  <c r="BC7" i="4"/>
  <c r="BF36" i="2"/>
  <c r="BA15" i="4"/>
  <c r="BG226" i="2"/>
  <c r="BB115" i="4"/>
  <c r="BG215" i="2"/>
  <c r="BB105" i="4"/>
  <c r="BB249" i="2"/>
  <c r="BA134" i="4"/>
  <c r="BH162" i="2"/>
  <c r="BH67" i="4" s="1"/>
  <c r="BH113" i="4"/>
  <c r="BB32" i="2"/>
  <c r="BB14" i="4"/>
  <c r="BF23" i="2"/>
  <c r="BF22" i="2" s="1"/>
  <c r="BA11" i="4"/>
  <c r="BB26" i="2"/>
  <c r="BB12" i="4"/>
  <c r="BH131" i="2"/>
  <c r="BH24" i="4"/>
  <c r="BC248" i="2"/>
  <c r="BB133" i="4"/>
  <c r="AZ59" i="4"/>
  <c r="AX112" i="2"/>
  <c r="AX132" i="2" s="1"/>
  <c r="AX57" i="2"/>
  <c r="AX31" i="4" s="1"/>
  <c r="AW39" i="2"/>
  <c r="AW18" i="4" s="1"/>
  <c r="AX125" i="2"/>
  <c r="AX152" i="2"/>
  <c r="AX299" i="2" s="1"/>
  <c r="AX97" i="2"/>
  <c r="AW58" i="4"/>
  <c r="AW110" i="2"/>
  <c r="AW114" i="2" s="1"/>
  <c r="AW115" i="2" s="1"/>
  <c r="AW117" i="2" s="1"/>
  <c r="AW41" i="4" s="1"/>
  <c r="AY55" i="2"/>
  <c r="AY54" i="2" s="1"/>
  <c r="AZ54" i="2" s="1"/>
  <c r="AZ57" i="2" s="1"/>
  <c r="AY152" i="2"/>
  <c r="AY299" i="2" s="1"/>
  <c r="AY125" i="2"/>
  <c r="AY97" i="2"/>
  <c r="AZ104" i="2"/>
  <c r="AW40" i="2"/>
  <c r="AW19" i="4" s="1"/>
  <c r="BB159" i="2"/>
  <c r="BB64" i="4" s="1"/>
  <c r="BB160" i="2"/>
  <c r="BB65" i="4" s="1"/>
  <c r="BH161" i="2"/>
  <c r="BH66" i="4" s="1"/>
  <c r="BG91" i="2"/>
  <c r="BH91" i="2" s="1"/>
  <c r="BI91" i="2" s="1"/>
  <c r="AN136" i="2"/>
  <c r="AI136" i="2"/>
  <c r="AK133" i="2"/>
  <c r="AK134" i="2" s="1"/>
  <c r="AI137" i="2"/>
  <c r="AI138" i="2" s="1"/>
  <c r="AK198" i="2"/>
  <c r="AK96" i="2"/>
  <c r="AK98" i="2" s="1"/>
  <c r="AK99" i="2" s="1"/>
  <c r="AK46" i="4" s="1"/>
  <c r="AK72" i="2"/>
  <c r="AK260" i="2"/>
  <c r="AK92" i="2"/>
  <c r="AK93" i="2" s="1"/>
  <c r="AM98" i="2"/>
  <c r="AM99" i="2" s="1"/>
  <c r="AM46" i="4" s="1"/>
  <c r="AM43" i="4"/>
  <c r="AM73" i="2"/>
  <c r="AN73" i="2"/>
  <c r="AA192" i="2"/>
  <c r="AA193" i="2" s="1"/>
  <c r="AF192" i="2" s="1"/>
  <c r="AF193" i="2" s="1"/>
  <c r="BB38" i="2"/>
  <c r="BJ72" i="3"/>
  <c r="BH94" i="3"/>
  <c r="BI69" i="3"/>
  <c r="BJ68" i="3"/>
  <c r="BI9" i="3"/>
  <c r="BI84" i="3"/>
  <c r="BJ8" i="3"/>
  <c r="AR138" i="2"/>
  <c r="BB20" i="2"/>
  <c r="BA19" i="2"/>
  <c r="BA31" i="2"/>
  <c r="AY38" i="2"/>
  <c r="AY17" i="4" s="1"/>
  <c r="U73" i="2"/>
  <c r="U44" i="4" s="1"/>
  <c r="P43" i="4"/>
  <c r="S73" i="2"/>
  <c r="S44" i="4" s="1"/>
  <c r="N43" i="4"/>
  <c r="AX38" i="2"/>
  <c r="AX124" i="2" s="1"/>
  <c r="BC239" i="2"/>
  <c r="BC126" i="4" s="1"/>
  <c r="BB153" i="2"/>
  <c r="BB59" i="4" s="1"/>
  <c r="AK252" i="2"/>
  <c r="AK128" i="4"/>
  <c r="C42" i="1"/>
  <c r="AM122" i="4"/>
  <c r="AM255" i="2"/>
  <c r="AM241" i="2"/>
  <c r="AL256" i="2"/>
  <c r="AL258" i="2" s="1"/>
  <c r="AL257" i="2"/>
  <c r="AL259" i="2"/>
  <c r="AJ258" i="2"/>
  <c r="AJ263" i="2"/>
  <c r="BB164" i="2"/>
  <c r="BB69" i="4" s="1"/>
  <c r="BC233" i="2"/>
  <c r="BC120" i="4" s="1"/>
  <c r="C92" i="2"/>
  <c r="C37" i="4"/>
  <c r="AG44" i="4"/>
  <c r="T73" i="2"/>
  <c r="T44" i="4" s="1"/>
  <c r="O43" i="4"/>
  <c r="C39" i="5"/>
  <c r="C51" i="5"/>
  <c r="AJ253" i="2"/>
  <c r="AJ137" i="4"/>
  <c r="C40" i="1"/>
  <c r="AK259" i="2"/>
  <c r="AK256" i="2"/>
  <c r="AK257" i="2"/>
  <c r="BA210" i="2"/>
  <c r="AZ100" i="4"/>
  <c r="BB163" i="2"/>
  <c r="BB68" i="4" s="1"/>
  <c r="BC225" i="2"/>
  <c r="BC114" i="4" s="1"/>
  <c r="AL252" i="2"/>
  <c r="AL128" i="4"/>
  <c r="AP43" i="4"/>
  <c r="D30" i="1"/>
  <c r="AP46" i="4"/>
  <c r="AX8" i="4"/>
  <c r="AI44" i="4"/>
  <c r="AL44" i="4"/>
  <c r="BD27" i="2"/>
  <c r="D51" i="5"/>
  <c r="BD21" i="2"/>
  <c r="AO44" i="4"/>
  <c r="AA73" i="2"/>
  <c r="AA44" i="4" s="1"/>
  <c r="AA43" i="4"/>
  <c r="V43" i="4"/>
  <c r="AZ31" i="2"/>
  <c r="AY32" i="2"/>
  <c r="AM44" i="4"/>
  <c r="AU18" i="4"/>
  <c r="AQ44" i="4"/>
  <c r="AF43" i="4"/>
  <c r="AF46" i="4"/>
  <c r="AY8" i="4"/>
  <c r="G51" i="5"/>
  <c r="AV17" i="4"/>
  <c r="AV110" i="2"/>
  <c r="AV114" i="2" s="1"/>
  <c r="AV115" i="2" s="1"/>
  <c r="AV48" i="2"/>
  <c r="AV39" i="2"/>
  <c r="AV124" i="2"/>
  <c r="AV126" i="2" s="1"/>
  <c r="AV40" i="2"/>
  <c r="AV259" i="2"/>
  <c r="H37" i="5"/>
  <c r="H36" i="5"/>
  <c r="H50" i="5" s="1"/>
  <c r="AJ44" i="4"/>
  <c r="E51" i="5"/>
  <c r="F51" i="5"/>
  <c r="F39" i="5"/>
  <c r="AS44" i="4"/>
  <c r="AH44" i="4"/>
  <c r="AU41" i="2"/>
  <c r="AU19" i="4"/>
  <c r="E26" i="1"/>
  <c r="AU26" i="4"/>
  <c r="E27" i="1"/>
  <c r="I27" i="5"/>
  <c r="I21" i="5"/>
  <c r="I22" i="5" s="1"/>
  <c r="J7" i="5"/>
  <c r="AZ7" i="4"/>
  <c r="F22" i="1"/>
  <c r="AZ16" i="2"/>
  <c r="AX12" i="4"/>
  <c r="AX26" i="2"/>
  <c r="AZ25" i="2"/>
  <c r="BC226" i="2"/>
  <c r="AX115" i="4"/>
  <c r="AX99" i="4"/>
  <c r="AY158" i="2"/>
  <c r="AY63" i="4" s="1"/>
  <c r="AX158" i="2"/>
  <c r="AX105" i="4"/>
  <c r="BC215" i="2"/>
  <c r="AX160" i="2"/>
  <c r="AX173" i="2"/>
  <c r="AX79" i="4" s="1"/>
  <c r="AX74" i="4"/>
  <c r="AZ168" i="2"/>
  <c r="J44" i="5" s="1"/>
  <c r="AY101" i="4"/>
  <c r="AZ211" i="2"/>
  <c r="AZ101" i="4" s="1"/>
  <c r="BA159" i="2"/>
  <c r="BA64" i="4" s="1"/>
  <c r="AY10" i="4"/>
  <c r="AY20" i="2"/>
  <c r="AY24" i="4"/>
  <c r="AY131" i="2"/>
  <c r="AY45" i="2"/>
  <c r="AY113" i="4"/>
  <c r="AZ224" i="2"/>
  <c r="AY162" i="2"/>
  <c r="AY67" i="4" s="1"/>
  <c r="BA162" i="2"/>
  <c r="BA67" i="4" s="1"/>
  <c r="AY234" i="2"/>
  <c r="AY173" i="2"/>
  <c r="AY79" i="4" s="1"/>
  <c r="AY74" i="4"/>
  <c r="AT51" i="2"/>
  <c r="AT28" i="4"/>
  <c r="AU128" i="4"/>
  <c r="E42" i="1"/>
  <c r="AW106" i="4"/>
  <c r="AW107" i="4"/>
  <c r="BC212" i="2"/>
  <c r="BC102" i="4" s="1"/>
  <c r="BC168" i="2"/>
  <c r="BC74" i="4" s="1"/>
  <c r="BC16" i="2"/>
  <c r="BC224" i="2"/>
  <c r="BC209" i="2"/>
  <c r="BC99" i="4" s="1"/>
  <c r="BC44" i="2"/>
  <c r="BC19" i="2"/>
  <c r="BC31" i="2"/>
  <c r="BC25" i="2"/>
  <c r="AX32" i="2"/>
  <c r="AX14" i="4"/>
  <c r="AX101" i="4"/>
  <c r="AY159" i="2"/>
  <c r="AY64" i="4" s="1"/>
  <c r="BC211" i="2"/>
  <c r="AX159" i="2"/>
  <c r="AX20" i="2"/>
  <c r="AX10" i="4"/>
  <c r="AZ19" i="2"/>
  <c r="AX24" i="4"/>
  <c r="AX131" i="2"/>
  <c r="AX45" i="2"/>
  <c r="AZ44" i="2"/>
  <c r="AX113" i="4"/>
  <c r="AX162" i="2"/>
  <c r="AX234" i="2"/>
  <c r="AX148" i="2"/>
  <c r="AZ111" i="2"/>
  <c r="AX102" i="4"/>
  <c r="AY161" i="2"/>
  <c r="AY66" i="4" s="1"/>
  <c r="AX161" i="2"/>
  <c r="K6" i="5"/>
  <c r="L5" i="5"/>
  <c r="J56" i="5" s="1"/>
  <c r="K4" i="5"/>
  <c r="AY115" i="4"/>
  <c r="AZ226" i="2"/>
  <c r="AZ115" i="4" s="1"/>
  <c r="AY160" i="2"/>
  <c r="AY65" i="4" s="1"/>
  <c r="AY105" i="4"/>
  <c r="BA160" i="2"/>
  <c r="BA65" i="4" s="1"/>
  <c r="AZ215" i="2"/>
  <c r="AZ105" i="4" s="1"/>
  <c r="AY26" i="2"/>
  <c r="AY12" i="4"/>
  <c r="AY99" i="4"/>
  <c r="AZ209" i="2"/>
  <c r="AZ99" i="4" s="1"/>
  <c r="AY102" i="4"/>
  <c r="AZ212" i="2"/>
  <c r="AZ102" i="4" s="1"/>
  <c r="BA161" i="2"/>
  <c r="BA66" i="4" s="1"/>
  <c r="AZ75" i="2"/>
  <c r="AZ296" i="2" s="1"/>
  <c r="BB255" i="2"/>
  <c r="BC227" i="2"/>
  <c r="BC116" i="4" s="1"/>
  <c r="BB234" i="2"/>
  <c r="AF137" i="2"/>
  <c r="H70" i="2"/>
  <c r="M261" i="2"/>
  <c r="M260" i="2"/>
  <c r="M92" i="2"/>
  <c r="M93" i="2" s="1"/>
  <c r="M70" i="2"/>
  <c r="M38" i="4" s="1"/>
  <c r="M72" i="2"/>
  <c r="R70" i="2"/>
  <c r="R38" i="4" s="1"/>
  <c r="AU59" i="2"/>
  <c r="AU50" i="2"/>
  <c r="AU49" i="2"/>
  <c r="AU128" i="2"/>
  <c r="AU129" i="2" s="1"/>
  <c r="AU127" i="2"/>
  <c r="AE270" i="2"/>
  <c r="AD290" i="2"/>
  <c r="AD291" i="2" s="1"/>
  <c r="G68" i="2"/>
  <c r="G35" i="4" s="1"/>
  <c r="G69" i="2"/>
  <c r="AP134" i="2"/>
  <c r="AP135" i="2"/>
  <c r="AP40" i="4" s="1"/>
  <c r="AA134" i="2"/>
  <c r="AA135" i="2"/>
  <c r="AA40" i="4" s="1"/>
  <c r="AT60" i="2"/>
  <c r="BE91" i="2"/>
  <c r="L68" i="2"/>
  <c r="L35" i="4" s="1"/>
  <c r="L69" i="2"/>
  <c r="L37" i="4" s="1"/>
  <c r="BC245" i="2"/>
  <c r="BC130" i="4" s="1"/>
  <c r="X138" i="2"/>
  <c r="AC138" i="2"/>
  <c r="AQ137" i="2"/>
  <c r="AQ136" i="2"/>
  <c r="R137" i="2"/>
  <c r="R138" i="2" s="1"/>
  <c r="R136" i="2"/>
  <c r="Q68" i="2"/>
  <c r="Q35" i="4" s="1"/>
  <c r="Q69" i="2"/>
  <c r="Q37" i="4" s="1"/>
  <c r="AL137" i="2"/>
  <c r="AL138" i="2" s="1"/>
  <c r="AL136" i="2"/>
  <c r="W137" i="2"/>
  <c r="W136" i="2"/>
  <c r="AB136" i="2"/>
  <c r="AT115" i="2"/>
  <c r="AU114" i="2"/>
  <c r="AO138" i="2"/>
  <c r="AF73" i="2"/>
  <c r="AF44" i="4" s="1"/>
  <c r="BA297" i="2"/>
  <c r="BA75" i="2"/>
  <c r="BA296" i="2" s="1"/>
  <c r="BB76" i="2"/>
  <c r="S195" i="2"/>
  <c r="T192" i="2"/>
  <c r="T193" i="2" s="1"/>
  <c r="AD138" i="2"/>
  <c r="AS138" i="2"/>
  <c r="V134" i="2"/>
  <c r="V135" i="2"/>
  <c r="V40" i="4" s="1"/>
  <c r="BD97" i="3"/>
  <c r="BE97" i="3"/>
  <c r="BE9" i="3"/>
  <c r="BE20" i="3"/>
  <c r="BE21" i="3" s="1"/>
  <c r="BD93" i="3"/>
  <c r="BD94" i="3" s="1"/>
  <c r="BD85" i="3" l="1"/>
  <c r="BD15" i="2"/>
  <c r="BD104" i="2" s="1"/>
  <c r="BG27" i="2"/>
  <c r="BG13" i="4" s="1"/>
  <c r="BH58" i="4"/>
  <c r="BH299" i="2"/>
  <c r="BF58" i="4"/>
  <c r="BF299" i="2"/>
  <c r="BA299" i="2"/>
  <c r="BA58" i="4"/>
  <c r="BC152" i="2"/>
  <c r="BC125" i="2"/>
  <c r="BC97" i="2"/>
  <c r="AU135" i="2"/>
  <c r="AU40" i="4" s="1"/>
  <c r="AT135" i="2"/>
  <c r="AT40" i="4" s="1"/>
  <c r="BI100" i="3"/>
  <c r="BJ87" i="3"/>
  <c r="BJ100" i="3" s="1"/>
  <c r="AV18" i="4"/>
  <c r="AT298" i="2"/>
  <c r="BE101" i="3"/>
  <c r="BI101" i="3"/>
  <c r="AT34" i="4"/>
  <c r="AT29" i="4"/>
  <c r="I20" i="1"/>
  <c r="W192" i="2"/>
  <c r="W193" i="2" s="1"/>
  <c r="W195" i="2" s="1"/>
  <c r="AR44" i="4"/>
  <c r="BE88" i="3"/>
  <c r="BC8" i="4"/>
  <c r="AN44" i="4"/>
  <c r="BH8" i="4"/>
  <c r="BG33" i="2"/>
  <c r="BG15" i="4" s="1"/>
  <c r="AK73" i="2"/>
  <c r="BC124" i="4"/>
  <c r="BD240" i="2"/>
  <c r="BC127" i="4"/>
  <c r="BD213" i="2"/>
  <c r="BC103" i="4"/>
  <c r="BD220" i="2"/>
  <c r="BC110" i="4"/>
  <c r="BD238" i="2"/>
  <c r="BC125" i="4"/>
  <c r="BC243" i="2"/>
  <c r="BB135" i="4"/>
  <c r="BD235" i="2"/>
  <c r="BC122" i="4"/>
  <c r="BA241" i="2"/>
  <c r="BA128" i="4" s="1"/>
  <c r="BD232" i="2"/>
  <c r="BC119" i="4"/>
  <c r="AB192" i="2"/>
  <c r="AB193" i="2" s="1"/>
  <c r="AB195" i="2" s="1"/>
  <c r="AA195" i="2"/>
  <c r="X192" i="2"/>
  <c r="X193" i="2" s="1"/>
  <c r="X195" i="2" s="1"/>
  <c r="BD231" i="2"/>
  <c r="BC118" i="4"/>
  <c r="BA158" i="2"/>
  <c r="BA63" i="4" s="1"/>
  <c r="BA100" i="4"/>
  <c r="BD228" i="2"/>
  <c r="BC117" i="4"/>
  <c r="BG109" i="4"/>
  <c r="BI219" i="2"/>
  <c r="BH31" i="2"/>
  <c r="BH14" i="4" s="1"/>
  <c r="BH27" i="2"/>
  <c r="BH25" i="2" s="1"/>
  <c r="BG21" i="2"/>
  <c r="BG11" i="4" s="1"/>
  <c r="BD111" i="2"/>
  <c r="BD148" i="2" s="1"/>
  <c r="BD54" i="4" s="1"/>
  <c r="F83" i="5"/>
  <c r="BD123" i="4"/>
  <c r="BE236" i="2"/>
  <c r="BE123" i="4" s="1"/>
  <c r="BF236" i="2"/>
  <c r="AY57" i="2"/>
  <c r="AY31" i="4" s="1"/>
  <c r="AY112" i="2"/>
  <c r="AZ112" i="2" s="1"/>
  <c r="AX217" i="2"/>
  <c r="AY217" i="2" s="1"/>
  <c r="BA217" i="2" s="1"/>
  <c r="BB217" i="2" s="1"/>
  <c r="AX216" i="2"/>
  <c r="AY216" i="2" s="1"/>
  <c r="BA216" i="2" s="1"/>
  <c r="BB216" i="2" s="1"/>
  <c r="BD218" i="2"/>
  <c r="BC108" i="4"/>
  <c r="BA12" i="4"/>
  <c r="BF27" i="2"/>
  <c r="BF13" i="4" s="1"/>
  <c r="AW49" i="2"/>
  <c r="AW27" i="4" s="1"/>
  <c r="BI34" i="2"/>
  <c r="AW50" i="2"/>
  <c r="AW51" i="2" s="1"/>
  <c r="AW29" i="4" s="1"/>
  <c r="AW59" i="2"/>
  <c r="AW33" i="4" s="1"/>
  <c r="BF34" i="2"/>
  <c r="BF24" i="2"/>
  <c r="BF21" i="2" s="1"/>
  <c r="BF11" i="4" s="1"/>
  <c r="AW146" i="2"/>
  <c r="AW165" i="2" s="1"/>
  <c r="AW41" i="2"/>
  <c r="AW20" i="4" s="1"/>
  <c r="AW133" i="2"/>
  <c r="AW135" i="2" s="1"/>
  <c r="AW40" i="4" s="1"/>
  <c r="AW128" i="2"/>
  <c r="AW129" i="2" s="1"/>
  <c r="AW127" i="2"/>
  <c r="AZ152" i="2"/>
  <c r="AW121" i="2"/>
  <c r="AW118" i="2"/>
  <c r="AW47" i="4" s="1"/>
  <c r="J45" i="5"/>
  <c r="BH19" i="2"/>
  <c r="BH10" i="4" s="1"/>
  <c r="BH11" i="4"/>
  <c r="BI29" i="2"/>
  <c r="BI30" i="2" s="1"/>
  <c r="BD13" i="4"/>
  <c r="BC12" i="4"/>
  <c r="BH215" i="2"/>
  <c r="BH105" i="4" s="1"/>
  <c r="BC105" i="4"/>
  <c r="BA20" i="2"/>
  <c r="BA10" i="4"/>
  <c r="BB241" i="2"/>
  <c r="BB128" i="4" s="1"/>
  <c r="BB121" i="4"/>
  <c r="BC14" i="4"/>
  <c r="BC162" i="2"/>
  <c r="BC67" i="4" s="1"/>
  <c r="BC113" i="4"/>
  <c r="BC249" i="2"/>
  <c r="BB134" i="4"/>
  <c r="BG159" i="2"/>
  <c r="BG64" i="4" s="1"/>
  <c r="BG115" i="4"/>
  <c r="BC10" i="4"/>
  <c r="BH226" i="2"/>
  <c r="BH115" i="4" s="1"/>
  <c r="BC115" i="4"/>
  <c r="BI23" i="2"/>
  <c r="BI22" i="2" s="1"/>
  <c r="BD11" i="4"/>
  <c r="BH211" i="2"/>
  <c r="BH101" i="4" s="1"/>
  <c r="BC101" i="4"/>
  <c r="BH45" i="2"/>
  <c r="BC24" i="4"/>
  <c r="BA32" i="2"/>
  <c r="BA14" i="4"/>
  <c r="BB110" i="2"/>
  <c r="BB17" i="4"/>
  <c r="BG160" i="2"/>
  <c r="BG65" i="4" s="1"/>
  <c r="BG105" i="4"/>
  <c r="BD248" i="2"/>
  <c r="BC133" i="4"/>
  <c r="AX126" i="2"/>
  <c r="AX127" i="2" s="1"/>
  <c r="AZ125" i="2"/>
  <c r="AY58" i="4"/>
  <c r="BA55" i="2"/>
  <c r="BA54" i="2" s="1"/>
  <c r="AX58" i="4"/>
  <c r="AN138" i="2"/>
  <c r="AK135" i="2"/>
  <c r="AK137" i="2" s="1"/>
  <c r="AK138" i="2" s="1"/>
  <c r="BI97" i="3"/>
  <c r="BI15" i="2"/>
  <c r="C30" i="1"/>
  <c r="AP73" i="2"/>
  <c r="BJ91" i="2"/>
  <c r="AK43" i="4"/>
  <c r="BB39" i="2"/>
  <c r="BB18" i="4" s="1"/>
  <c r="BB40" i="2"/>
  <c r="BB124" i="2"/>
  <c r="BB126" i="2" s="1"/>
  <c r="BB48" i="2"/>
  <c r="BJ69" i="3"/>
  <c r="BJ77" i="3"/>
  <c r="BJ78" i="3" s="1"/>
  <c r="BI93" i="3"/>
  <c r="BI94" i="3" s="1"/>
  <c r="BI85" i="3"/>
  <c r="BI98" i="3"/>
  <c r="BJ20" i="3"/>
  <c r="BJ21" i="3" s="1"/>
  <c r="BJ9" i="3"/>
  <c r="BJ84" i="3"/>
  <c r="BA38" i="2"/>
  <c r="BC32" i="2"/>
  <c r="AX110" i="2"/>
  <c r="AX114" i="2" s="1"/>
  <c r="AX115" i="2" s="1"/>
  <c r="AX117" i="2" s="1"/>
  <c r="AX17" i="4"/>
  <c r="E52" i="5"/>
  <c r="AY124" i="2"/>
  <c r="AY126" i="2" s="1"/>
  <c r="AY22" i="4" s="1"/>
  <c r="AT136" i="2"/>
  <c r="J16" i="5"/>
  <c r="J17" i="5" s="1"/>
  <c r="AY39" i="2"/>
  <c r="AY18" i="4" s="1"/>
  <c r="AY110" i="2"/>
  <c r="AY40" i="2"/>
  <c r="AY41" i="2" s="1"/>
  <c r="AY20" i="4" s="1"/>
  <c r="AY48" i="2"/>
  <c r="AY26" i="4" s="1"/>
  <c r="AX259" i="2"/>
  <c r="AZ32" i="2"/>
  <c r="AX39" i="2"/>
  <c r="AX18" i="4" s="1"/>
  <c r="AX40" i="2"/>
  <c r="AX41" i="2" s="1"/>
  <c r="AX20" i="4" s="1"/>
  <c r="AZ33" i="2"/>
  <c r="AX48" i="2"/>
  <c r="AX26" i="4" s="1"/>
  <c r="BC38" i="2"/>
  <c r="AZ14" i="4"/>
  <c r="AY259" i="2"/>
  <c r="AZ131" i="2"/>
  <c r="J24" i="5" s="1"/>
  <c r="AT137" i="2"/>
  <c r="AT138" i="2" s="1"/>
  <c r="AZ38" i="2"/>
  <c r="I22" i="1" s="1"/>
  <c r="G92" i="2"/>
  <c r="G37" i="4"/>
  <c r="F52" i="5"/>
  <c r="H51" i="5"/>
  <c r="H52" i="5" s="1"/>
  <c r="D52" i="5"/>
  <c r="BD225" i="2"/>
  <c r="BC163" i="2"/>
  <c r="BC68" i="4" s="1"/>
  <c r="AK263" i="2"/>
  <c r="AK258" i="2"/>
  <c r="AN122" i="4"/>
  <c r="AN241" i="2"/>
  <c r="AN255" i="2"/>
  <c r="AM257" i="2"/>
  <c r="AO55" i="2"/>
  <c r="AM259" i="2"/>
  <c r="AM256" i="2"/>
  <c r="AM258" i="2" s="1"/>
  <c r="AM55" i="2"/>
  <c r="AK253" i="2"/>
  <c r="AK137" i="4"/>
  <c r="BD239" i="2"/>
  <c r="BC153" i="2"/>
  <c r="BC59" i="4" s="1"/>
  <c r="R73" i="2"/>
  <c r="R44" i="4" s="1"/>
  <c r="M43" i="4"/>
  <c r="AL253" i="2"/>
  <c r="AL137" i="4"/>
  <c r="BB210" i="2"/>
  <c r="BD233" i="2"/>
  <c r="BC164" i="2"/>
  <c r="BC69" i="4" s="1"/>
  <c r="AM252" i="2"/>
  <c r="AM128" i="4"/>
  <c r="AZ31" i="4"/>
  <c r="AK44" i="4"/>
  <c r="AU20" i="4"/>
  <c r="AV22" i="4"/>
  <c r="AV127" i="2"/>
  <c r="AV128" i="2"/>
  <c r="AV129" i="2" s="1"/>
  <c r="AV133" i="2"/>
  <c r="AV135" i="2" s="1"/>
  <c r="AV26" i="4"/>
  <c r="AV50" i="2"/>
  <c r="AV59" i="2"/>
  <c r="AV49" i="2"/>
  <c r="C35" i="1"/>
  <c r="C36" i="1" s="1"/>
  <c r="G52" i="5"/>
  <c r="D39" i="5"/>
  <c r="AU27" i="4"/>
  <c r="AU33" i="4"/>
  <c r="E39" i="5"/>
  <c r="AV41" i="2"/>
  <c r="AV19" i="4"/>
  <c r="AU51" i="2"/>
  <c r="AU28" i="4"/>
  <c r="E28" i="1"/>
  <c r="AX66" i="4"/>
  <c r="AZ161" i="2"/>
  <c r="AZ66" i="4" s="1"/>
  <c r="AX54" i="4"/>
  <c r="AZ148" i="2"/>
  <c r="AZ54" i="4" s="1"/>
  <c r="AX67" i="4"/>
  <c r="AZ162" i="2"/>
  <c r="AZ67" i="4" s="1"/>
  <c r="AZ24" i="4"/>
  <c r="AZ45" i="2"/>
  <c r="AZ46" i="2"/>
  <c r="J10" i="5"/>
  <c r="J11" i="5" s="1"/>
  <c r="AZ10" i="4"/>
  <c r="AZ21" i="2"/>
  <c r="AZ20" i="2"/>
  <c r="BC159" i="2"/>
  <c r="BC64" i="4" s="1"/>
  <c r="BC26" i="2"/>
  <c r="BC45" i="2"/>
  <c r="BC131" i="2"/>
  <c r="BC173" i="2"/>
  <c r="BC79" i="4" s="1"/>
  <c r="BC148" i="2"/>
  <c r="BC54" i="4" s="1"/>
  <c r="AZ113" i="4"/>
  <c r="AZ234" i="2"/>
  <c r="AX65" i="4"/>
  <c r="AZ160" i="2"/>
  <c r="AZ65" i="4" s="1"/>
  <c r="J13" i="5"/>
  <c r="J14" i="5" s="1"/>
  <c r="AZ12" i="4"/>
  <c r="AZ27" i="2"/>
  <c r="AZ26" i="2"/>
  <c r="J8" i="5"/>
  <c r="I33" i="5"/>
  <c r="I28" i="5"/>
  <c r="I29" i="5" s="1"/>
  <c r="L4" i="5"/>
  <c r="L6" i="5"/>
  <c r="M5" i="5"/>
  <c r="AX241" i="2"/>
  <c r="AX128" i="4" s="1"/>
  <c r="AX121" i="4"/>
  <c r="AX64" i="4"/>
  <c r="AZ159" i="2"/>
  <c r="AZ64" i="4" s="1"/>
  <c r="BC20" i="2"/>
  <c r="BC161" i="2"/>
  <c r="BC66" i="4" s="1"/>
  <c r="AY241" i="2"/>
  <c r="AY128" i="4" s="1"/>
  <c r="AY121" i="4"/>
  <c r="AZ74" i="4"/>
  <c r="F33" i="1"/>
  <c r="F34" i="1" s="1"/>
  <c r="AZ173" i="2"/>
  <c r="AZ79" i="4" s="1"/>
  <c r="AZ267" i="2"/>
  <c r="BC160" i="2"/>
  <c r="BC65" i="4" s="1"/>
  <c r="AX63" i="4"/>
  <c r="AZ158" i="2"/>
  <c r="AZ8" i="4"/>
  <c r="F23" i="1"/>
  <c r="AU115" i="2"/>
  <c r="AT117" i="2"/>
  <c r="Q261" i="2"/>
  <c r="Q260" i="2"/>
  <c r="Q92" i="2"/>
  <c r="Q93" i="2" s="1"/>
  <c r="Q70" i="2"/>
  <c r="Q38" i="4" s="1"/>
  <c r="Q72" i="2"/>
  <c r="Q198" i="2"/>
  <c r="V70" i="2"/>
  <c r="V38" i="4" s="1"/>
  <c r="AQ138" i="2"/>
  <c r="AA137" i="2"/>
  <c r="AA136" i="2"/>
  <c r="AP137" i="2"/>
  <c r="AE290" i="2"/>
  <c r="AE291" i="2" s="1"/>
  <c r="BC255" i="2"/>
  <c r="BD227" i="2"/>
  <c r="BC234" i="2"/>
  <c r="V137" i="2"/>
  <c r="V136" i="2"/>
  <c r="T195" i="2"/>
  <c r="U192" i="2"/>
  <c r="U193" i="2" s="1"/>
  <c r="U195" i="2" s="1"/>
  <c r="BB297" i="2"/>
  <c r="BC76" i="2"/>
  <c r="BB75" i="2"/>
  <c r="BB296" i="2" s="1"/>
  <c r="W138" i="2"/>
  <c r="AB138" i="2"/>
  <c r="AF195" i="2"/>
  <c r="AK192" i="2"/>
  <c r="AK193" i="2" s="1"/>
  <c r="AG192" i="2"/>
  <c r="AG193" i="2" s="1"/>
  <c r="BD245" i="2"/>
  <c r="L260" i="2"/>
  <c r="L261" i="2"/>
  <c r="L92" i="2"/>
  <c r="L93" i="2" s="1"/>
  <c r="L72" i="2"/>
  <c r="L43" i="4" s="1"/>
  <c r="L70" i="2"/>
  <c r="L38" i="4" s="1"/>
  <c r="L198" i="2"/>
  <c r="AU61" i="2"/>
  <c r="AT67" i="2"/>
  <c r="AU60" i="2"/>
  <c r="AF136" i="2"/>
  <c r="BB259" i="2"/>
  <c r="AV117" i="2"/>
  <c r="BE93" i="3"/>
  <c r="BE94" i="3" s="1"/>
  <c r="BE85" i="3"/>
  <c r="BE98" i="3"/>
  <c r="BG31" i="2" l="1"/>
  <c r="BD19" i="2"/>
  <c r="BD10" i="4" s="1"/>
  <c r="BD226" i="2"/>
  <c r="BD115" i="4" s="1"/>
  <c r="BD212" i="2"/>
  <c r="BD102" i="4" s="1"/>
  <c r="AU136" i="2"/>
  <c r="AU137" i="2"/>
  <c r="BD25" i="2"/>
  <c r="BE25" i="2" s="1"/>
  <c r="BD44" i="2"/>
  <c r="BD24" i="4" s="1"/>
  <c r="BD31" i="2"/>
  <c r="BE31" i="2" s="1"/>
  <c r="BD211" i="2"/>
  <c r="BF159" i="2" s="1"/>
  <c r="BF64" i="4" s="1"/>
  <c r="BD16" i="2"/>
  <c r="BD209" i="2"/>
  <c r="BD99" i="4" s="1"/>
  <c r="BE15" i="2"/>
  <c r="BD215" i="2"/>
  <c r="BD105" i="4" s="1"/>
  <c r="BD168" i="2"/>
  <c r="BD74" i="4" s="1"/>
  <c r="BD224" i="2"/>
  <c r="BE224" i="2" s="1"/>
  <c r="BE113" i="4" s="1"/>
  <c r="BG25" i="2"/>
  <c r="BG26" i="2" s="1"/>
  <c r="BD7" i="4"/>
  <c r="BC299" i="2"/>
  <c r="BC58" i="4"/>
  <c r="BI104" i="2"/>
  <c r="BD125" i="2"/>
  <c r="BD152" i="2"/>
  <c r="BE152" i="2" s="1"/>
  <c r="BD97" i="2"/>
  <c r="BE104" i="2"/>
  <c r="BJ101" i="3"/>
  <c r="BJ88" i="3"/>
  <c r="AV27" i="4"/>
  <c r="AV20" i="4"/>
  <c r="AV41" i="4"/>
  <c r="AU298" i="2"/>
  <c r="AT41" i="4"/>
  <c r="J48" i="5"/>
  <c r="J49" i="5" s="1"/>
  <c r="AZ299" i="2"/>
  <c r="BI111" i="2"/>
  <c r="D31" i="1"/>
  <c r="AY114" i="2"/>
  <c r="AZ114" i="2" s="1"/>
  <c r="Y192" i="2"/>
  <c r="Y193" i="2" s="1"/>
  <c r="Y195" i="2" s="1"/>
  <c r="AY132" i="2"/>
  <c r="AZ132" i="2" s="1"/>
  <c r="J31" i="5" s="1"/>
  <c r="J32" i="5" s="1"/>
  <c r="C31" i="1"/>
  <c r="BH13" i="4"/>
  <c r="AC192" i="2"/>
  <c r="AC193" i="2" s="1"/>
  <c r="AD192" i="2" s="1"/>
  <c r="AD193" i="2" s="1"/>
  <c r="BF245" i="2"/>
  <c r="BD130" i="4"/>
  <c r="BF239" i="2"/>
  <c r="BF126" i="4" s="1"/>
  <c r="BD126" i="4"/>
  <c r="BF225" i="2"/>
  <c r="BF114" i="4" s="1"/>
  <c r="BD114" i="4"/>
  <c r="BD243" i="2"/>
  <c r="BC135" i="4"/>
  <c r="BD125" i="4"/>
  <c r="BF238" i="2"/>
  <c r="BE238" i="2"/>
  <c r="BE125" i="4" s="1"/>
  <c r="BD110" i="4"/>
  <c r="BF220" i="2"/>
  <c r="BE220" i="2"/>
  <c r="BE110" i="4" s="1"/>
  <c r="BD103" i="4"/>
  <c r="BF213" i="2"/>
  <c r="BE213" i="2"/>
  <c r="BE103" i="4" s="1"/>
  <c r="BD127" i="4"/>
  <c r="BF240" i="2"/>
  <c r="BE240" i="2"/>
  <c r="BE127" i="4" s="1"/>
  <c r="BD124" i="4"/>
  <c r="BE237" i="2"/>
  <c r="BD122" i="4"/>
  <c r="BE235" i="2"/>
  <c r="BE122" i="4" s="1"/>
  <c r="BF235" i="2"/>
  <c r="BF227" i="2"/>
  <c r="BF116" i="4" s="1"/>
  <c r="BD116" i="4"/>
  <c r="BF233" i="2"/>
  <c r="BF120" i="4" s="1"/>
  <c r="BD120" i="4"/>
  <c r="BD117" i="4"/>
  <c r="BE228" i="2"/>
  <c r="BE117" i="4" s="1"/>
  <c r="BF228" i="2"/>
  <c r="BC210" i="2"/>
  <c r="BB100" i="4"/>
  <c r="BH32" i="2"/>
  <c r="BJ219" i="2"/>
  <c r="BJ109" i="4" s="1"/>
  <c r="BI109" i="4"/>
  <c r="BD118" i="4"/>
  <c r="BE231" i="2"/>
  <c r="BE118" i="4" s="1"/>
  <c r="BF231" i="2"/>
  <c r="AP44" i="4"/>
  <c r="BD119" i="4"/>
  <c r="BE232" i="2"/>
  <c r="BE119" i="4" s="1"/>
  <c r="BF232" i="2"/>
  <c r="AZ58" i="4"/>
  <c r="BG19" i="2"/>
  <c r="BG10" i="4" s="1"/>
  <c r="BF25" i="2"/>
  <c r="BF12" i="4" s="1"/>
  <c r="BG236" i="2"/>
  <c r="BF123" i="4"/>
  <c r="BA112" i="2"/>
  <c r="BA132" i="2" s="1"/>
  <c r="BA57" i="2"/>
  <c r="BA31" i="4" s="1"/>
  <c r="BC216" i="2"/>
  <c r="BC217" i="2"/>
  <c r="BD217" i="2" s="1"/>
  <c r="BF217" i="2" s="1"/>
  <c r="BG217" i="2" s="1"/>
  <c r="BH217" i="2" s="1"/>
  <c r="BD108" i="4"/>
  <c r="BE218" i="2"/>
  <c r="BE108" i="4" s="1"/>
  <c r="BF218" i="2"/>
  <c r="BI33" i="2"/>
  <c r="BI15" i="4" s="1"/>
  <c r="AW52" i="4"/>
  <c r="AW60" i="2"/>
  <c r="AW61" i="2"/>
  <c r="BF33" i="2"/>
  <c r="BF31" i="2" s="1"/>
  <c r="BF32" i="2" s="1"/>
  <c r="AW28" i="4"/>
  <c r="BI28" i="2"/>
  <c r="BI27" i="2" s="1"/>
  <c r="BI24" i="2"/>
  <c r="BI21" i="2" s="1"/>
  <c r="BH20" i="2"/>
  <c r="AW136" i="2"/>
  <c r="AW137" i="2"/>
  <c r="AW138" i="2" s="1"/>
  <c r="AX133" i="2"/>
  <c r="AX135" i="2" s="1"/>
  <c r="AX40" i="4" s="1"/>
  <c r="BH159" i="2"/>
  <c r="BH64" i="4" s="1"/>
  <c r="BF19" i="2"/>
  <c r="BF10" i="4" s="1"/>
  <c r="BH160" i="2"/>
  <c r="BH65" i="4" s="1"/>
  <c r="BC241" i="2"/>
  <c r="BC128" i="4" s="1"/>
  <c r="BC121" i="4"/>
  <c r="BD12" i="4"/>
  <c r="K7" i="5"/>
  <c r="BB41" i="2"/>
  <c r="BB20" i="4" s="1"/>
  <c r="BB19" i="4"/>
  <c r="BI7" i="4"/>
  <c r="AZ63" i="4"/>
  <c r="J46" i="5"/>
  <c r="J47" i="5" s="1"/>
  <c r="BD249" i="2"/>
  <c r="BC134" i="4"/>
  <c r="BD173" i="2"/>
  <c r="BD79" i="4" s="1"/>
  <c r="BC110" i="2"/>
  <c r="BC17" i="4"/>
  <c r="BB50" i="2"/>
  <c r="BB26" i="4"/>
  <c r="BF161" i="2"/>
  <c r="BF66" i="4" s="1"/>
  <c r="J25" i="5"/>
  <c r="J43" i="5" s="1"/>
  <c r="J42" i="5"/>
  <c r="BA259" i="2"/>
  <c r="BA17" i="4"/>
  <c r="BB127" i="2"/>
  <c r="BB22" i="4"/>
  <c r="BH12" i="4"/>
  <c r="BH38" i="2"/>
  <c r="BH39" i="2" s="1"/>
  <c r="BH18" i="4" s="1"/>
  <c r="BG14" i="4"/>
  <c r="BG32" i="2"/>
  <c r="BH26" i="2"/>
  <c r="BD133" i="4"/>
  <c r="BF248" i="2"/>
  <c r="BE248" i="2"/>
  <c r="BE133" i="4" s="1"/>
  <c r="AX22" i="4"/>
  <c r="AX128" i="2"/>
  <c r="AX129" i="2" s="1"/>
  <c r="BB55" i="2"/>
  <c r="BB54" i="2" s="1"/>
  <c r="BB112" i="2" s="1"/>
  <c r="BI226" i="2"/>
  <c r="BI16" i="2"/>
  <c r="G39" i="5"/>
  <c r="AP136" i="2"/>
  <c r="BI44" i="2"/>
  <c r="BI24" i="4" s="1"/>
  <c r="BI224" i="2"/>
  <c r="BI113" i="4" s="1"/>
  <c r="BI209" i="2"/>
  <c r="BI212" i="2"/>
  <c r="BI102" i="4" s="1"/>
  <c r="BJ15" i="2"/>
  <c r="AK40" i="4"/>
  <c r="AK136" i="2"/>
  <c r="BB128" i="2"/>
  <c r="BB129" i="2" s="1"/>
  <c r="BB49" i="2"/>
  <c r="BB27" i="4" s="1"/>
  <c r="AP138" i="2"/>
  <c r="BB158" i="2"/>
  <c r="BB63" i="4" s="1"/>
  <c r="BF160" i="2"/>
  <c r="BF65" i="4" s="1"/>
  <c r="AZ259" i="2"/>
  <c r="AZ40" i="2"/>
  <c r="I23" i="1" s="1"/>
  <c r="AZ39" i="2"/>
  <c r="BG239" i="2"/>
  <c r="BG126" i="4" s="1"/>
  <c r="BF153" i="2"/>
  <c r="BF59" i="4" s="1"/>
  <c r="BJ85" i="3"/>
  <c r="BJ93" i="3"/>
  <c r="BJ94" i="3" s="1"/>
  <c r="BJ98" i="3"/>
  <c r="BJ97" i="3"/>
  <c r="BA110" i="2"/>
  <c r="BA48" i="2"/>
  <c r="BA40" i="2"/>
  <c r="BA124" i="2"/>
  <c r="BA126" i="2" s="1"/>
  <c r="BA39" i="2"/>
  <c r="BA18" i="4" s="1"/>
  <c r="AY127" i="2"/>
  <c r="AY128" i="2"/>
  <c r="AY129" i="2" s="1"/>
  <c r="BE44" i="2"/>
  <c r="BE215" i="2"/>
  <c r="BE105" i="4" s="1"/>
  <c r="BE226" i="2"/>
  <c r="BE115" i="4" s="1"/>
  <c r="AX59" i="2"/>
  <c r="AX61" i="2" s="1"/>
  <c r="AX298" i="2" s="1"/>
  <c r="AU138" i="2"/>
  <c r="AX49" i="2"/>
  <c r="AX27" i="4" s="1"/>
  <c r="AX50" i="2"/>
  <c r="AX28" i="4" s="1"/>
  <c r="AY59" i="2"/>
  <c r="AY33" i="4" s="1"/>
  <c r="BC39" i="2"/>
  <c r="BC18" i="4" s="1"/>
  <c r="BC48" i="2"/>
  <c r="AY19" i="4"/>
  <c r="AY50" i="2"/>
  <c r="AY28" i="4" s="1"/>
  <c r="AX19" i="4"/>
  <c r="AY49" i="2"/>
  <c r="AY27" i="4" s="1"/>
  <c r="AZ48" i="2"/>
  <c r="AZ15" i="4"/>
  <c r="AZ124" i="2"/>
  <c r="AZ126" i="2" s="1"/>
  <c r="AZ22" i="4" s="1"/>
  <c r="AZ110" i="2"/>
  <c r="BC40" i="2"/>
  <c r="BC124" i="2"/>
  <c r="BC126" i="2" s="1"/>
  <c r="F25" i="1"/>
  <c r="AZ43" i="2"/>
  <c r="AZ17" i="4"/>
  <c r="J20" i="5"/>
  <c r="J27" i="5" s="1"/>
  <c r="AM253" i="2"/>
  <c r="AM137" i="4"/>
  <c r="BD164" i="2"/>
  <c r="BE233" i="2"/>
  <c r="BE120" i="4" s="1"/>
  <c r="BE239" i="2"/>
  <c r="BE126" i="4" s="1"/>
  <c r="BD153" i="2"/>
  <c r="AN252" i="2"/>
  <c r="AN128" i="4"/>
  <c r="Q43" i="4"/>
  <c r="AN259" i="2"/>
  <c r="AN257" i="2"/>
  <c r="AN256" i="2"/>
  <c r="AN258" i="2" s="1"/>
  <c r="AN55" i="2"/>
  <c r="BE225" i="2"/>
  <c r="BE114" i="4" s="1"/>
  <c r="BD163" i="2"/>
  <c r="AV40" i="4"/>
  <c r="AV136" i="2"/>
  <c r="AV137" i="2"/>
  <c r="AV138" i="2" s="1"/>
  <c r="AZ11" i="4"/>
  <c r="AU29" i="4"/>
  <c r="AV33" i="4"/>
  <c r="AV60" i="2"/>
  <c r="AV61" i="2"/>
  <c r="V138" i="2"/>
  <c r="AF138" i="2"/>
  <c r="AZ13" i="4"/>
  <c r="AZ25" i="4"/>
  <c r="AV51" i="2"/>
  <c r="AV28" i="4"/>
  <c r="BD161" i="2"/>
  <c r="AX106" i="4"/>
  <c r="BE111" i="2"/>
  <c r="AU62" i="2"/>
  <c r="AU97" i="2" s="1"/>
  <c r="AU34" i="4"/>
  <c r="BD131" i="2"/>
  <c r="BE131" i="2" s="1"/>
  <c r="K24" i="5" s="1"/>
  <c r="AX41" i="4"/>
  <c r="AX146" i="2"/>
  <c r="AX118" i="2"/>
  <c r="AX47" i="4" s="1"/>
  <c r="AX121" i="2"/>
  <c r="K56" i="5"/>
  <c r="M6" i="5"/>
  <c r="N5" i="5"/>
  <c r="M4" i="5"/>
  <c r="AZ241" i="2"/>
  <c r="AZ121" i="4"/>
  <c r="AX107" i="4"/>
  <c r="BE148" i="2"/>
  <c r="BE54" i="4" s="1"/>
  <c r="AW190" i="2"/>
  <c r="AW94" i="4" s="1"/>
  <c r="AW71" i="4"/>
  <c r="BB57" i="2"/>
  <c r="Z192" i="2"/>
  <c r="Z193" i="2" s="1"/>
  <c r="Z195" i="2" s="1"/>
  <c r="AT68" i="2"/>
  <c r="AU67" i="2"/>
  <c r="I35" i="5" s="1"/>
  <c r="I36" i="5" s="1"/>
  <c r="I50" i="5" s="1"/>
  <c r="AT69" i="2"/>
  <c r="AK195" i="2"/>
  <c r="AP192" i="2"/>
  <c r="AP193" i="2" s="1"/>
  <c r="AL192" i="2"/>
  <c r="AL193" i="2" s="1"/>
  <c r="BC297" i="2"/>
  <c r="BC75" i="2"/>
  <c r="BC296" i="2" s="1"/>
  <c r="BD76" i="2"/>
  <c r="BF76" i="2" s="1"/>
  <c r="BC259" i="2"/>
  <c r="AT52" i="4"/>
  <c r="AT121" i="2"/>
  <c r="AT118" i="2"/>
  <c r="AU116" i="2"/>
  <c r="AU117" i="2"/>
  <c r="AV146" i="2"/>
  <c r="AV52" i="4" s="1"/>
  <c r="AV121" i="2"/>
  <c r="AV118" i="2"/>
  <c r="BE245" i="2"/>
  <c r="BE130" i="4" s="1"/>
  <c r="AG195" i="2"/>
  <c r="AH192" i="2"/>
  <c r="AH193" i="2" s="1"/>
  <c r="BD255" i="2"/>
  <c r="BE227" i="2"/>
  <c r="BE116" i="4" s="1"/>
  <c r="AA138" i="2"/>
  <c r="Q73" i="2"/>
  <c r="V73" i="2"/>
  <c r="V44" i="4" s="1"/>
  <c r="BD159" i="2" l="1"/>
  <c r="BI211" i="2"/>
  <c r="BI101" i="4" s="1"/>
  <c r="BD101" i="4"/>
  <c r="BD160" i="2"/>
  <c r="BE211" i="2"/>
  <c r="BE101" i="4" s="1"/>
  <c r="BI215" i="2"/>
  <c r="BI105" i="4" s="1"/>
  <c r="BD26" i="2"/>
  <c r="BE212" i="2"/>
  <c r="BE102" i="4" s="1"/>
  <c r="BG12" i="4"/>
  <c r="BD8" i="4"/>
  <c r="BE16" i="2"/>
  <c r="BE8" i="4" s="1"/>
  <c r="BD20" i="2"/>
  <c r="BE19" i="2"/>
  <c r="BD162" i="2"/>
  <c r="BD45" i="2"/>
  <c r="BE168" i="2"/>
  <c r="K44" i="5" s="1"/>
  <c r="K45" i="5" s="1"/>
  <c r="BE209" i="2"/>
  <c r="BE99" i="4" s="1"/>
  <c r="BD216" i="2"/>
  <c r="BD38" i="2"/>
  <c r="BD17" i="4" s="1"/>
  <c r="BD14" i="4"/>
  <c r="BD113" i="4"/>
  <c r="BE7" i="4"/>
  <c r="BD32" i="2"/>
  <c r="BF162" i="2"/>
  <c r="BF67" i="4" s="1"/>
  <c r="BD234" i="2"/>
  <c r="BD121" i="4" s="1"/>
  <c r="BI125" i="2"/>
  <c r="BI152" i="2"/>
  <c r="BI97" i="2"/>
  <c r="BJ104" i="2"/>
  <c r="BJ125" i="2" s="1"/>
  <c r="BD58" i="4"/>
  <c r="BD299" i="2"/>
  <c r="BE299" i="2"/>
  <c r="BE58" i="4"/>
  <c r="BE125" i="2"/>
  <c r="AV29" i="4"/>
  <c r="AV298" i="2"/>
  <c r="BG227" i="2"/>
  <c r="BG116" i="4" s="1"/>
  <c r="BG225" i="2"/>
  <c r="BG114" i="4" s="1"/>
  <c r="BF163" i="2"/>
  <c r="BF68" i="4" s="1"/>
  <c r="AV47" i="4"/>
  <c r="BE24" i="4"/>
  <c r="AT47" i="4"/>
  <c r="AT295" i="2"/>
  <c r="AT37" i="4"/>
  <c r="AW34" i="4"/>
  <c r="AW298" i="2"/>
  <c r="AY115" i="2"/>
  <c r="AZ115" i="2" s="1"/>
  <c r="BG38" i="2"/>
  <c r="BG110" i="2" s="1"/>
  <c r="BF26" i="2"/>
  <c r="BI8" i="4"/>
  <c r="BA114" i="2"/>
  <c r="BA115" i="2" s="1"/>
  <c r="AY133" i="2"/>
  <c r="AZ133" i="2" s="1"/>
  <c r="AZ135" i="2" s="1"/>
  <c r="AZ40" i="4" s="1"/>
  <c r="AC195" i="2"/>
  <c r="BF234" i="2"/>
  <c r="BF121" i="4" s="1"/>
  <c r="BG233" i="2"/>
  <c r="BG120" i="4" s="1"/>
  <c r="BE124" i="4"/>
  <c r="BG237" i="2"/>
  <c r="BH237" i="2" s="1"/>
  <c r="BI237" i="2" s="1"/>
  <c r="BG213" i="2"/>
  <c r="BF103" i="4"/>
  <c r="BG238" i="2"/>
  <c r="BF125" i="4"/>
  <c r="BG240" i="2"/>
  <c r="BF127" i="4"/>
  <c r="BG220" i="2"/>
  <c r="BF110" i="4"/>
  <c r="BD135" i="4"/>
  <c r="BF243" i="2"/>
  <c r="BE243" i="2"/>
  <c r="BE135" i="4" s="1"/>
  <c r="BG245" i="2"/>
  <c r="BF130" i="4"/>
  <c r="BG235" i="2"/>
  <c r="BF122" i="4"/>
  <c r="BI31" i="2"/>
  <c r="BI32" i="2" s="1"/>
  <c r="BD210" i="2"/>
  <c r="BD158" i="2" s="1"/>
  <c r="BD63" i="4" s="1"/>
  <c r="BC100" i="4"/>
  <c r="BE163" i="2"/>
  <c r="BE68" i="4" s="1"/>
  <c r="BD68" i="4"/>
  <c r="BG228" i="2"/>
  <c r="BF117" i="4"/>
  <c r="BE164" i="2"/>
  <c r="BE69" i="4" s="1"/>
  <c r="BD69" i="4"/>
  <c r="BF255" i="2"/>
  <c r="BF164" i="2"/>
  <c r="BF69" i="4" s="1"/>
  <c r="BG20" i="2"/>
  <c r="BE153" i="2"/>
  <c r="BD59" i="4"/>
  <c r="BC158" i="2"/>
  <c r="BC63" i="4" s="1"/>
  <c r="BG232" i="2"/>
  <c r="BG255" i="2" s="1"/>
  <c r="BF119" i="4"/>
  <c r="BG231" i="2"/>
  <c r="BF118" i="4"/>
  <c r="BH236" i="2"/>
  <c r="BG123" i="4"/>
  <c r="BB59" i="2"/>
  <c r="BB33" i="4" s="1"/>
  <c r="BB31" i="4"/>
  <c r="BG218" i="2"/>
  <c r="BF108" i="4"/>
  <c r="BF14" i="4"/>
  <c r="BF15" i="4"/>
  <c r="BI11" i="4"/>
  <c r="BI19" i="2"/>
  <c r="BI10" i="4" s="1"/>
  <c r="AW67" i="2"/>
  <c r="AW69" i="2" s="1"/>
  <c r="AW37" i="4" s="1"/>
  <c r="AX136" i="2"/>
  <c r="BI13" i="4"/>
  <c r="BI25" i="2"/>
  <c r="AX137" i="2"/>
  <c r="AX138" i="2" s="1"/>
  <c r="BF20" i="2"/>
  <c r="BF38" i="2"/>
  <c r="BF110" i="2" s="1"/>
  <c r="BE12" i="4"/>
  <c r="K13" i="5"/>
  <c r="K14" i="5" s="1"/>
  <c r="BE10" i="4"/>
  <c r="K10" i="5"/>
  <c r="K11" i="5" s="1"/>
  <c r="K42" i="5"/>
  <c r="K25" i="5"/>
  <c r="K43" i="5" s="1"/>
  <c r="BC49" i="2"/>
  <c r="BC27" i="4" s="1"/>
  <c r="BC26" i="4"/>
  <c r="BA50" i="2"/>
  <c r="BA26" i="4"/>
  <c r="BB51" i="2"/>
  <c r="BB29" i="4" s="1"/>
  <c r="BB28" i="4"/>
  <c r="BF249" i="2"/>
  <c r="BD134" i="4"/>
  <c r="BE249" i="2"/>
  <c r="BE134" i="4" s="1"/>
  <c r="BE161" i="2"/>
  <c r="BE66" i="4" s="1"/>
  <c r="BD66" i="4"/>
  <c r="BE160" i="2"/>
  <c r="BE65" i="4" s="1"/>
  <c r="BD65" i="4"/>
  <c r="BC128" i="2"/>
  <c r="BC129" i="2" s="1"/>
  <c r="BC22" i="4"/>
  <c r="BE32" i="2"/>
  <c r="BE14" i="4"/>
  <c r="K16" i="5"/>
  <c r="K17" i="5" s="1"/>
  <c r="BJ209" i="2"/>
  <c r="BJ99" i="4" s="1"/>
  <c r="BI99" i="4"/>
  <c r="BJ226" i="2"/>
  <c r="BJ115" i="4" s="1"/>
  <c r="BI115" i="4"/>
  <c r="K8" i="5"/>
  <c r="BC41" i="2"/>
  <c r="BC20" i="4" s="1"/>
  <c r="BC19" i="4"/>
  <c r="BA127" i="2"/>
  <c r="BA22" i="4"/>
  <c r="BJ7" i="4"/>
  <c r="L7" i="5"/>
  <c r="BD241" i="2"/>
  <c r="BD128" i="4" s="1"/>
  <c r="BE162" i="2"/>
  <c r="BE67" i="4" s="1"/>
  <c r="BD67" i="4"/>
  <c r="BE159" i="2"/>
  <c r="BE64" i="4" s="1"/>
  <c r="BD64" i="4"/>
  <c r="BA41" i="2"/>
  <c r="BA20" i="4" s="1"/>
  <c r="BA19" i="4"/>
  <c r="BH17" i="4"/>
  <c r="BH124" i="2"/>
  <c r="BH126" i="2" s="1"/>
  <c r="BH127" i="2" s="1"/>
  <c r="BH48" i="2"/>
  <c r="BH49" i="2" s="1"/>
  <c r="BH27" i="4" s="1"/>
  <c r="BH40" i="2"/>
  <c r="BH19" i="4" s="1"/>
  <c r="BH110" i="2"/>
  <c r="BG248" i="2"/>
  <c r="BF133" i="4"/>
  <c r="BC55" i="2"/>
  <c r="BC54" i="2" s="1"/>
  <c r="BC57" i="2" s="1"/>
  <c r="BJ16" i="2"/>
  <c r="BJ224" i="2"/>
  <c r="BJ113" i="4" s="1"/>
  <c r="BI162" i="2"/>
  <c r="BJ212" i="2"/>
  <c r="BJ102" i="4" s="1"/>
  <c r="BI161" i="2"/>
  <c r="BI148" i="2"/>
  <c r="BI217" i="2" s="1"/>
  <c r="BJ111" i="2"/>
  <c r="BI131" i="2"/>
  <c r="BJ131" i="2" s="1"/>
  <c r="L24" i="5" s="1"/>
  <c r="BJ44" i="2"/>
  <c r="BI45" i="2"/>
  <c r="BG163" i="2"/>
  <c r="BG68" i="4" s="1"/>
  <c r="BH225" i="2"/>
  <c r="BH114" i="4" s="1"/>
  <c r="BJ215" i="2"/>
  <c r="BJ105" i="4" s="1"/>
  <c r="BI160" i="2"/>
  <c r="BJ211" i="2"/>
  <c r="BJ101" i="4" s="1"/>
  <c r="BI159" i="2"/>
  <c r="BG164" i="2"/>
  <c r="BG69" i="4" s="1"/>
  <c r="BH239" i="2"/>
  <c r="BH126" i="4" s="1"/>
  <c r="BG153" i="2"/>
  <c r="BG59" i="4" s="1"/>
  <c r="BH227" i="2"/>
  <c r="BH116" i="4" s="1"/>
  <c r="BF75" i="2"/>
  <c r="BF296" i="2" s="1"/>
  <c r="BG76" i="2"/>
  <c r="BA49" i="2"/>
  <c r="BA27" i="4" s="1"/>
  <c r="BA59" i="2"/>
  <c r="BA128" i="2"/>
  <c r="BA129" i="2" s="1"/>
  <c r="AX33" i="4"/>
  <c r="AX60" i="2"/>
  <c r="AY61" i="2"/>
  <c r="AY60" i="2"/>
  <c r="BE33" i="2"/>
  <c r="AX51" i="2"/>
  <c r="AX29" i="4" s="1"/>
  <c r="BE45" i="2"/>
  <c r="BE46" i="2"/>
  <c r="BF297" i="2"/>
  <c r="BC50" i="2"/>
  <c r="F27" i="1"/>
  <c r="BC127" i="2"/>
  <c r="AZ127" i="2"/>
  <c r="AZ128" i="2"/>
  <c r="AZ129" i="2" s="1"/>
  <c r="AZ49" i="2"/>
  <c r="AZ50" i="2"/>
  <c r="AY51" i="2"/>
  <c r="AY29" i="4" s="1"/>
  <c r="AZ59" i="2"/>
  <c r="AZ33" i="4" s="1"/>
  <c r="AZ26" i="4"/>
  <c r="AZ18" i="4"/>
  <c r="AZ19" i="4"/>
  <c r="F26" i="1"/>
  <c r="J21" i="5"/>
  <c r="J22" i="5" s="1"/>
  <c r="AZ41" i="2"/>
  <c r="AN253" i="2"/>
  <c r="AN137" i="4"/>
  <c r="AU41" i="4"/>
  <c r="AV34" i="4"/>
  <c r="AV67" i="2"/>
  <c r="AT35" i="4"/>
  <c r="BE27" i="2"/>
  <c r="BE26" i="2"/>
  <c r="AY107" i="4"/>
  <c r="AZ217" i="2"/>
  <c r="AZ107" i="4" s="1"/>
  <c r="BE21" i="2"/>
  <c r="BE20" i="2"/>
  <c r="BE38" i="2"/>
  <c r="I37" i="5"/>
  <c r="I51" i="5" s="1"/>
  <c r="AZ128" i="4"/>
  <c r="F42" i="1"/>
  <c r="J28" i="5"/>
  <c r="J29" i="5" s="1"/>
  <c r="J33" i="5"/>
  <c r="L56" i="5"/>
  <c r="N4" i="5"/>
  <c r="N6" i="5"/>
  <c r="O5" i="5"/>
  <c r="AX165" i="2"/>
  <c r="AX52" i="4"/>
  <c r="BD110" i="2"/>
  <c r="AX67" i="2"/>
  <c r="AX34" i="4"/>
  <c r="AY106" i="4"/>
  <c r="AZ216" i="2"/>
  <c r="AZ106" i="4" s="1"/>
  <c r="BA133" i="2"/>
  <c r="BA135" i="2" s="1"/>
  <c r="BA40" i="4" s="1"/>
  <c r="BD259" i="2"/>
  <c r="AU118" i="2"/>
  <c r="AU121" i="2"/>
  <c r="AD195" i="2"/>
  <c r="AE192" i="2"/>
  <c r="AE193" i="2" s="1"/>
  <c r="AE195" i="2" s="1"/>
  <c r="AL195" i="2"/>
  <c r="AM192" i="2"/>
  <c r="AM193" i="2" s="1"/>
  <c r="AU68" i="2"/>
  <c r="AU69" i="2"/>
  <c r="BE255" i="2"/>
  <c r="BE234" i="2"/>
  <c r="AH195" i="2"/>
  <c r="AI192" i="2"/>
  <c r="AI193" i="2" s="1"/>
  <c r="AV165" i="2"/>
  <c r="AT165" i="2"/>
  <c r="AU146" i="2"/>
  <c r="BD297" i="2"/>
  <c r="BD75" i="2"/>
  <c r="BD296" i="2" s="1"/>
  <c r="BE76" i="2"/>
  <c r="AP195" i="2"/>
  <c r="AU192" i="2"/>
  <c r="AQ192" i="2"/>
  <c r="AQ193" i="2" s="1"/>
  <c r="AT96" i="2"/>
  <c r="AT98" i="2" s="1"/>
  <c r="AT99" i="2" s="1"/>
  <c r="AT46" i="4" s="1"/>
  <c r="AT92" i="2"/>
  <c r="AT93" i="2" s="1"/>
  <c r="AT72" i="2"/>
  <c r="AT70" i="2"/>
  <c r="BB132" i="2"/>
  <c r="BB114" i="2"/>
  <c r="BB115" i="2" s="1"/>
  <c r="BD48" i="2" l="1"/>
  <c r="BD26" i="4" s="1"/>
  <c r="BD40" i="2"/>
  <c r="BD41" i="2" s="1"/>
  <c r="BD20" i="4" s="1"/>
  <c r="BD39" i="2"/>
  <c r="BD18" i="4" s="1"/>
  <c r="BD124" i="2"/>
  <c r="BD126" i="2" s="1"/>
  <c r="BD22" i="4" s="1"/>
  <c r="BE267" i="2"/>
  <c r="BF267" i="2" s="1"/>
  <c r="BE74" i="4"/>
  <c r="BE173" i="2"/>
  <c r="BE79" i="4" s="1"/>
  <c r="BI58" i="4"/>
  <c r="BI299" i="2"/>
  <c r="BJ152" i="2"/>
  <c r="AY117" i="2"/>
  <c r="AY41" i="4" s="1"/>
  <c r="BG40" i="2"/>
  <c r="BG41" i="2" s="1"/>
  <c r="BG20" i="4" s="1"/>
  <c r="BG17" i="4"/>
  <c r="BG48" i="2"/>
  <c r="BG49" i="2" s="1"/>
  <c r="BG27" i="4" s="1"/>
  <c r="BG124" i="2"/>
  <c r="BG126" i="2" s="1"/>
  <c r="BG128" i="2" s="1"/>
  <c r="BG129" i="2" s="1"/>
  <c r="BG39" i="2"/>
  <c r="BG18" i="4" s="1"/>
  <c r="BG259" i="2"/>
  <c r="AT132" i="4"/>
  <c r="BE15" i="4"/>
  <c r="BE11" i="4"/>
  <c r="BE13" i="4"/>
  <c r="BE25" i="4"/>
  <c r="AT38" i="4"/>
  <c r="AU295" i="2"/>
  <c r="AY34" i="4"/>
  <c r="AY298" i="2"/>
  <c r="BJ8" i="4"/>
  <c r="BG267" i="2"/>
  <c r="BF168" i="2"/>
  <c r="BC112" i="2"/>
  <c r="BC132" i="2" s="1"/>
  <c r="AY135" i="2"/>
  <c r="AY40" i="4" s="1"/>
  <c r="BF241" i="2"/>
  <c r="BF128" i="4" s="1"/>
  <c r="BJ31" i="2"/>
  <c r="BJ32" i="2" s="1"/>
  <c r="BB60" i="2"/>
  <c r="BH233" i="2"/>
  <c r="BH120" i="4" s="1"/>
  <c r="BF124" i="4"/>
  <c r="BI14" i="4"/>
  <c r="BH245" i="2"/>
  <c r="BG130" i="4"/>
  <c r="BG243" i="2"/>
  <c r="BF135" i="4"/>
  <c r="BG234" i="2"/>
  <c r="BG121" i="4" s="1"/>
  <c r="BH220" i="2"/>
  <c r="BG110" i="4"/>
  <c r="BH240" i="2"/>
  <c r="BG127" i="4"/>
  <c r="BG124" i="4"/>
  <c r="BH238" i="2"/>
  <c r="BG125" i="4"/>
  <c r="BH213" i="2"/>
  <c r="BG103" i="4"/>
  <c r="BH235" i="2"/>
  <c r="BG122" i="4"/>
  <c r="BH231" i="2"/>
  <c r="BG118" i="4"/>
  <c r="BE158" i="2"/>
  <c r="BE63" i="4" s="1"/>
  <c r="K48" i="5"/>
  <c r="K49" i="5" s="1"/>
  <c r="BE59" i="4"/>
  <c r="BH228" i="2"/>
  <c r="BG117" i="4"/>
  <c r="BH232" i="2"/>
  <c r="BG119" i="4"/>
  <c r="BE210" i="2"/>
  <c r="BD100" i="4"/>
  <c r="BJ19" i="2"/>
  <c r="BJ21" i="2" s="1"/>
  <c r="BJ11" i="4" s="1"/>
  <c r="BI20" i="2"/>
  <c r="BI38" i="2"/>
  <c r="BI17" i="4" s="1"/>
  <c r="BI26" i="2"/>
  <c r="BB61" i="2"/>
  <c r="BB67" i="2" s="1"/>
  <c r="BB68" i="2" s="1"/>
  <c r="BI236" i="2"/>
  <c r="BH123" i="4"/>
  <c r="BC59" i="2"/>
  <c r="BC33" i="4" s="1"/>
  <c r="BC31" i="4"/>
  <c r="BH218" i="2"/>
  <c r="BG108" i="4"/>
  <c r="BJ25" i="2"/>
  <c r="BJ27" i="2" s="1"/>
  <c r="BJ13" i="4" s="1"/>
  <c r="BI12" i="4"/>
  <c r="AW72" i="2"/>
  <c r="AW68" i="2"/>
  <c r="AW295" i="2" s="1"/>
  <c r="AW70" i="2"/>
  <c r="AW38" i="4" s="1"/>
  <c r="AW96" i="2"/>
  <c r="AW98" i="2" s="1"/>
  <c r="AW99" i="2" s="1"/>
  <c r="AW46" i="4" s="1"/>
  <c r="AZ134" i="2"/>
  <c r="BH41" i="2"/>
  <c r="BH20" i="4" s="1"/>
  <c r="BF17" i="4"/>
  <c r="BF39" i="2"/>
  <c r="BF18" i="4" s="1"/>
  <c r="BF40" i="2"/>
  <c r="BF124" i="2"/>
  <c r="BF126" i="2" s="1"/>
  <c r="BF48" i="2"/>
  <c r="BF259" i="2"/>
  <c r="K20" i="5"/>
  <c r="K21" i="5" s="1"/>
  <c r="K22" i="5" s="1"/>
  <c r="BE17" i="4"/>
  <c r="BA107" i="4"/>
  <c r="BA60" i="2"/>
  <c r="BA33" i="4"/>
  <c r="BJ46" i="2"/>
  <c r="BJ25" i="4" s="1"/>
  <c r="BJ24" i="4"/>
  <c r="BH22" i="4"/>
  <c r="BH128" i="2"/>
  <c r="BH129" i="2" s="1"/>
  <c r="BJ160" i="2"/>
  <c r="BJ65" i="4" s="1"/>
  <c r="BI65" i="4"/>
  <c r="L42" i="5"/>
  <c r="L25" i="5"/>
  <c r="BG249" i="2"/>
  <c r="BF134" i="4"/>
  <c r="BE241" i="2"/>
  <c r="BE128" i="4" s="1"/>
  <c r="BE121" i="4"/>
  <c r="BC51" i="2"/>
  <c r="BC29" i="4" s="1"/>
  <c r="BC28" i="4"/>
  <c r="BJ162" i="2"/>
  <c r="BJ67" i="4" s="1"/>
  <c r="BI67" i="4"/>
  <c r="BA106" i="4"/>
  <c r="BJ159" i="2"/>
  <c r="BJ64" i="4" s="1"/>
  <c r="BI64" i="4"/>
  <c r="BJ148" i="2"/>
  <c r="BJ54" i="4" s="1"/>
  <c r="BI54" i="4"/>
  <c r="BJ161" i="2"/>
  <c r="BJ66" i="4" s="1"/>
  <c r="BI66" i="4"/>
  <c r="BH26" i="4"/>
  <c r="BH50" i="2"/>
  <c r="BH28" i="4" s="1"/>
  <c r="L8" i="5"/>
  <c r="M8" i="5" s="1"/>
  <c r="N8" i="5" s="1"/>
  <c r="O8" i="5" s="1"/>
  <c r="P8" i="5" s="1"/>
  <c r="BA51" i="2"/>
  <c r="BA29" i="4" s="1"/>
  <c r="BA28" i="4"/>
  <c r="BH248" i="2"/>
  <c r="BG133" i="4"/>
  <c r="I52" i="5"/>
  <c r="BF55" i="2"/>
  <c r="BF54" i="2" s="1"/>
  <c r="BF57" i="2" s="1"/>
  <c r="BF31" i="4" s="1"/>
  <c r="BD55" i="2"/>
  <c r="BD54" i="2" s="1"/>
  <c r="BD57" i="2" s="1"/>
  <c r="BJ45" i="2"/>
  <c r="BH163" i="2"/>
  <c r="BH68" i="4" s="1"/>
  <c r="BI225" i="2"/>
  <c r="BI114" i="4" s="1"/>
  <c r="AY67" i="2"/>
  <c r="AY69" i="2" s="1"/>
  <c r="AY37" i="4" s="1"/>
  <c r="BI239" i="2"/>
  <c r="BI126" i="4" s="1"/>
  <c r="BH153" i="2"/>
  <c r="BH59" i="4" s="1"/>
  <c r="BI227" i="2"/>
  <c r="BI116" i="4" s="1"/>
  <c r="BG75" i="2"/>
  <c r="BG296" i="2" s="1"/>
  <c r="BH76" i="2"/>
  <c r="AZ61" i="2"/>
  <c r="BA61" i="2"/>
  <c r="BG297" i="2"/>
  <c r="AZ60" i="2"/>
  <c r="AZ27" i="4"/>
  <c r="AZ28" i="4"/>
  <c r="F28" i="1"/>
  <c r="AZ136" i="2"/>
  <c r="AZ137" i="2"/>
  <c r="AZ138" i="2" s="1"/>
  <c r="AZ51" i="2"/>
  <c r="AZ29" i="4" s="1"/>
  <c r="AZ20" i="4"/>
  <c r="AU37" i="4"/>
  <c r="AU47" i="4"/>
  <c r="AV69" i="2"/>
  <c r="AV68" i="2"/>
  <c r="AT190" i="2"/>
  <c r="AT94" i="4" s="1"/>
  <c r="AT71" i="4"/>
  <c r="AU35" i="4"/>
  <c r="BD127" i="2"/>
  <c r="BD128" i="2"/>
  <c r="BD129" i="2" s="1"/>
  <c r="AX190" i="2"/>
  <c r="AX94" i="4" s="1"/>
  <c r="AX71" i="4"/>
  <c r="M56" i="5"/>
  <c r="O6" i="5"/>
  <c r="P5" i="5"/>
  <c r="O4" i="5"/>
  <c r="AT73" i="2"/>
  <c r="AT43" i="4"/>
  <c r="AU165" i="2"/>
  <c r="AU71" i="4" s="1"/>
  <c r="AU52" i="4"/>
  <c r="AV190" i="2"/>
  <c r="AV94" i="4" s="1"/>
  <c r="AV71" i="4"/>
  <c r="AX68" i="2"/>
  <c r="AX295" i="2" s="1"/>
  <c r="AX69" i="2"/>
  <c r="BD50" i="2"/>
  <c r="BD49" i="2"/>
  <c r="BD27" i="4" s="1"/>
  <c r="BE124" i="2"/>
  <c r="BE126" i="2" s="1"/>
  <c r="BE22" i="4" s="1"/>
  <c r="BE48" i="2"/>
  <c r="BE40" i="2"/>
  <c r="BE110" i="2"/>
  <c r="BE43" i="2"/>
  <c r="BE39" i="2"/>
  <c r="BB117" i="2"/>
  <c r="BB41" i="4" s="1"/>
  <c r="BE297" i="2"/>
  <c r="BE75" i="2"/>
  <c r="AV247" i="2"/>
  <c r="AV132" i="4" s="1"/>
  <c r="AU247" i="2"/>
  <c r="AI195" i="2"/>
  <c r="AJ192" i="2"/>
  <c r="AJ193" i="2" s="1"/>
  <c r="AJ195" i="2" s="1"/>
  <c r="BB133" i="2"/>
  <c r="AQ195" i="2"/>
  <c r="AR192" i="2"/>
  <c r="AR193" i="2" s="1"/>
  <c r="AZ116" i="2"/>
  <c r="AZ117" i="2"/>
  <c r="BE259" i="2"/>
  <c r="BA117" i="2"/>
  <c r="BA41" i="4" s="1"/>
  <c r="AU70" i="2"/>
  <c r="AU96" i="2"/>
  <c r="AU98" i="2" s="1"/>
  <c r="AU99" i="2" s="1"/>
  <c r="AU92" i="2"/>
  <c r="AU93" i="2" s="1"/>
  <c r="AU72" i="2"/>
  <c r="AM195" i="2"/>
  <c r="AN192" i="2"/>
  <c r="AN193" i="2" s="1"/>
  <c r="BA137" i="2"/>
  <c r="BA138" i="2" s="1"/>
  <c r="BA136" i="2"/>
  <c r="BD19" i="4" l="1"/>
  <c r="BJ58" i="4"/>
  <c r="BJ299" i="2"/>
  <c r="AY118" i="2"/>
  <c r="AY47" i="4" s="1"/>
  <c r="AY146" i="2"/>
  <c r="AY52" i="4" s="1"/>
  <c r="AY121" i="2"/>
  <c r="BG19" i="4"/>
  <c r="BG50" i="2"/>
  <c r="BG51" i="2" s="1"/>
  <c r="BG29" i="4" s="1"/>
  <c r="BG127" i="2"/>
  <c r="BG22" i="4"/>
  <c r="BG26" i="4"/>
  <c r="AV295" i="2"/>
  <c r="AT250" i="2"/>
  <c r="AT261" i="2" s="1"/>
  <c r="AT131" i="4"/>
  <c r="AU246" i="2"/>
  <c r="AU131" i="4" s="1"/>
  <c r="AV246" i="2"/>
  <c r="AV250" i="2" s="1"/>
  <c r="AV136" i="4" s="1"/>
  <c r="BH164" i="2"/>
  <c r="BH69" i="4" s="1"/>
  <c r="BH255" i="2"/>
  <c r="BH259" i="2" s="1"/>
  <c r="BE296" i="2"/>
  <c r="BE18" i="4"/>
  <c r="AZ298" i="2"/>
  <c r="BF74" i="4"/>
  <c r="BF173" i="2"/>
  <c r="BF79" i="4" s="1"/>
  <c r="BF216" i="2"/>
  <c r="BH267" i="2"/>
  <c r="BG168" i="2"/>
  <c r="BC114" i="2"/>
  <c r="BC115" i="2" s="1"/>
  <c r="BC117" i="2" s="1"/>
  <c r="BC41" i="4" s="1"/>
  <c r="AY137" i="2"/>
  <c r="AY138" i="2" s="1"/>
  <c r="AY136" i="2"/>
  <c r="BJ14" i="4"/>
  <c r="BJ33" i="2"/>
  <c r="BJ15" i="4" s="1"/>
  <c r="L16" i="5"/>
  <c r="L17" i="5" s="1"/>
  <c r="M17" i="5" s="1"/>
  <c r="N17" i="5" s="1"/>
  <c r="O17" i="5" s="1"/>
  <c r="P17" i="5" s="1"/>
  <c r="Q17" i="5" s="1"/>
  <c r="BG241" i="2"/>
  <c r="BG128" i="4" s="1"/>
  <c r="BI233" i="2"/>
  <c r="BI120" i="4" s="1"/>
  <c r="BI110" i="2"/>
  <c r="BJ20" i="2"/>
  <c r="BJ10" i="4"/>
  <c r="BI40" i="2"/>
  <c r="BI41" i="2" s="1"/>
  <c r="BI20" i="4" s="1"/>
  <c r="L10" i="5"/>
  <c r="L11" i="5" s="1"/>
  <c r="M11" i="5" s="1"/>
  <c r="N11" i="5" s="1"/>
  <c r="O11" i="5" s="1"/>
  <c r="P11" i="5" s="1"/>
  <c r="Q11" i="5" s="1"/>
  <c r="BI213" i="2"/>
  <c r="BH103" i="4"/>
  <c r="BI238" i="2"/>
  <c r="BH125" i="4"/>
  <c r="BH124" i="4"/>
  <c r="BI240" i="2"/>
  <c r="BH127" i="4"/>
  <c r="BI220" i="2"/>
  <c r="BH110" i="4"/>
  <c r="BH243" i="2"/>
  <c r="BG135" i="4"/>
  <c r="BI245" i="2"/>
  <c r="BH130" i="4"/>
  <c r="BI235" i="2"/>
  <c r="BH122" i="4"/>
  <c r="BI39" i="2"/>
  <c r="BI18" i="4" s="1"/>
  <c r="BI232" i="2"/>
  <c r="BH119" i="4"/>
  <c r="BI48" i="2"/>
  <c r="BI49" i="2" s="1"/>
  <c r="BI27" i="4" s="1"/>
  <c r="K46" i="5"/>
  <c r="K47" i="5" s="1"/>
  <c r="BF210" i="2"/>
  <c r="BE100" i="4"/>
  <c r="BI228" i="2"/>
  <c r="BH117" i="4"/>
  <c r="BH234" i="2"/>
  <c r="BH241" i="2" s="1"/>
  <c r="BH128" i="4" s="1"/>
  <c r="BI124" i="2"/>
  <c r="BI126" i="2" s="1"/>
  <c r="BI128" i="2" s="1"/>
  <c r="BI129" i="2" s="1"/>
  <c r="BI231" i="2"/>
  <c r="BH118" i="4"/>
  <c r="BB298" i="2"/>
  <c r="BB34" i="4"/>
  <c r="L13" i="5"/>
  <c r="L14" i="5" s="1"/>
  <c r="M14" i="5" s="1"/>
  <c r="N14" i="5" s="1"/>
  <c r="O14" i="5" s="1"/>
  <c r="P14" i="5" s="1"/>
  <c r="Q14" i="5" s="1"/>
  <c r="BJ26" i="2"/>
  <c r="BC60" i="2"/>
  <c r="BC61" i="2"/>
  <c r="BC34" i="4" s="1"/>
  <c r="BJ236" i="2"/>
  <c r="BJ123" i="4" s="1"/>
  <c r="BI123" i="4"/>
  <c r="BD59" i="2"/>
  <c r="BD33" i="4" s="1"/>
  <c r="BD31" i="4"/>
  <c r="AW73" i="2"/>
  <c r="BI218" i="2"/>
  <c r="BH108" i="4"/>
  <c r="BJ38" i="2"/>
  <c r="BJ12" i="4"/>
  <c r="AW43" i="4"/>
  <c r="AW35" i="4"/>
  <c r="BG28" i="4"/>
  <c r="K27" i="5"/>
  <c r="K28" i="5" s="1"/>
  <c r="K29" i="5" s="1"/>
  <c r="BF59" i="2"/>
  <c r="BF60" i="2" s="1"/>
  <c r="BF19" i="4"/>
  <c r="BF41" i="2"/>
  <c r="BF20" i="4" s="1"/>
  <c r="BF26" i="4"/>
  <c r="BF49" i="2"/>
  <c r="BF27" i="4" s="1"/>
  <c r="BF50" i="2"/>
  <c r="BF22" i="4"/>
  <c r="BF128" i="2"/>
  <c r="BF129" i="2" s="1"/>
  <c r="BF127" i="2"/>
  <c r="M7" i="5"/>
  <c r="BB69" i="2"/>
  <c r="BB96" i="2" s="1"/>
  <c r="BB98" i="2" s="1"/>
  <c r="BB99" i="2" s="1"/>
  <c r="BB46" i="4" s="1"/>
  <c r="BH51" i="2"/>
  <c r="BH29" i="4" s="1"/>
  <c r="BB106" i="4"/>
  <c r="M25" i="5"/>
  <c r="M43" i="5" s="1"/>
  <c r="L43" i="5"/>
  <c r="BB295" i="2"/>
  <c r="BB35" i="4"/>
  <c r="BB107" i="4"/>
  <c r="BE26" i="4"/>
  <c r="BE41" i="2"/>
  <c r="BE19" i="4"/>
  <c r="BD51" i="2"/>
  <c r="BD29" i="4" s="1"/>
  <c r="BD28" i="4"/>
  <c r="BA67" i="2"/>
  <c r="BA68" i="2" s="1"/>
  <c r="BA34" i="4"/>
  <c r="BH249" i="2"/>
  <c r="BG134" i="4"/>
  <c r="BI248" i="2"/>
  <c r="BH133" i="4"/>
  <c r="BH55" i="2"/>
  <c r="BH54" i="2" s="1"/>
  <c r="BD112" i="2"/>
  <c r="BD114" i="2" s="1"/>
  <c r="BD115" i="2" s="1"/>
  <c r="BE54" i="2"/>
  <c r="BG55" i="2"/>
  <c r="BG54" i="2" s="1"/>
  <c r="BG112" i="2" s="1"/>
  <c r="BJ225" i="2"/>
  <c r="BJ114" i="4" s="1"/>
  <c r="BI163" i="2"/>
  <c r="BF112" i="2"/>
  <c r="BF132" i="2" s="1"/>
  <c r="AZ67" i="2"/>
  <c r="J35" i="5" s="1"/>
  <c r="J36" i="5" s="1"/>
  <c r="J50" i="5" s="1"/>
  <c r="AY68" i="2"/>
  <c r="AY295" i="2" s="1"/>
  <c r="BJ239" i="2"/>
  <c r="BJ126" i="4" s="1"/>
  <c r="BI153" i="2"/>
  <c r="BJ233" i="2"/>
  <c r="BJ120" i="4" s="1"/>
  <c r="BJ227" i="2"/>
  <c r="BJ116" i="4" s="1"/>
  <c r="BH75" i="2"/>
  <c r="BH296" i="2" s="1"/>
  <c r="BI76" i="2"/>
  <c r="BI75" i="2" s="1"/>
  <c r="BA298" i="2"/>
  <c r="AZ62" i="2"/>
  <c r="AZ97" i="2" s="1"/>
  <c r="AZ34" i="4"/>
  <c r="BH297" i="2"/>
  <c r="AU190" i="2"/>
  <c r="AU94" i="4" s="1"/>
  <c r="AU46" i="4"/>
  <c r="AT44" i="4"/>
  <c r="AV37" i="4"/>
  <c r="AV96" i="2"/>
  <c r="AV98" i="2" s="1"/>
  <c r="AV99" i="2" s="1"/>
  <c r="AV46" i="4" s="1"/>
  <c r="AV72" i="2"/>
  <c r="AV92" i="2"/>
  <c r="AV93" i="2" s="1"/>
  <c r="AV70" i="2"/>
  <c r="AU38" i="4"/>
  <c r="AU197" i="2"/>
  <c r="AZ41" i="4"/>
  <c r="AV35" i="4"/>
  <c r="AU132" i="4"/>
  <c r="BE49" i="2"/>
  <c r="BE50" i="2"/>
  <c r="AX35" i="4"/>
  <c r="N56" i="5"/>
  <c r="P4" i="5"/>
  <c r="P6" i="5"/>
  <c r="Q5" i="5"/>
  <c r="AU73" i="2"/>
  <c r="AU43" i="4"/>
  <c r="E30" i="1"/>
  <c r="BE127" i="2"/>
  <c r="BE128" i="2"/>
  <c r="BE129" i="2" s="1"/>
  <c r="AX37" i="4"/>
  <c r="AX96" i="2"/>
  <c r="AX98" i="2" s="1"/>
  <c r="AX99" i="2" s="1"/>
  <c r="AX46" i="4" s="1"/>
  <c r="AX72" i="2"/>
  <c r="AX70" i="2"/>
  <c r="AX38" i="4" s="1"/>
  <c r="AR195" i="2"/>
  <c r="AS192" i="2"/>
  <c r="AS193" i="2" s="1"/>
  <c r="BB135" i="2"/>
  <c r="BB40" i="4" s="1"/>
  <c r="AY70" i="2"/>
  <c r="AY38" i="4" s="1"/>
  <c r="AY96" i="2"/>
  <c r="AY98" i="2" s="1"/>
  <c r="AY99" i="2" s="1"/>
  <c r="AY46" i="4" s="1"/>
  <c r="AY92" i="2"/>
  <c r="AY93" i="2" s="1"/>
  <c r="AY72" i="2"/>
  <c r="AT257" i="2"/>
  <c r="AW247" i="2"/>
  <c r="BB146" i="2"/>
  <c r="BB121" i="2"/>
  <c r="BB118" i="2"/>
  <c r="BB47" i="4" s="1"/>
  <c r="AN195" i="2"/>
  <c r="AO192" i="2"/>
  <c r="AO193" i="2" s="1"/>
  <c r="AO195" i="2" s="1"/>
  <c r="BA118" i="2"/>
  <c r="BA47" i="4" s="1"/>
  <c r="BA146" i="2"/>
  <c r="BA52" i="4" s="1"/>
  <c r="BA121" i="2"/>
  <c r="AZ121" i="2"/>
  <c r="AZ118" i="2"/>
  <c r="BC133" i="2"/>
  <c r="AY165" i="2" l="1"/>
  <c r="AY71" i="4" s="1"/>
  <c r="AZ146" i="2"/>
  <c r="AZ165" i="2" s="1"/>
  <c r="AZ71" i="4" s="1"/>
  <c r="AV38" i="4"/>
  <c r="BE57" i="2"/>
  <c r="BE59" i="2" s="1"/>
  <c r="AV131" i="4"/>
  <c r="AW246" i="2"/>
  <c r="AW250" i="2" s="1"/>
  <c r="AU250" i="2"/>
  <c r="AU252" i="2" s="1"/>
  <c r="AU137" i="4" s="1"/>
  <c r="AT252" i="2"/>
  <c r="AT137" i="4" s="1"/>
  <c r="AT136" i="4"/>
  <c r="BI164" i="2"/>
  <c r="BI69" i="4" s="1"/>
  <c r="BE27" i="4"/>
  <c r="BE20" i="4"/>
  <c r="AW44" i="4"/>
  <c r="BG216" i="2"/>
  <c r="BC146" i="2"/>
  <c r="BC165" i="2" s="1"/>
  <c r="BG74" i="4"/>
  <c r="BG173" i="2"/>
  <c r="BG79" i="4" s="1"/>
  <c r="BC121" i="2"/>
  <c r="BC118" i="2"/>
  <c r="BC47" i="4" s="1"/>
  <c r="BI267" i="2"/>
  <c r="BI168" i="2" s="1"/>
  <c r="BH168" i="2"/>
  <c r="BE115" i="2"/>
  <c r="BI19" i="4"/>
  <c r="BH121" i="4"/>
  <c r="BD60" i="2"/>
  <c r="BJ245" i="2"/>
  <c r="BJ130" i="4" s="1"/>
  <c r="BI130" i="4"/>
  <c r="BI243" i="2"/>
  <c r="BH135" i="4"/>
  <c r="BJ220" i="2"/>
  <c r="BJ110" i="4" s="1"/>
  <c r="BI110" i="4"/>
  <c r="BJ240" i="2"/>
  <c r="BJ127" i="4" s="1"/>
  <c r="BI127" i="4"/>
  <c r="BJ237" i="2"/>
  <c r="BJ124" i="4" s="1"/>
  <c r="BI124" i="4"/>
  <c r="BJ238" i="2"/>
  <c r="BJ125" i="4" s="1"/>
  <c r="BI125" i="4"/>
  <c r="BJ213" i="2"/>
  <c r="BJ103" i="4" s="1"/>
  <c r="BI103" i="4"/>
  <c r="BI255" i="2"/>
  <c r="BI259" i="2" s="1"/>
  <c r="BJ235" i="2"/>
  <c r="BJ122" i="4" s="1"/>
  <c r="BI122" i="4"/>
  <c r="BJ153" i="2"/>
  <c r="BI59" i="4"/>
  <c r="BJ17" i="4"/>
  <c r="BJ231" i="2"/>
  <c r="BJ118" i="4" s="1"/>
  <c r="BI118" i="4"/>
  <c r="BJ228" i="2"/>
  <c r="BJ117" i="4" s="1"/>
  <c r="BI117" i="4"/>
  <c r="BI234" i="2"/>
  <c r="BI121" i="4" s="1"/>
  <c r="BJ164" i="2"/>
  <c r="BJ69" i="4" s="1"/>
  <c r="BJ163" i="2"/>
  <c r="BJ68" i="4" s="1"/>
  <c r="BI68" i="4"/>
  <c r="BI127" i="2"/>
  <c r="BI26" i="4"/>
  <c r="BI22" i="4"/>
  <c r="BF100" i="4"/>
  <c r="BG210" i="2"/>
  <c r="BF158" i="2"/>
  <c r="BF63" i="4" s="1"/>
  <c r="BJ232" i="2"/>
  <c r="BJ119" i="4" s="1"/>
  <c r="BI119" i="4"/>
  <c r="BI50" i="2"/>
  <c r="BI28" i="4" s="1"/>
  <c r="L20" i="5"/>
  <c r="L21" i="5" s="1"/>
  <c r="L22" i="5" s="1"/>
  <c r="BC67" i="2"/>
  <c r="BC68" i="2" s="1"/>
  <c r="BJ124" i="2"/>
  <c r="BJ126" i="2" s="1"/>
  <c r="BJ22" i="4" s="1"/>
  <c r="BC298" i="2"/>
  <c r="BJ110" i="2"/>
  <c r="BE112" i="2"/>
  <c r="BD132" i="2"/>
  <c r="BE132" i="2" s="1"/>
  <c r="K31" i="5" s="1"/>
  <c r="K32" i="5" s="1"/>
  <c r="BD61" i="2"/>
  <c r="BD67" i="2" s="1"/>
  <c r="BD68" i="2" s="1"/>
  <c r="BJ218" i="2"/>
  <c r="BJ108" i="4" s="1"/>
  <c r="BI108" i="4"/>
  <c r="BJ48" i="2"/>
  <c r="BJ49" i="2" s="1"/>
  <c r="BJ27" i="4" s="1"/>
  <c r="BJ39" i="2"/>
  <c r="BJ18" i="4" s="1"/>
  <c r="BJ40" i="2"/>
  <c r="BJ19" i="4" s="1"/>
  <c r="BJ43" i="2"/>
  <c r="BF61" i="2"/>
  <c r="BF34" i="4" s="1"/>
  <c r="BF33" i="4"/>
  <c r="BB72" i="2"/>
  <c r="M13" i="5"/>
  <c r="N7" i="5"/>
  <c r="N16" i="5" s="1"/>
  <c r="N25" i="5"/>
  <c r="N43" i="5" s="1"/>
  <c r="M16" i="5"/>
  <c r="M48" i="5"/>
  <c r="BF51" i="2"/>
  <c r="BF29" i="4" s="1"/>
  <c r="BF28" i="4"/>
  <c r="M24" i="5"/>
  <c r="M42" i="5" s="1"/>
  <c r="BB92" i="2"/>
  <c r="BB93" i="2" s="1"/>
  <c r="BA69" i="2"/>
  <c r="BA96" i="2" s="1"/>
  <c r="BA98" i="2" s="1"/>
  <c r="BA99" i="2" s="1"/>
  <c r="BA46" i="4" s="1"/>
  <c r="BB70" i="2"/>
  <c r="BB38" i="4" s="1"/>
  <c r="BB37" i="4"/>
  <c r="BB165" i="2"/>
  <c r="BB52" i="4"/>
  <c r="BA295" i="2"/>
  <c r="BA35" i="4"/>
  <c r="BC106" i="4"/>
  <c r="AW132" i="4"/>
  <c r="AX247" i="2"/>
  <c r="AX132" i="4" s="1"/>
  <c r="BE51" i="2"/>
  <c r="BE28" i="4"/>
  <c r="BI249" i="2"/>
  <c r="BH134" i="4"/>
  <c r="BC107" i="4"/>
  <c r="BJ248" i="2"/>
  <c r="BJ133" i="4" s="1"/>
  <c r="BI133" i="4"/>
  <c r="BI55" i="2"/>
  <c r="BI54" i="2" s="1"/>
  <c r="AZ69" i="2"/>
  <c r="AZ37" i="4" s="1"/>
  <c r="AZ68" i="2"/>
  <c r="BG57" i="2"/>
  <c r="BF114" i="2"/>
  <c r="BF115" i="2" s="1"/>
  <c r="BF117" i="2" s="1"/>
  <c r="AY35" i="4"/>
  <c r="J37" i="5"/>
  <c r="J51" i="5" s="1"/>
  <c r="J52" i="5" s="1"/>
  <c r="BF133" i="2"/>
  <c r="BF135" i="2" s="1"/>
  <c r="BF40" i="4" s="1"/>
  <c r="BH112" i="2"/>
  <c r="BH57" i="2"/>
  <c r="BG132" i="2"/>
  <c r="BG133" i="2" s="1"/>
  <c r="BG135" i="2" s="1"/>
  <c r="BG114" i="2"/>
  <c r="BG115" i="2" s="1"/>
  <c r="BJ76" i="2"/>
  <c r="BJ75" i="2" s="1"/>
  <c r="AU193" i="2"/>
  <c r="BI297" i="2"/>
  <c r="BI296" i="2"/>
  <c r="AZ47" i="4"/>
  <c r="AU198" i="2"/>
  <c r="AV73" i="2"/>
  <c r="AV43" i="4"/>
  <c r="BD117" i="2"/>
  <c r="BE114" i="2"/>
  <c r="AY190" i="2"/>
  <c r="AY94" i="4" s="1"/>
  <c r="AX73" i="2"/>
  <c r="AX43" i="4"/>
  <c r="AU44" i="4"/>
  <c r="E31" i="1"/>
  <c r="O56" i="5"/>
  <c r="Q6" i="5"/>
  <c r="R5" i="5"/>
  <c r="Q4" i="5"/>
  <c r="AY73" i="2"/>
  <c r="AY43" i="4"/>
  <c r="BC135" i="2"/>
  <c r="BC40" i="4" s="1"/>
  <c r="BA165" i="2"/>
  <c r="AV252" i="2"/>
  <c r="AV257" i="2"/>
  <c r="BB137" i="2"/>
  <c r="BB136" i="2"/>
  <c r="AS195" i="2"/>
  <c r="AT192" i="2"/>
  <c r="AT193" i="2" s="1"/>
  <c r="AZ52" i="4" l="1"/>
  <c r="BE116" i="2"/>
  <c r="AV137" i="4"/>
  <c r="BE31" i="4"/>
  <c r="AU136" i="4"/>
  <c r="AU261" i="2"/>
  <c r="AV261" i="2"/>
  <c r="AX246" i="2"/>
  <c r="AX250" i="2" s="1"/>
  <c r="AX136" i="4" s="1"/>
  <c r="AW131" i="4"/>
  <c r="E43" i="1"/>
  <c r="AU257" i="2"/>
  <c r="BJ234" i="2"/>
  <c r="BJ121" i="4" s="1"/>
  <c r="BE33" i="4"/>
  <c r="BE29" i="4"/>
  <c r="AZ35" i="4"/>
  <c r="AZ295" i="2"/>
  <c r="BC52" i="4"/>
  <c r="M10" i="5"/>
  <c r="M20" i="5" s="1"/>
  <c r="M27" i="5" s="1"/>
  <c r="M28" i="5" s="1"/>
  <c r="BB43" i="4"/>
  <c r="BI241" i="2"/>
  <c r="BI128" i="4" s="1"/>
  <c r="BH216" i="2"/>
  <c r="BI216" i="2" s="1"/>
  <c r="BH173" i="2"/>
  <c r="BH79" i="4" s="1"/>
  <c r="BH74" i="4"/>
  <c r="BI74" i="4"/>
  <c r="BI173" i="2"/>
  <c r="BI79" i="4" s="1"/>
  <c r="BJ168" i="2"/>
  <c r="BE117" i="2"/>
  <c r="BI51" i="2"/>
  <c r="BI29" i="4" s="1"/>
  <c r="O25" i="5"/>
  <c r="O43" i="5" s="1"/>
  <c r="BJ243" i="2"/>
  <c r="BJ135" i="4" s="1"/>
  <c r="BI135" i="4"/>
  <c r="BJ255" i="2"/>
  <c r="BJ259" i="2" s="1"/>
  <c r="BG158" i="2"/>
  <c r="BG100" i="4"/>
  <c r="BH210" i="2"/>
  <c r="L48" i="5"/>
  <c r="L49" i="5" s="1"/>
  <c r="BJ59" i="4"/>
  <c r="BC69" i="2"/>
  <c r="BC37" i="4" s="1"/>
  <c r="L27" i="5"/>
  <c r="L28" i="5" s="1"/>
  <c r="L29" i="5" s="1"/>
  <c r="BJ50" i="2"/>
  <c r="BJ51" i="2" s="1"/>
  <c r="BJ29" i="4" s="1"/>
  <c r="BE60" i="2"/>
  <c r="BJ128" i="2"/>
  <c r="BJ129" i="2" s="1"/>
  <c r="BJ127" i="2"/>
  <c r="BF67" i="2"/>
  <c r="BF68" i="2" s="1"/>
  <c r="BF35" i="4" s="1"/>
  <c r="BE61" i="2"/>
  <c r="BD298" i="2"/>
  <c r="BD34" i="4"/>
  <c r="K33" i="5"/>
  <c r="BD133" i="2"/>
  <c r="BE133" i="2" s="1"/>
  <c r="BE135" i="2" s="1"/>
  <c r="BE40" i="4" s="1"/>
  <c r="BG59" i="2"/>
  <c r="BG33" i="4" s="1"/>
  <c r="BG31" i="4"/>
  <c r="BH59" i="2"/>
  <c r="BH33" i="4" s="1"/>
  <c r="BH31" i="4"/>
  <c r="BJ41" i="2"/>
  <c r="BJ20" i="4" s="1"/>
  <c r="BJ26" i="4"/>
  <c r="BA92" i="2"/>
  <c r="BA93" i="2" s="1"/>
  <c r="BB73" i="2"/>
  <c r="O7" i="5"/>
  <c r="N13" i="5"/>
  <c r="N24" i="5"/>
  <c r="N42" i="5" s="1"/>
  <c r="N48" i="5"/>
  <c r="N10" i="5"/>
  <c r="BE67" i="2"/>
  <c r="K35" i="5" s="1"/>
  <c r="BA37" i="4"/>
  <c r="BA72" i="2"/>
  <c r="BA70" i="2"/>
  <c r="BA38" i="4" s="1"/>
  <c r="BD69" i="2"/>
  <c r="BD70" i="2" s="1"/>
  <c r="BD38" i="4" s="1"/>
  <c r="BF118" i="2"/>
  <c r="BF47" i="4" s="1"/>
  <c r="BF41" i="4"/>
  <c r="BA190" i="2"/>
  <c r="BA94" i="4" s="1"/>
  <c r="BA71" i="4"/>
  <c r="BD121" i="2"/>
  <c r="BD41" i="4"/>
  <c r="BG137" i="2"/>
  <c r="BG138" i="2" s="1"/>
  <c r="BG40" i="4"/>
  <c r="BJ249" i="2"/>
  <c r="BJ134" i="4" s="1"/>
  <c r="BI134" i="4"/>
  <c r="BD106" i="4"/>
  <c r="BE216" i="2"/>
  <c r="BE106" i="4" s="1"/>
  <c r="BC190" i="2"/>
  <c r="BC94" i="4" s="1"/>
  <c r="BC71" i="4"/>
  <c r="BC295" i="2"/>
  <c r="BC35" i="4"/>
  <c r="BD107" i="4"/>
  <c r="BE217" i="2"/>
  <c r="BE107" i="4" s="1"/>
  <c r="BB190" i="2"/>
  <c r="BB94" i="4" s="1"/>
  <c r="BB71" i="4"/>
  <c r="BD295" i="2"/>
  <c r="BD35" i="4"/>
  <c r="AZ72" i="2"/>
  <c r="AZ92" i="2"/>
  <c r="AZ93" i="2" s="1"/>
  <c r="AZ96" i="2"/>
  <c r="AZ98" i="2" s="1"/>
  <c r="AZ99" i="2" s="1"/>
  <c r="AZ70" i="2"/>
  <c r="BF298" i="2"/>
  <c r="BF121" i="2"/>
  <c r="BF146" i="2"/>
  <c r="BG136" i="2"/>
  <c r="BH132" i="2"/>
  <c r="BH114" i="2"/>
  <c r="BH115" i="2" s="1"/>
  <c r="BH117" i="2" s="1"/>
  <c r="BH41" i="4" s="1"/>
  <c r="BG117" i="2"/>
  <c r="BG41" i="4" s="1"/>
  <c r="BF136" i="2"/>
  <c r="BF137" i="2"/>
  <c r="BF138" i="2" s="1"/>
  <c r="BJ54" i="2"/>
  <c r="BJ57" i="2" s="1"/>
  <c r="BI112" i="2"/>
  <c r="BI57" i="2"/>
  <c r="BD146" i="2"/>
  <c r="AV192" i="2"/>
  <c r="AV193" i="2" s="1"/>
  <c r="AZ192" i="2"/>
  <c r="AZ197" i="2"/>
  <c r="BJ297" i="2"/>
  <c r="BJ296" i="2"/>
  <c r="BB138" i="2"/>
  <c r="BD118" i="2"/>
  <c r="BD47" i="4" s="1"/>
  <c r="AY44" i="4"/>
  <c r="AV44" i="4"/>
  <c r="AZ190" i="2"/>
  <c r="AX44" i="4"/>
  <c r="P56" i="5"/>
  <c r="R4" i="5"/>
  <c r="S5" i="5"/>
  <c r="AW261" i="2"/>
  <c r="AW136" i="4"/>
  <c r="AY247" i="2"/>
  <c r="AY132" i="4" s="1"/>
  <c r="BC137" i="2"/>
  <c r="BC136" i="2"/>
  <c r="AW252" i="2"/>
  <c r="AW137" i="4" s="1"/>
  <c r="AW257" i="2"/>
  <c r="BJ241" i="2" l="1"/>
  <c r="BJ128" i="4" s="1"/>
  <c r="AX131" i="4"/>
  <c r="AY246" i="2"/>
  <c r="AY250" i="2" s="1"/>
  <c r="AY136" i="4" s="1"/>
  <c r="I25" i="1"/>
  <c r="BE41" i="4"/>
  <c r="BE62" i="2"/>
  <c r="BE97" i="2" s="1"/>
  <c r="AZ46" i="4"/>
  <c r="BA73" i="2"/>
  <c r="BB44" i="4"/>
  <c r="AT98" i="4"/>
  <c r="AT256" i="2"/>
  <c r="AT258" i="2" s="1"/>
  <c r="BJ74" i="4"/>
  <c r="L44" i="5"/>
  <c r="L45" i="5" s="1"/>
  <c r="M45" i="5" s="1"/>
  <c r="BJ173" i="2"/>
  <c r="BJ79" i="4" s="1"/>
  <c r="BJ267" i="2"/>
  <c r="BE121" i="2"/>
  <c r="BE118" i="2"/>
  <c r="P25" i="5"/>
  <c r="P43" i="5" s="1"/>
  <c r="BC96" i="2"/>
  <c r="BC98" i="2" s="1"/>
  <c r="BC99" i="2" s="1"/>
  <c r="BC46" i="4" s="1"/>
  <c r="BC70" i="2"/>
  <c r="BC38" i="4" s="1"/>
  <c r="BF295" i="2"/>
  <c r="BH158" i="2"/>
  <c r="BH63" i="4" s="1"/>
  <c r="BH100" i="4"/>
  <c r="BI210" i="2"/>
  <c r="BI158" i="2" s="1"/>
  <c r="BI63" i="4" s="1"/>
  <c r="BC72" i="2"/>
  <c r="BG63" i="4"/>
  <c r="BC92" i="2"/>
  <c r="BC93" i="2" s="1"/>
  <c r="BJ28" i="4"/>
  <c r="BE134" i="2"/>
  <c r="BF69" i="2"/>
  <c r="BF37" i="4" s="1"/>
  <c r="BE34" i="4"/>
  <c r="BD135" i="2"/>
  <c r="BD40" i="4" s="1"/>
  <c r="BE298" i="2"/>
  <c r="K36" i="5"/>
  <c r="K50" i="5" s="1"/>
  <c r="BG61" i="2"/>
  <c r="BG298" i="2" s="1"/>
  <c r="BH61" i="2"/>
  <c r="BH34" i="4" s="1"/>
  <c r="BG60" i="2"/>
  <c r="BH60" i="2"/>
  <c r="BI59" i="2"/>
  <c r="BI33" i="4" s="1"/>
  <c r="BI31" i="4"/>
  <c r="BJ59" i="2"/>
  <c r="BJ60" i="2" s="1"/>
  <c r="BJ31" i="4"/>
  <c r="K37" i="5"/>
  <c r="BD72" i="2"/>
  <c r="O10" i="5"/>
  <c r="O24" i="5"/>
  <c r="O42" i="5" s="1"/>
  <c r="O48" i="5"/>
  <c r="P7" i="5"/>
  <c r="P13" i="5" s="1"/>
  <c r="O13" i="5"/>
  <c r="O16" i="5"/>
  <c r="M21" i="5"/>
  <c r="M22" i="5" s="1"/>
  <c r="N20" i="5"/>
  <c r="N21" i="5" s="1"/>
  <c r="BE68" i="2"/>
  <c r="BD92" i="2"/>
  <c r="BD93" i="2" s="1"/>
  <c r="BD96" i="2"/>
  <c r="BD98" i="2" s="1"/>
  <c r="BD99" i="2" s="1"/>
  <c r="BD46" i="4" s="1"/>
  <c r="BD37" i="4"/>
  <c r="BE69" i="2"/>
  <c r="BA43" i="4"/>
  <c r="BD165" i="2"/>
  <c r="BD52" i="4"/>
  <c r="BF106" i="4"/>
  <c r="BF165" i="2"/>
  <c r="BF52" i="4"/>
  <c r="BF107" i="4"/>
  <c r="F30" i="1"/>
  <c r="AZ43" i="4"/>
  <c r="AZ73" i="2"/>
  <c r="AZ38" i="4"/>
  <c r="J57" i="5"/>
  <c r="H63" i="5" s="1"/>
  <c r="BG146" i="2"/>
  <c r="BG52" i="4" s="1"/>
  <c r="BG121" i="2"/>
  <c r="BG118" i="2"/>
  <c r="BG47" i="4" s="1"/>
  <c r="BI132" i="2"/>
  <c r="BI133" i="2" s="1"/>
  <c r="BI135" i="2" s="1"/>
  <c r="BI114" i="2"/>
  <c r="BI115" i="2" s="1"/>
  <c r="BJ112" i="2"/>
  <c r="BH146" i="2"/>
  <c r="BH121" i="2"/>
  <c r="BH118" i="2"/>
  <c r="BH47" i="4" s="1"/>
  <c r="BH133" i="2"/>
  <c r="BE137" i="2"/>
  <c r="BE146" i="2"/>
  <c r="M29" i="5"/>
  <c r="AZ198" i="2"/>
  <c r="AW192" i="2"/>
  <c r="AW193" i="2" s="1"/>
  <c r="AV208" i="2"/>
  <c r="BC138" i="2"/>
  <c r="BE136" i="2"/>
  <c r="AT195" i="2"/>
  <c r="AX261" i="2"/>
  <c r="AZ94" i="4"/>
  <c r="AZ193" i="2"/>
  <c r="Q56" i="5"/>
  <c r="S4" i="5"/>
  <c r="AT214" i="2"/>
  <c r="AT221" i="2" s="1"/>
  <c r="AU208" i="2"/>
  <c r="AU98" i="4" s="1"/>
  <c r="AX252" i="2"/>
  <c r="AX137" i="4" s="1"/>
  <c r="AX257" i="2"/>
  <c r="AZ247" i="2"/>
  <c r="BA247" i="2"/>
  <c r="BA132" i="4" s="1"/>
  <c r="AY131" i="4" l="1"/>
  <c r="BA246" i="2"/>
  <c r="BA250" i="2" s="1"/>
  <c r="BA136" i="4" s="1"/>
  <c r="AZ246" i="2"/>
  <c r="AZ131" i="4" s="1"/>
  <c r="BE47" i="4"/>
  <c r="BE37" i="4"/>
  <c r="BE35" i="4"/>
  <c r="AZ44" i="4"/>
  <c r="BD73" i="2"/>
  <c r="BC43" i="4"/>
  <c r="BA44" i="4"/>
  <c r="N45" i="5"/>
  <c r="M44" i="5"/>
  <c r="BC73" i="2"/>
  <c r="BF92" i="2"/>
  <c r="BF93" i="2" s="1"/>
  <c r="BF70" i="2"/>
  <c r="BF38" i="4" s="1"/>
  <c r="BF96" i="2"/>
  <c r="BF98" i="2" s="1"/>
  <c r="BF99" i="2" s="1"/>
  <c r="BF46" i="4" s="1"/>
  <c r="BJ158" i="2"/>
  <c r="BJ63" i="4" s="1"/>
  <c r="BJ210" i="2"/>
  <c r="BJ100" i="4" s="1"/>
  <c r="BI100" i="4"/>
  <c r="BH67" i="2"/>
  <c r="BH68" i="2" s="1"/>
  <c r="BH298" i="2"/>
  <c r="BD137" i="2"/>
  <c r="BD138" i="2" s="1"/>
  <c r="BF72" i="2"/>
  <c r="BD136" i="2"/>
  <c r="K51" i="5"/>
  <c r="K52" i="5" s="1"/>
  <c r="BG34" i="4"/>
  <c r="BG67" i="2"/>
  <c r="BG69" i="2" s="1"/>
  <c r="BI60" i="2"/>
  <c r="BJ33" i="4"/>
  <c r="BI61" i="2"/>
  <c r="BI67" i="2" s="1"/>
  <c r="BI68" i="2" s="1"/>
  <c r="BE295" i="2"/>
  <c r="Q7" i="5"/>
  <c r="C65" i="5" s="1"/>
  <c r="BD43" i="4"/>
  <c r="BE92" i="2"/>
  <c r="BE93" i="2" s="1"/>
  <c r="BE96" i="2"/>
  <c r="BE98" i="2" s="1"/>
  <c r="BE99" i="2" s="1"/>
  <c r="C14" i="6" s="1"/>
  <c r="BE72" i="2"/>
  <c r="BE70" i="2"/>
  <c r="O20" i="5"/>
  <c r="O21" i="5" s="1"/>
  <c r="O22" i="5" s="1"/>
  <c r="N27" i="5"/>
  <c r="P10" i="5"/>
  <c r="P24" i="5"/>
  <c r="P42" i="5" s="1"/>
  <c r="P16" i="5"/>
  <c r="P48" i="5"/>
  <c r="N22" i="5"/>
  <c r="BE165" i="2"/>
  <c r="BE197" i="2" s="1"/>
  <c r="BE198" i="2" s="1"/>
  <c r="BE52" i="4"/>
  <c r="BI137" i="2"/>
  <c r="BI40" i="4"/>
  <c r="BH165" i="2"/>
  <c r="BH52" i="4"/>
  <c r="BG107" i="4"/>
  <c r="BF190" i="2"/>
  <c r="BF94" i="4" s="1"/>
  <c r="BF71" i="4"/>
  <c r="BG106" i="4"/>
  <c r="BD190" i="2"/>
  <c r="BD94" i="4" s="1"/>
  <c r="BD71" i="4"/>
  <c r="F31" i="1"/>
  <c r="BJ132" i="2"/>
  <c r="L31" i="5" s="1"/>
  <c r="BJ115" i="2"/>
  <c r="BJ117" i="2" s="1"/>
  <c r="BJ41" i="4" s="1"/>
  <c r="BI117" i="2"/>
  <c r="BG165" i="2"/>
  <c r="BJ114" i="2"/>
  <c r="BH135" i="2"/>
  <c r="BH40" i="4" s="1"/>
  <c r="BJ133" i="2"/>
  <c r="BI136" i="2"/>
  <c r="BE138" i="2"/>
  <c r="AV195" i="2"/>
  <c r="AV256" i="2"/>
  <c r="AV258" i="2" s="1"/>
  <c r="AV98" i="4"/>
  <c r="AV214" i="2"/>
  <c r="AW208" i="2"/>
  <c r="AW256" i="2" s="1"/>
  <c r="AW258" i="2" s="1"/>
  <c r="AX192" i="2"/>
  <c r="AX193" i="2" s="1"/>
  <c r="BA192" i="2"/>
  <c r="BA193" i="2" s="1"/>
  <c r="BE192" i="2"/>
  <c r="AZ250" i="2"/>
  <c r="AZ252" i="2" s="1"/>
  <c r="AZ137" i="4" s="1"/>
  <c r="AZ132" i="4"/>
  <c r="AT111" i="4"/>
  <c r="AT104" i="4"/>
  <c r="BB247" i="2"/>
  <c r="BB132" i="4" s="1"/>
  <c r="AY252" i="2"/>
  <c r="AY137" i="4" s="1"/>
  <c r="AY257" i="2"/>
  <c r="AY261" i="2"/>
  <c r="AU214" i="2"/>
  <c r="AU256" i="2"/>
  <c r="AU258" i="2" s="1"/>
  <c r="AU195" i="2"/>
  <c r="BA131" i="4" l="1"/>
  <c r="BB246" i="2"/>
  <c r="BB250" i="2" s="1"/>
  <c r="BE38" i="4"/>
  <c r="C19" i="6"/>
  <c r="C9" i="6" s="1"/>
  <c r="C10" i="6" s="1"/>
  <c r="C26" i="6" s="1"/>
  <c r="C27" i="6" s="1"/>
  <c r="BE43" i="4"/>
  <c r="BC44" i="4"/>
  <c r="BD44" i="4"/>
  <c r="O45" i="5"/>
  <c r="N44" i="5"/>
  <c r="BH69" i="2"/>
  <c r="BH37" i="4" s="1"/>
  <c r="L46" i="5"/>
  <c r="L47" i="5" s="1"/>
  <c r="N47" i="5" s="1"/>
  <c r="BI138" i="2"/>
  <c r="BJ61" i="2"/>
  <c r="BJ34" i="4" s="1"/>
  <c r="BF73" i="2"/>
  <c r="BF43" i="4"/>
  <c r="K57" i="5"/>
  <c r="BG68" i="2"/>
  <c r="BG295" i="2" s="1"/>
  <c r="BI34" i="4"/>
  <c r="BI298" i="2"/>
  <c r="L32" i="5"/>
  <c r="M32" i="5" s="1"/>
  <c r="N32" i="5" s="1"/>
  <c r="O32" i="5" s="1"/>
  <c r="P32" i="5" s="1"/>
  <c r="Q32" i="5" s="1"/>
  <c r="L33" i="5"/>
  <c r="Q48" i="5"/>
  <c r="Q16" i="5"/>
  <c r="Q24" i="5"/>
  <c r="Q42" i="5" s="1"/>
  <c r="Q13" i="5"/>
  <c r="Q10" i="5"/>
  <c r="BE73" i="2"/>
  <c r="BE46" i="4"/>
  <c r="N28" i="5"/>
  <c r="N29" i="5" s="1"/>
  <c r="O27" i="5"/>
  <c r="P20" i="5"/>
  <c r="P21" i="5" s="1"/>
  <c r="P22" i="5" s="1"/>
  <c r="BI69" i="2"/>
  <c r="BI37" i="4" s="1"/>
  <c r="BJ67" i="2"/>
  <c r="L35" i="5" s="1"/>
  <c r="BG190" i="2"/>
  <c r="BG94" i="4" s="1"/>
  <c r="BG71" i="4"/>
  <c r="BI295" i="2"/>
  <c r="BI35" i="4"/>
  <c r="BH190" i="2"/>
  <c r="BH94" i="4" s="1"/>
  <c r="BH71" i="4"/>
  <c r="BI146" i="2"/>
  <c r="BJ146" i="2" s="1"/>
  <c r="BI41" i="4"/>
  <c r="BH106" i="4"/>
  <c r="BH107" i="4"/>
  <c r="BH295" i="2"/>
  <c r="BH35" i="4"/>
  <c r="BG37" i="4"/>
  <c r="BG72" i="2"/>
  <c r="BG92" i="2"/>
  <c r="BG93" i="2" s="1"/>
  <c r="BG70" i="2"/>
  <c r="BG38" i="4" s="1"/>
  <c r="BG96" i="2"/>
  <c r="BG98" i="2" s="1"/>
  <c r="BG99" i="2" s="1"/>
  <c r="BG46" i="4" s="1"/>
  <c r="BE190" i="2"/>
  <c r="BE94" i="4" s="1"/>
  <c r="BE71" i="4"/>
  <c r="BJ134" i="2"/>
  <c r="BI118" i="2"/>
  <c r="BI47" i="4" s="1"/>
  <c r="BI121" i="2"/>
  <c r="BJ116" i="2"/>
  <c r="BH137" i="2"/>
  <c r="BH138" i="2" s="1"/>
  <c r="BH136" i="2"/>
  <c r="BJ135" i="2"/>
  <c r="BJ40" i="4" s="1"/>
  <c r="BJ121" i="2"/>
  <c r="BJ118" i="2"/>
  <c r="BJ47" i="4" s="1"/>
  <c r="AT260" i="2"/>
  <c r="AX208" i="2"/>
  <c r="AY192" i="2"/>
  <c r="AY193" i="2" s="1"/>
  <c r="AY208" i="2" s="1"/>
  <c r="AW195" i="2"/>
  <c r="AW98" i="4"/>
  <c r="AW214" i="2"/>
  <c r="AV221" i="2"/>
  <c r="AV253" i="2" s="1"/>
  <c r="AV104" i="4"/>
  <c r="AZ261" i="2"/>
  <c r="AZ257" i="2"/>
  <c r="AT253" i="2"/>
  <c r="BA261" i="2"/>
  <c r="BB192" i="2"/>
  <c r="BB193" i="2" s="1"/>
  <c r="BA208" i="2"/>
  <c r="BA98" i="4" s="1"/>
  <c r="AZ136" i="4"/>
  <c r="F43" i="1"/>
  <c r="AU221" i="2"/>
  <c r="AU260" i="2" s="1"/>
  <c r="AU104" i="4"/>
  <c r="BC247" i="2"/>
  <c r="BC132" i="4" s="1"/>
  <c r="BA252" i="2"/>
  <c r="BA137" i="4" s="1"/>
  <c r="BA257" i="2"/>
  <c r="BB131" i="4" l="1"/>
  <c r="BC246" i="2"/>
  <c r="BC250" i="2" s="1"/>
  <c r="BF44" i="4"/>
  <c r="BE44" i="4"/>
  <c r="BH92" i="2"/>
  <c r="BH93" i="2" s="1"/>
  <c r="L37" i="5"/>
  <c r="P45" i="5"/>
  <c r="O44" i="5"/>
  <c r="BH72" i="2"/>
  <c r="BH70" i="2"/>
  <c r="BH38" i="4" s="1"/>
  <c r="BH96" i="2"/>
  <c r="BH98" i="2" s="1"/>
  <c r="BH99" i="2" s="1"/>
  <c r="BH46" i="4" s="1"/>
  <c r="M46" i="5"/>
  <c r="O47" i="5"/>
  <c r="N46" i="5"/>
  <c r="BJ62" i="2"/>
  <c r="BJ97" i="2" s="1"/>
  <c r="BJ298" i="2"/>
  <c r="BG35" i="4"/>
  <c r="M31" i="5"/>
  <c r="M33" i="5" s="1"/>
  <c r="Q20" i="5"/>
  <c r="Q27" i="5" s="1"/>
  <c r="L36" i="5"/>
  <c r="M36" i="5" s="1"/>
  <c r="BJ68" i="2"/>
  <c r="O28" i="5"/>
  <c r="O29" i="5" s="1"/>
  <c r="BJ69" i="2"/>
  <c r="BJ37" i="4" s="1"/>
  <c r="P27" i="5"/>
  <c r="P28" i="5" s="1"/>
  <c r="BI70" i="2"/>
  <c r="BI38" i="4" s="1"/>
  <c r="BI72" i="2"/>
  <c r="BI96" i="2"/>
  <c r="BI98" i="2" s="1"/>
  <c r="BI99" i="2" s="1"/>
  <c r="BI46" i="4" s="1"/>
  <c r="BI92" i="2"/>
  <c r="BI93" i="2" s="1"/>
  <c r="AY98" i="4"/>
  <c r="H68" i="5"/>
  <c r="BJ165" i="2"/>
  <c r="BJ190" i="2" s="1"/>
  <c r="BJ52" i="4"/>
  <c r="BG73" i="2"/>
  <c r="BG43" i="4"/>
  <c r="BJ217" i="2"/>
  <c r="BJ107" i="4" s="1"/>
  <c r="BI107" i="4"/>
  <c r="BI165" i="2"/>
  <c r="BI52" i="4"/>
  <c r="BJ216" i="2"/>
  <c r="BJ106" i="4" s="1"/>
  <c r="BI106" i="4"/>
  <c r="BE193" i="2"/>
  <c r="BB261" i="2"/>
  <c r="BB136" i="4"/>
  <c r="BJ137" i="2"/>
  <c r="BJ138" i="2" s="1"/>
  <c r="BJ136" i="2"/>
  <c r="AZ208" i="2"/>
  <c r="AZ98" i="4" s="1"/>
  <c r="AY256" i="2"/>
  <c r="AY258" i="2" s="1"/>
  <c r="AY195" i="2"/>
  <c r="AY214" i="2"/>
  <c r="AY221" i="2" s="1"/>
  <c r="AV111" i="4"/>
  <c r="AW221" i="2"/>
  <c r="AW104" i="4"/>
  <c r="AX98" i="4"/>
  <c r="AX214" i="2"/>
  <c r="AX195" i="2"/>
  <c r="AX256" i="2"/>
  <c r="AX258" i="2" s="1"/>
  <c r="AU253" i="2"/>
  <c r="AV260" i="2"/>
  <c r="BA195" i="2"/>
  <c r="BA214" i="2"/>
  <c r="BA256" i="2"/>
  <c r="BA258" i="2" s="1"/>
  <c r="BB208" i="2"/>
  <c r="BB98" i="4" s="1"/>
  <c r="BC192" i="2"/>
  <c r="BC193" i="2" s="1"/>
  <c r="AU111" i="4"/>
  <c r="E38" i="1"/>
  <c r="BD247" i="2"/>
  <c r="BB252" i="2"/>
  <c r="BB137" i="4" s="1"/>
  <c r="BB257" i="2"/>
  <c r="BD246" i="2" l="1"/>
  <c r="BD250" i="2" s="1"/>
  <c r="BD136" i="4" s="1"/>
  <c r="BC131" i="4"/>
  <c r="BH43" i="4"/>
  <c r="BI73" i="2"/>
  <c r="BG44" i="4"/>
  <c r="BH73" i="2"/>
  <c r="Q45" i="5"/>
  <c r="Q44" i="5" s="1"/>
  <c r="P44" i="5"/>
  <c r="L50" i="5"/>
  <c r="L51" i="5" s="1"/>
  <c r="D35" i="1" s="1"/>
  <c r="D36" i="1" s="1"/>
  <c r="BJ35" i="4"/>
  <c r="P47" i="5"/>
  <c r="O46" i="5"/>
  <c r="BJ295" i="2"/>
  <c r="N31" i="5"/>
  <c r="N33" i="5" s="1"/>
  <c r="Q28" i="5"/>
  <c r="Q29" i="5" s="1"/>
  <c r="Q21" i="5"/>
  <c r="Q22" i="5" s="1"/>
  <c r="BJ92" i="2"/>
  <c r="BJ93" i="2" s="1"/>
  <c r="BJ96" i="2"/>
  <c r="BJ98" i="2" s="1"/>
  <c r="BJ99" i="2" s="1"/>
  <c r="BJ46" i="4" s="1"/>
  <c r="BJ72" i="2"/>
  <c r="BJ70" i="2"/>
  <c r="BJ38" i="4" s="1"/>
  <c r="P29" i="5"/>
  <c r="BI43" i="4"/>
  <c r="BJ197" i="2"/>
  <c r="BJ198" i="2" s="1"/>
  <c r="BJ71" i="4"/>
  <c r="BJ94" i="4"/>
  <c r="BF192" i="2"/>
  <c r="BF193" i="2" s="1"/>
  <c r="BJ192" i="2"/>
  <c r="BJ193" i="2" s="1"/>
  <c r="N36" i="5"/>
  <c r="M35" i="5"/>
  <c r="M37" i="5" s="1"/>
  <c r="M50" i="5"/>
  <c r="BF247" i="2"/>
  <c r="BF132" i="4" s="1"/>
  <c r="BD132" i="4"/>
  <c r="BA221" i="2"/>
  <c r="BA104" i="4"/>
  <c r="BI190" i="2"/>
  <c r="BI94" i="4" s="1"/>
  <c r="BI71" i="4"/>
  <c r="BC261" i="2"/>
  <c r="BC136" i="4"/>
  <c r="AZ195" i="2"/>
  <c r="AZ256" i="2"/>
  <c r="AZ258" i="2" s="1"/>
  <c r="AZ214" i="2"/>
  <c r="AZ104" i="4" s="1"/>
  <c r="AY104" i="4"/>
  <c r="AW260" i="2"/>
  <c r="AW253" i="2"/>
  <c r="AW111" i="4"/>
  <c r="AX221" i="2"/>
  <c r="AY260" i="2" s="1"/>
  <c r="AX104" i="4"/>
  <c r="BB256" i="2"/>
  <c r="BB258" i="2" s="1"/>
  <c r="BB214" i="2"/>
  <c r="BD192" i="2"/>
  <c r="BD193" i="2" s="1"/>
  <c r="BD208" i="2" s="1"/>
  <c r="BC208" i="2"/>
  <c r="BC98" i="4" s="1"/>
  <c r="BB195" i="2"/>
  <c r="AY111" i="4"/>
  <c r="AY253" i="2"/>
  <c r="BC252" i="2"/>
  <c r="BC137" i="4" s="1"/>
  <c r="BC257" i="2"/>
  <c r="BE247" i="2"/>
  <c r="BE246" i="2" l="1"/>
  <c r="BE131" i="4" s="1"/>
  <c r="BF246" i="2"/>
  <c r="BF250" i="2" s="1"/>
  <c r="BF136" i="4" s="1"/>
  <c r="BD131" i="4"/>
  <c r="BI44" i="4"/>
  <c r="BH44" i="4"/>
  <c r="L52" i="5"/>
  <c r="L57" i="5"/>
  <c r="Q47" i="5"/>
  <c r="Q46" i="5" s="1"/>
  <c r="P46" i="5"/>
  <c r="O31" i="5"/>
  <c r="O33" i="5" s="1"/>
  <c r="BJ73" i="2"/>
  <c r="BJ43" i="4"/>
  <c r="BG247" i="2"/>
  <c r="BG132" i="4" s="1"/>
  <c r="M51" i="5"/>
  <c r="M52" i="5" s="1"/>
  <c r="BE132" i="4"/>
  <c r="O36" i="5"/>
  <c r="N50" i="5"/>
  <c r="N35" i="5"/>
  <c r="N37" i="5" s="1"/>
  <c r="BD195" i="2"/>
  <c r="BD98" i="4"/>
  <c r="BB221" i="2"/>
  <c r="BB260" i="2" s="1"/>
  <c r="BB104" i="4"/>
  <c r="BG192" i="2"/>
  <c r="BG193" i="2" s="1"/>
  <c r="BF208" i="2"/>
  <c r="BA253" i="2"/>
  <c r="BA111" i="4"/>
  <c r="AZ221" i="2"/>
  <c r="AZ260" i="2" s="1"/>
  <c r="AX260" i="2"/>
  <c r="AX253" i="2"/>
  <c r="AX111" i="4"/>
  <c r="BD256" i="2"/>
  <c r="BD258" i="2" s="1"/>
  <c r="BD214" i="2"/>
  <c r="BE208" i="2"/>
  <c r="BC195" i="2"/>
  <c r="BC214" i="2"/>
  <c r="BC256" i="2"/>
  <c r="BC258" i="2" s="1"/>
  <c r="BD252" i="2"/>
  <c r="BD137" i="4" s="1"/>
  <c r="BD257" i="2"/>
  <c r="BD261" i="2"/>
  <c r="BE250" i="2" l="1"/>
  <c r="BE136" i="4" s="1"/>
  <c r="BF131" i="4"/>
  <c r="BG246" i="2"/>
  <c r="BG250" i="2" s="1"/>
  <c r="BG257" i="2" s="1"/>
  <c r="BJ44" i="4"/>
  <c r="Q31" i="5"/>
  <c r="Q33" i="5" s="1"/>
  <c r="P31" i="5"/>
  <c r="P33" i="5" s="1"/>
  <c r="BF252" i="2"/>
  <c r="BF137" i="4" s="1"/>
  <c r="BF257" i="2"/>
  <c r="BH247" i="2"/>
  <c r="BH132" i="4" s="1"/>
  <c r="M57" i="5"/>
  <c r="E35" i="1"/>
  <c r="E36" i="1" s="1"/>
  <c r="N51" i="5"/>
  <c r="F35" i="1" s="1"/>
  <c r="F36" i="1" s="1"/>
  <c r="BD221" i="2"/>
  <c r="BD111" i="4" s="1"/>
  <c r="BD104" i="4"/>
  <c r="BB253" i="2"/>
  <c r="BB111" i="4"/>
  <c r="BF98" i="4"/>
  <c r="BF195" i="2"/>
  <c r="BF214" i="2"/>
  <c r="BF256" i="2"/>
  <c r="BF258" i="2" s="1"/>
  <c r="P36" i="5"/>
  <c r="O35" i="5"/>
  <c r="O37" i="5" s="1"/>
  <c r="O50" i="5"/>
  <c r="BG208" i="2"/>
  <c r="BH192" i="2"/>
  <c r="BH193" i="2" s="1"/>
  <c r="BC221" i="2"/>
  <c r="BC104" i="4"/>
  <c r="BE256" i="2"/>
  <c r="BE258" i="2" s="1"/>
  <c r="BE98" i="4"/>
  <c r="AZ111" i="4"/>
  <c r="BA260" i="2"/>
  <c r="AZ253" i="2"/>
  <c r="F38" i="1"/>
  <c r="BE195" i="2"/>
  <c r="BE214" i="2"/>
  <c r="BE252" i="2" l="1"/>
  <c r="BE137" i="4" s="1"/>
  <c r="BE257" i="2"/>
  <c r="BF261" i="2"/>
  <c r="BE261" i="2"/>
  <c r="BH246" i="2"/>
  <c r="BG131" i="4"/>
  <c r="BG136" i="4"/>
  <c r="BG261" i="2"/>
  <c r="BG252" i="2"/>
  <c r="BG137" i="4" s="1"/>
  <c r="BI247" i="2"/>
  <c r="BI132" i="4" s="1"/>
  <c r="BD253" i="2"/>
  <c r="BD260" i="2"/>
  <c r="N57" i="5"/>
  <c r="N52" i="5"/>
  <c r="BC260" i="2"/>
  <c r="BG195" i="2"/>
  <c r="BG98" i="4"/>
  <c r="BG256" i="2"/>
  <c r="BG258" i="2" s="1"/>
  <c r="BG214" i="2"/>
  <c r="BF221" i="2"/>
  <c r="BF104" i="4"/>
  <c r="BE221" i="2"/>
  <c r="BE260" i="2" s="1"/>
  <c r="BE104" i="4"/>
  <c r="BC253" i="2"/>
  <c r="BC111" i="4"/>
  <c r="O51" i="5"/>
  <c r="BH208" i="2"/>
  <c r="BI192" i="2"/>
  <c r="BI193" i="2" s="1"/>
  <c r="Q36" i="5"/>
  <c r="P50" i="5"/>
  <c r="P35" i="5"/>
  <c r="P37" i="5" s="1"/>
  <c r="BI246" i="2" l="1"/>
  <c r="BI250" i="2" s="1"/>
  <c r="BH131" i="4"/>
  <c r="BH250" i="2"/>
  <c r="BH136" i="4" s="1"/>
  <c r="BJ247" i="2"/>
  <c r="BJ132" i="4" s="1"/>
  <c r="BE253" i="2"/>
  <c r="P51" i="5"/>
  <c r="P52" i="5" s="1"/>
  <c r="BH195" i="2"/>
  <c r="BH98" i="4"/>
  <c r="BH256" i="2"/>
  <c r="BH258" i="2" s="1"/>
  <c r="BH214" i="2"/>
  <c r="BG221" i="2"/>
  <c r="BG104" i="4"/>
  <c r="O52" i="5"/>
  <c r="O57" i="5"/>
  <c r="BF260" i="2"/>
  <c r="BE111" i="4"/>
  <c r="Q50" i="5"/>
  <c r="Q35" i="5"/>
  <c r="Q37" i="5" s="1"/>
  <c r="BI208" i="2"/>
  <c r="BI195" i="2" s="1"/>
  <c r="BF111" i="4"/>
  <c r="BF253" i="2"/>
  <c r="BI261" i="2" l="1"/>
  <c r="BH257" i="2"/>
  <c r="BI131" i="4"/>
  <c r="BJ246" i="2"/>
  <c r="BJ131" i="4" s="1"/>
  <c r="BH261" i="2"/>
  <c r="BH252" i="2"/>
  <c r="BH137" i="4" s="1"/>
  <c r="BI257" i="2"/>
  <c r="BI136" i="4"/>
  <c r="BI252" i="2"/>
  <c r="BI137" i="4" s="1"/>
  <c r="P59" i="5"/>
  <c r="P57" i="5"/>
  <c r="Q51" i="5"/>
  <c r="Q59" i="5" s="1"/>
  <c r="H65" i="5" s="1"/>
  <c r="BG111" i="4"/>
  <c r="BG253" i="2"/>
  <c r="BH221" i="2"/>
  <c r="BH104" i="4"/>
  <c r="BG260" i="2"/>
  <c r="BI98" i="4"/>
  <c r="BI256" i="2"/>
  <c r="BI258" i="2" s="1"/>
  <c r="BJ208" i="2"/>
  <c r="BI214" i="2"/>
  <c r="BJ250" i="2" l="1"/>
  <c r="BJ252" i="2" s="1"/>
  <c r="BJ137" i="4" s="1"/>
  <c r="C67" i="5"/>
  <c r="C66" i="5"/>
  <c r="Q52" i="5"/>
  <c r="Q57" i="5"/>
  <c r="H64" i="5" s="1"/>
  <c r="BJ98" i="4"/>
  <c r="BJ195" i="2"/>
  <c r="BJ214" i="2"/>
  <c r="BJ256" i="2"/>
  <c r="BJ258" i="2" s="1"/>
  <c r="BH260" i="2"/>
  <c r="BH111" i="4"/>
  <c r="BH253" i="2"/>
  <c r="BI221" i="2"/>
  <c r="BI260" i="2" s="1"/>
  <c r="BI104" i="4"/>
  <c r="BJ136" i="4" l="1"/>
  <c r="BJ261" i="2"/>
  <c r="BJ257" i="2"/>
  <c r="H66" i="5"/>
  <c r="H69" i="5" s="1"/>
  <c r="H71" i="5" s="1"/>
  <c r="K65" i="5" s="1"/>
  <c r="BJ221" i="2"/>
  <c r="BJ104" i="4"/>
  <c r="BI111" i="4"/>
  <c r="BI253" i="2"/>
  <c r="C8" i="6" l="1"/>
  <c r="BJ260" i="2"/>
  <c r="BJ111" i="4"/>
  <c r="BJ253" i="2"/>
</calcChain>
</file>

<file path=xl/comments1.xml><?xml version="1.0" encoding="utf-8"?>
<comments xmlns="http://schemas.openxmlformats.org/spreadsheetml/2006/main">
  <authors>
    <author>vasundhg</author>
    <author>fodorg</author>
    <author>sunilt</author>
    <author>Hussain, Danyal (Research)</author>
    <author>Govil, Vasundhara (Research)</author>
    <author xml:space="preserve"> </author>
    <author>Magajwala, Vatsal (Research)</author>
    <author>ancsan</author>
  </authors>
  <commentList>
    <comment ref="B11" authorId="0">
      <text>
        <r>
          <rPr>
            <b/>
            <sz val="8"/>
            <color indexed="81"/>
            <rFont val="Tahoma"/>
            <family val="2"/>
          </rPr>
          <t>vasundhg:</t>
        </r>
        <r>
          <rPr>
            <sz val="8"/>
            <color indexed="81"/>
            <rFont val="Tahoma"/>
            <family val="2"/>
          </rPr>
          <t xml:space="preserve">
Network fees and other costs consist primarily of charges that are passed through to clients, including Visa, MasterCard and other payment network fees, card production costs, telecommunication charges, postage and other 3rd party processing expenses</t>
        </r>
      </text>
    </comment>
    <comment ref="P15" authorId="0">
      <text>
        <r>
          <rPr>
            <b/>
            <sz val="8"/>
            <color indexed="81"/>
            <rFont val="Tahoma"/>
            <family val="2"/>
          </rPr>
          <t>vasundhg:</t>
        </r>
        <r>
          <rPr>
            <sz val="8"/>
            <color indexed="81"/>
            <rFont val="Tahoma"/>
            <family val="2"/>
          </rPr>
          <t xml:space="preserve">
$9.3mm upside mostly due to Durbin</t>
        </r>
      </text>
    </comment>
    <comment ref="R15" authorId="1">
      <text>
        <r>
          <rPr>
            <b/>
            <sz val="8"/>
            <color indexed="81"/>
            <rFont val="Tahoma"/>
            <family val="2"/>
          </rPr>
          <t>1Q12 call:</t>
        </r>
        <r>
          <rPr>
            <sz val="8"/>
            <color indexed="81"/>
            <rFont val="Tahoma"/>
            <family val="2"/>
          </rPr>
          <t xml:space="preserve">
$8-$10mm benefit from Durbin</t>
        </r>
      </text>
    </comment>
    <comment ref="Z15" authorId="0">
      <text>
        <r>
          <rPr>
            <b/>
            <sz val="8"/>
            <color indexed="81"/>
            <rFont val="Tahoma"/>
            <family val="2"/>
          </rPr>
          <t>vasundhg:</t>
        </r>
        <r>
          <rPr>
            <sz val="8"/>
            <color indexed="81"/>
            <rFont val="Tahoma"/>
            <family val="2"/>
          </rPr>
          <t xml:space="preserve">
F3Q13: $303-308m</t>
        </r>
      </text>
    </comment>
    <comment ref="I16" authorId="1">
      <text>
        <r>
          <rPr>
            <b/>
            <sz val="8"/>
            <color indexed="81"/>
            <rFont val="Tahoma"/>
            <family val="2"/>
          </rPr>
          <t>fodorg:</t>
        </r>
        <r>
          <rPr>
            <sz val="8"/>
            <color indexed="81"/>
            <rFont val="Tahoma"/>
            <family val="2"/>
          </rPr>
          <t xml:space="preserve">
tough comp in FI biz due to card prod revs</t>
        </r>
      </text>
    </comment>
    <comment ref="U16" authorId="0">
      <text>
        <r>
          <rPr>
            <b/>
            <sz val="8"/>
            <color indexed="81"/>
            <rFont val="Tahoma"/>
            <family val="2"/>
          </rPr>
          <t>vasundhg:</t>
        </r>
        <r>
          <rPr>
            <sz val="8"/>
            <color indexed="81"/>
            <rFont val="Tahoma"/>
            <family val="2"/>
          </rPr>
          <t xml:space="preserve">
2Q12 call: less seasonal this year due to lapping of Durbin benefits</t>
        </r>
      </text>
    </comment>
    <comment ref="V16" authorId="0">
      <text>
        <r>
          <rPr>
            <b/>
            <sz val="8"/>
            <color indexed="81"/>
            <rFont val="Tahoma"/>
            <family val="2"/>
          </rPr>
          <t>vasundhg:</t>
        </r>
        <r>
          <rPr>
            <sz val="8"/>
            <color indexed="81"/>
            <rFont val="Tahoma"/>
            <family val="2"/>
          </rPr>
          <t xml:space="preserve">
02/15/12 call: Guidance for +11-12% growth doesn't fully account for Durbin benefit. Room for upside</t>
        </r>
      </text>
    </comment>
    <comment ref="B19" authorId="0">
      <text>
        <r>
          <rPr>
            <b/>
            <sz val="8"/>
            <color indexed="81"/>
            <rFont val="Tahoma"/>
            <family val="2"/>
          </rPr>
          <t>vasundhg:</t>
        </r>
        <r>
          <rPr>
            <sz val="8"/>
            <color indexed="81"/>
            <rFont val="Tahoma"/>
            <family val="2"/>
          </rPr>
          <t xml:space="preserve">
consists of salaries/benefits paid to sales personnel, sales mgmt and other sales/mkting personnel, advertising/ promotional costs, residual payments to ISOs and other 3rd party resellers.</t>
        </r>
      </text>
    </comment>
    <comment ref="R19" authorId="1">
      <text>
        <r>
          <rPr>
            <b/>
            <sz val="8"/>
            <color indexed="81"/>
            <rFont val="Tahoma"/>
            <family val="2"/>
          </rPr>
          <t>fodorg:</t>
        </r>
        <r>
          <rPr>
            <sz val="8"/>
            <color indexed="81"/>
            <rFont val="Tahoma"/>
            <family val="2"/>
          </rPr>
          <t xml:space="preserve">
headcount up 25%
ended Q at approx 400 FTEs, highly skewed towards Merchant Services</t>
        </r>
      </text>
    </comment>
    <comment ref="S19" authorId="0">
      <text>
        <r>
          <rPr>
            <b/>
            <sz val="8"/>
            <color indexed="81"/>
            <rFont val="Tahoma"/>
            <family val="2"/>
          </rPr>
          <t>vasundhg:</t>
        </r>
        <r>
          <rPr>
            <sz val="8"/>
            <color indexed="81"/>
            <rFont val="Tahoma"/>
            <family val="2"/>
          </rPr>
          <t xml:space="preserve">
just under 440 sales FTEs</t>
        </r>
      </text>
    </comment>
    <comment ref="B25" authorId="0">
      <text>
        <r>
          <rPr>
            <b/>
            <sz val="8"/>
            <color indexed="81"/>
            <rFont val="Tahoma"/>
            <family val="2"/>
          </rPr>
          <t>vasundhg:</t>
        </r>
        <r>
          <rPr>
            <sz val="8"/>
            <color indexed="81"/>
            <rFont val="Tahoma"/>
            <family val="2"/>
          </rPr>
          <t xml:space="preserve">
salaries/benefits paid to operational/ IT personnel, costs of operating technology platform/data centers, IT costs for processing transactions, product development costs, software consulting fees, maintenance costs</t>
        </r>
      </text>
    </comment>
    <comment ref="R25" authorId="0">
      <text>
        <r>
          <rPr>
            <b/>
            <sz val="8"/>
            <color indexed="81"/>
            <rFont val="Tahoma"/>
            <family val="2"/>
          </rPr>
          <t>vasundhg:</t>
        </r>
        <r>
          <rPr>
            <sz val="8"/>
            <color indexed="81"/>
            <rFont val="Tahoma"/>
            <family val="2"/>
          </rPr>
          <t xml:space="preserve">
$0.452m of transition/acq/integration expenses related to separation txn and NPC</t>
        </r>
      </text>
    </comment>
    <comment ref="S25" authorId="0">
      <text>
        <r>
          <rPr>
            <b/>
            <sz val="8"/>
            <color indexed="81"/>
            <rFont val="Tahoma"/>
            <family val="2"/>
          </rPr>
          <t>vasundhg:</t>
        </r>
        <r>
          <rPr>
            <sz val="8"/>
            <color indexed="81"/>
            <rFont val="Tahoma"/>
            <family val="2"/>
          </rPr>
          <t xml:space="preserve">
$1.347m of transition/acq/integration expenses related to separation txn and NPC</t>
        </r>
      </text>
    </comment>
    <comment ref="W25" authorId="2">
      <text>
        <r>
          <rPr>
            <sz val="8"/>
            <color indexed="81"/>
            <rFont val="Tahoma"/>
            <family val="2"/>
          </rPr>
          <t>Includes Transition,  Acquisition
and Integration cost : 2.011m</t>
        </r>
      </text>
    </comment>
    <comment ref="X25" authorId="0">
      <text>
        <r>
          <rPr>
            <b/>
            <sz val="8"/>
            <color indexed="81"/>
            <rFont val="Tahoma"/>
            <family val="2"/>
          </rPr>
          <t>vasundhg:</t>
        </r>
        <r>
          <rPr>
            <sz val="8"/>
            <color indexed="81"/>
            <rFont val="Tahoma"/>
            <family val="2"/>
          </rPr>
          <t xml:space="preserve">
txn, acquisition, integration</t>
        </r>
      </text>
    </comment>
    <comment ref="Y25" authorId="0">
      <text>
        <r>
          <rPr>
            <b/>
            <sz val="8"/>
            <color indexed="81"/>
            <rFont val="Tahoma"/>
            <family val="2"/>
          </rPr>
          <t>vasundhg:</t>
        </r>
        <r>
          <rPr>
            <sz val="8"/>
            <color indexed="81"/>
            <rFont val="Tahoma"/>
            <family val="2"/>
          </rPr>
          <t xml:space="preserve">
adjustd for txn, acquisition, integration</t>
        </r>
      </text>
    </comment>
    <comment ref="C31" authorId="0">
      <text>
        <r>
          <rPr>
            <b/>
            <sz val="8"/>
            <color indexed="81"/>
            <rFont val="Tahoma"/>
            <family val="2"/>
          </rPr>
          <t>vasundhg:</t>
        </r>
        <r>
          <rPr>
            <sz val="8"/>
            <color indexed="81"/>
            <rFont val="Tahoma"/>
            <family val="2"/>
          </rPr>
          <t xml:space="preserve">
includes $6.3mm of stand alone costs</t>
        </r>
      </text>
    </comment>
    <comment ref="D31" authorId="0">
      <text>
        <r>
          <rPr>
            <b/>
            <sz val="8"/>
            <color indexed="81"/>
            <rFont val="Tahoma"/>
            <family val="2"/>
          </rPr>
          <t>vasundhg:</t>
        </r>
        <r>
          <rPr>
            <sz val="8"/>
            <color indexed="81"/>
            <rFont val="Tahoma"/>
            <family val="2"/>
          </rPr>
          <t xml:space="preserve">
includes $6.2mm of stand alone costs</t>
        </r>
      </text>
    </comment>
    <comment ref="E31" authorId="0">
      <text>
        <r>
          <rPr>
            <b/>
            <sz val="8"/>
            <color indexed="81"/>
            <rFont val="Tahoma"/>
            <family val="2"/>
          </rPr>
          <t>vasundhg:</t>
        </r>
        <r>
          <rPr>
            <sz val="8"/>
            <color indexed="81"/>
            <rFont val="Tahoma"/>
            <family val="2"/>
          </rPr>
          <t xml:space="preserve">
$5.3mm of stand alone costs</t>
        </r>
      </text>
    </comment>
    <comment ref="F31" authorId="0">
      <text>
        <r>
          <rPr>
            <b/>
            <sz val="8"/>
            <color indexed="81"/>
            <rFont val="Tahoma"/>
            <family val="2"/>
          </rPr>
          <t>vasundhg:</t>
        </r>
        <r>
          <rPr>
            <sz val="8"/>
            <color indexed="81"/>
            <rFont val="Tahoma"/>
            <family val="2"/>
          </rPr>
          <t xml:space="preserve">
$5.4mm of stand alone costs</t>
        </r>
      </text>
    </comment>
    <comment ref="H31" authorId="0">
      <text>
        <r>
          <rPr>
            <b/>
            <sz val="8"/>
            <color indexed="81"/>
            <rFont val="Tahoma"/>
            <family val="2"/>
          </rPr>
          <t>vasundhg:</t>
        </r>
        <r>
          <rPr>
            <sz val="8"/>
            <color indexed="81"/>
            <rFont val="Tahoma"/>
            <family val="2"/>
          </rPr>
          <t xml:space="preserve">
includes stand alone costs</t>
        </r>
      </text>
    </comment>
    <comment ref="I31" authorId="0">
      <text>
        <r>
          <rPr>
            <b/>
            <sz val="8"/>
            <color indexed="81"/>
            <rFont val="Tahoma"/>
            <family val="2"/>
          </rPr>
          <t>vasundhg:</t>
        </r>
        <r>
          <rPr>
            <sz val="8"/>
            <color indexed="81"/>
            <rFont val="Tahoma"/>
            <family val="2"/>
          </rPr>
          <t xml:space="preserve">
includes stand alone costs</t>
        </r>
      </text>
    </comment>
    <comment ref="J31" authorId="0">
      <text>
        <r>
          <rPr>
            <b/>
            <sz val="8"/>
            <color indexed="81"/>
            <rFont val="Tahoma"/>
            <family val="2"/>
          </rPr>
          <t>vasundhg:</t>
        </r>
        <r>
          <rPr>
            <sz val="8"/>
            <color indexed="81"/>
            <rFont val="Tahoma"/>
            <family val="2"/>
          </rPr>
          <t xml:space="preserve">
includes stand alone costs</t>
        </r>
      </text>
    </comment>
    <comment ref="K31" authorId="0">
      <text>
        <r>
          <rPr>
            <b/>
            <sz val="8"/>
            <color indexed="81"/>
            <rFont val="Tahoma"/>
            <family val="2"/>
          </rPr>
          <t>vasundhg:</t>
        </r>
        <r>
          <rPr>
            <sz val="8"/>
            <color indexed="81"/>
            <rFont val="Tahoma"/>
            <family val="2"/>
          </rPr>
          <t xml:space="preserve">
includes stand alone costs</t>
        </r>
      </text>
    </comment>
    <comment ref="R31" authorId="0">
      <text>
        <r>
          <rPr>
            <b/>
            <sz val="8"/>
            <color indexed="81"/>
            <rFont val="Tahoma"/>
            <family val="2"/>
          </rPr>
          <t>vasundhg:</t>
        </r>
        <r>
          <rPr>
            <sz val="8"/>
            <color indexed="81"/>
            <rFont val="Tahoma"/>
            <family val="2"/>
          </rPr>
          <t xml:space="preserve">
$1.607 of Transition/acq/integration exp and $8.6m of share based comp</t>
        </r>
      </text>
    </comment>
    <comment ref="S31" authorId="0">
      <text>
        <r>
          <rPr>
            <b/>
            <sz val="8"/>
            <color indexed="81"/>
            <rFont val="Tahoma"/>
            <family val="2"/>
          </rPr>
          <t>vasundhg:</t>
        </r>
        <r>
          <rPr>
            <sz val="8"/>
            <color indexed="81"/>
            <rFont val="Tahoma"/>
            <family val="2"/>
          </rPr>
          <t xml:space="preserve">
$0.633 of Transition/acq/integration exp and $8.8m of share based comp</t>
        </r>
      </text>
    </comment>
    <comment ref="W31" authorId="2">
      <text>
        <r>
          <rPr>
            <sz val="8"/>
            <color indexed="81"/>
            <rFont val="Tahoma"/>
            <family val="2"/>
          </rPr>
          <t>Includes Transition,  Acquisition and Integration cost : 1.210m
Share-Based Compensation : $6.740m</t>
        </r>
      </text>
    </comment>
    <comment ref="X31" authorId="0">
      <text>
        <r>
          <rPr>
            <b/>
            <sz val="8"/>
            <color indexed="81"/>
            <rFont val="Tahoma"/>
            <family val="2"/>
          </rPr>
          <t>vasundhg:</t>
        </r>
        <r>
          <rPr>
            <sz val="8"/>
            <color indexed="81"/>
            <rFont val="Tahoma"/>
            <family val="2"/>
          </rPr>
          <t xml:space="preserve">
transaction, acquisition, integration and share-based comp</t>
        </r>
      </text>
    </comment>
    <comment ref="Y31" authorId="0">
      <text>
        <r>
          <rPr>
            <b/>
            <sz val="8"/>
            <color indexed="81"/>
            <rFont val="Tahoma"/>
            <family val="2"/>
          </rPr>
          <t>vasundhg:</t>
        </r>
        <r>
          <rPr>
            <sz val="8"/>
            <color indexed="81"/>
            <rFont val="Tahoma"/>
            <family val="2"/>
          </rPr>
          <t xml:space="preserve">
adjusted for transaction, acquisition, integration and share-based comp</t>
        </r>
      </text>
    </comment>
    <comment ref="A38" authorId="3">
      <text>
        <r>
          <rPr>
            <sz val="9"/>
            <color indexed="81"/>
            <rFont val="Tahoma"/>
            <family val="2"/>
          </rPr>
          <t>Excludes SBC.</t>
        </r>
      </text>
    </comment>
    <comment ref="P38" authorId="0">
      <text>
        <r>
          <rPr>
            <b/>
            <sz val="8"/>
            <color indexed="81"/>
            <rFont val="Tahoma"/>
            <family val="2"/>
          </rPr>
          <t>vasundhg:</t>
        </r>
        <r>
          <rPr>
            <sz val="8"/>
            <color indexed="81"/>
            <rFont val="Tahoma"/>
            <family val="2"/>
          </rPr>
          <t xml:space="preserve">
02/15/12 call: $5M upside vs. expectations due to Durbin</t>
        </r>
      </text>
    </comment>
    <comment ref="R38" authorId="0">
      <text>
        <r>
          <rPr>
            <b/>
            <sz val="8"/>
            <color indexed="81"/>
            <rFont val="Tahoma"/>
            <family val="2"/>
          </rPr>
          <t>vasundhg:</t>
        </r>
        <r>
          <rPr>
            <sz val="8"/>
            <color indexed="81"/>
            <rFont val="Tahoma"/>
            <family val="2"/>
          </rPr>
          <t xml:space="preserve">
1Q follow-up: ~$5mm benefit from Durbin</t>
        </r>
      </text>
    </comment>
    <comment ref="AA40" authorId="0">
      <text>
        <r>
          <rPr>
            <b/>
            <sz val="8"/>
            <color indexed="81"/>
            <rFont val="Tahoma"/>
            <family val="2"/>
          </rPr>
          <t>vasundhg:</t>
        </r>
        <r>
          <rPr>
            <sz val="8"/>
            <color indexed="81"/>
            <rFont val="Tahoma"/>
            <family val="2"/>
          </rPr>
          <t xml:space="preserve">
02/15/12 call: expect 20-40 bps annual margin expansion vs. prior call for flat margins</t>
        </r>
      </text>
    </comment>
    <comment ref="R41" authorId="1">
      <text>
        <r>
          <rPr>
            <b/>
            <sz val="8"/>
            <color indexed="81"/>
            <rFont val="Tahoma"/>
            <family val="2"/>
          </rPr>
          <t>fodorg:</t>
        </r>
        <r>
          <rPr>
            <sz val="8"/>
            <color indexed="81"/>
            <rFont val="Tahoma"/>
            <family val="2"/>
          </rPr>
          <t xml:space="preserve">
investments in DFS contributed some as well as general invt in sales and product.  
Sales headcount up 20-25% YOY</t>
        </r>
      </text>
    </comment>
    <comment ref="AZ41" authorId="4">
      <text>
        <r>
          <rPr>
            <b/>
            <sz val="9"/>
            <color indexed="81"/>
            <rFont val="Tahoma"/>
            <family val="2"/>
          </rPr>
          <t>Govil, Vasundhara (Research):</t>
        </r>
        <r>
          <rPr>
            <sz val="9"/>
            <color indexed="81"/>
            <rFont val="Tahoma"/>
            <family val="2"/>
          </rPr>
          <t xml:space="preserve">
Moneris synergies will drive 10-15mn in cost saves</t>
        </r>
      </text>
    </comment>
    <comment ref="P44" authorId="0">
      <text>
        <r>
          <rPr>
            <b/>
            <sz val="8"/>
            <color indexed="81"/>
            <rFont val="Tahoma"/>
            <family val="2"/>
          </rPr>
          <t>vasundhg:</t>
        </r>
        <r>
          <rPr>
            <sz val="8"/>
            <color indexed="81"/>
            <rFont val="Tahoma"/>
            <family val="2"/>
          </rPr>
          <t xml:space="preserve">
$1.4m higher than expectations due to timing of closing of HQ and such</t>
        </r>
      </text>
    </comment>
    <comment ref="V44" authorId="0">
      <text>
        <r>
          <rPr>
            <b/>
            <sz val="8"/>
            <color indexed="81"/>
            <rFont val="Tahoma"/>
            <family val="2"/>
          </rPr>
          <t>vasundhg:</t>
        </r>
        <r>
          <rPr>
            <sz val="8"/>
            <color indexed="81"/>
            <rFont val="Tahoma"/>
            <family val="2"/>
          </rPr>
          <t xml:space="preserve">
02/15/12 call: updated to $40 annual due to timing.  Assets are relatively new due to spin off and won't mature from deprn perspective until 2014. </t>
        </r>
      </text>
    </comment>
    <comment ref="R51" authorId="1">
      <text>
        <r>
          <rPr>
            <b/>
            <sz val="8"/>
            <color indexed="81"/>
            <rFont val="Tahoma"/>
            <family val="2"/>
          </rPr>
          <t>fodorg:</t>
        </r>
        <r>
          <rPr>
            <sz val="8"/>
            <color indexed="81"/>
            <rFont val="Tahoma"/>
            <family val="2"/>
          </rPr>
          <t xml:space="preserve">
1q is seasonally weak, and also investing for DFS biz</t>
        </r>
      </text>
    </comment>
    <comment ref="V54" authorId="0">
      <text>
        <r>
          <rPr>
            <b/>
            <sz val="8"/>
            <color indexed="81"/>
            <rFont val="Tahoma"/>
            <family val="2"/>
          </rPr>
          <t>vasundhg:</t>
        </r>
        <r>
          <rPr>
            <sz val="8"/>
            <color indexed="81"/>
            <rFont val="Tahoma"/>
            <family val="2"/>
          </rPr>
          <t xml:space="preserve">
1Q12 call: approx $59M</t>
        </r>
      </text>
    </comment>
    <comment ref="AA54" authorId="0">
      <text>
        <r>
          <rPr>
            <b/>
            <sz val="8"/>
            <color indexed="81"/>
            <rFont val="Tahoma"/>
            <family val="2"/>
          </rPr>
          <t>vasundhg:</t>
        </r>
        <r>
          <rPr>
            <sz val="8"/>
            <color indexed="81"/>
            <rFont val="Tahoma"/>
            <family val="2"/>
          </rPr>
          <t xml:space="preserve">
estimate is $41mm          </t>
        </r>
      </text>
    </comment>
    <comment ref="AZ54" authorId="4">
      <text>
        <r>
          <rPr>
            <b/>
            <sz val="9"/>
            <color indexed="81"/>
            <rFont val="Tahoma"/>
            <family val="2"/>
          </rPr>
          <t>Govil, Vasundhara (Research):</t>
        </r>
        <r>
          <rPr>
            <sz val="9"/>
            <color indexed="81"/>
            <rFont val="Tahoma"/>
            <family val="2"/>
          </rPr>
          <t xml:space="preserve">
includes cost of debt amortization, hedging, swaps, etc. </t>
        </r>
      </text>
    </comment>
    <comment ref="J55" authorId="0">
      <text>
        <r>
          <rPr>
            <b/>
            <sz val="8"/>
            <color indexed="81"/>
            <rFont val="Tahoma"/>
            <family val="2"/>
          </rPr>
          <t>vasundhg:</t>
        </r>
        <r>
          <rPr>
            <sz val="8"/>
            <color indexed="81"/>
            <rFont val="Tahoma"/>
            <family val="2"/>
          </rPr>
          <t xml:space="preserve">
weighted average interest rate of ~9.5% YTD, as per S1</t>
        </r>
      </text>
    </comment>
    <comment ref="O55" authorId="0">
      <text>
        <r>
          <rPr>
            <b/>
            <sz val="8"/>
            <color indexed="81"/>
            <rFont val="Tahoma"/>
            <family val="2"/>
          </rPr>
          <t>vasundhg:</t>
        </r>
        <r>
          <rPr>
            <sz val="8"/>
            <color indexed="81"/>
            <rFont val="Tahoma"/>
            <family val="2"/>
          </rPr>
          <t xml:space="preserve">
weighted average interest rate of ~5.3% YTD, as per S1</t>
        </r>
      </text>
    </comment>
    <comment ref="AG56" authorId="4">
      <text>
        <r>
          <rPr>
            <b/>
            <sz val="9"/>
            <color indexed="81"/>
            <rFont val="Tahoma"/>
            <family val="2"/>
          </rPr>
          <t>Govil, Vasundhara (Research):</t>
        </r>
        <r>
          <rPr>
            <sz val="9"/>
            <color indexed="81"/>
            <rFont val="Tahoma"/>
            <family val="2"/>
          </rPr>
          <t xml:space="preserve">
JV non-controlling interest</t>
        </r>
      </text>
    </comment>
    <comment ref="U61" authorId="0">
      <text>
        <r>
          <rPr>
            <b/>
            <sz val="8"/>
            <color indexed="81"/>
            <rFont val="Tahoma"/>
            <family val="2"/>
          </rPr>
          <t>vasundhg:</t>
        </r>
        <r>
          <rPr>
            <sz val="8"/>
            <color indexed="81"/>
            <rFont val="Tahoma"/>
            <family val="2"/>
          </rPr>
          <t xml:space="preserve">
tax at effective rate of 38.5% (46.980) - cash tax adjustments (related to acquisition)</t>
        </r>
      </text>
    </comment>
    <comment ref="AI66" authorId="4">
      <text>
        <r>
          <rPr>
            <b/>
            <sz val="9"/>
            <color indexed="81"/>
            <rFont val="Tahoma"/>
            <family val="2"/>
          </rPr>
          <t>Govil, Vasundhara (Research):</t>
        </r>
        <r>
          <rPr>
            <sz val="9"/>
            <color indexed="81"/>
            <rFont val="Tahoma"/>
            <family val="2"/>
          </rPr>
          <t xml:space="preserve">
$5mn benefit from termination of TRAs associated with Mercury acquisition</t>
        </r>
      </text>
    </comment>
    <comment ref="AL66" authorId="4">
      <text>
        <r>
          <rPr>
            <b/>
            <sz val="9"/>
            <color indexed="81"/>
            <rFont val="Tahoma"/>
            <family val="2"/>
          </rPr>
          <t>Govil, Vasundhara (Research):</t>
        </r>
        <r>
          <rPr>
            <sz val="9"/>
            <color indexed="81"/>
            <rFont val="Tahoma"/>
            <family val="2"/>
          </rPr>
          <t xml:space="preserve">
benefit from Mercury TRA steps down from $5mn /quarter to $4mn/quarter but annual benefit steps up from $0.05 in 2015 to $0.08 in 2016</t>
        </r>
      </text>
    </comment>
    <comment ref="AQ66" authorId="4">
      <text>
        <r>
          <rPr>
            <b/>
            <sz val="9"/>
            <color indexed="81"/>
            <rFont val="Tahoma"/>
            <family val="2"/>
          </rPr>
          <t>Govil, Vasundhara (Research):</t>
        </r>
        <r>
          <rPr>
            <sz val="9"/>
            <color indexed="81"/>
            <rFont val="Tahoma"/>
            <family val="2"/>
          </rPr>
          <t xml:space="preserve">
incremental form Mercury and Fifth Third TRAs</t>
        </r>
      </text>
    </comment>
    <comment ref="AV66" authorId="4">
      <text>
        <r>
          <rPr>
            <b/>
            <sz val="9"/>
            <color indexed="81"/>
            <rFont val="Tahoma"/>
            <family val="2"/>
          </rPr>
          <t>Govil, Vasundhara (Research):</t>
        </r>
        <r>
          <rPr>
            <sz val="9"/>
            <color indexed="81"/>
            <rFont val="Tahoma"/>
            <family val="2"/>
          </rPr>
          <t xml:space="preserve">
$35mn TRA benefit lowwered by 40% (commensurate with tax cut)</t>
        </r>
      </text>
    </comment>
    <comment ref="U68" authorId="0">
      <text>
        <r>
          <rPr>
            <b/>
            <sz val="8"/>
            <color indexed="81"/>
            <rFont val="Tahoma"/>
            <family val="2"/>
          </rPr>
          <t>vasundhg:</t>
        </r>
        <r>
          <rPr>
            <sz val="8"/>
            <color indexed="81"/>
            <rFont val="Tahoma"/>
            <family val="2"/>
          </rPr>
          <t xml:space="preserve">
lower tax rate due to tax benefits from mortization of intangibles and other tax attributes of Litle &amp;Co acquisition</t>
        </r>
      </text>
    </comment>
    <comment ref="AF68" authorId="0">
      <text>
        <r>
          <rPr>
            <b/>
            <sz val="8"/>
            <color indexed="81"/>
            <rFont val="Tahoma"/>
            <family val="2"/>
          </rPr>
          <t>vasundhg:</t>
        </r>
        <r>
          <rPr>
            <sz val="8"/>
            <color indexed="81"/>
            <rFont val="Tahoma"/>
            <family val="2"/>
          </rPr>
          <t xml:space="preserve">
lower due to tax benefit from TRAs terminated in late 2013. </t>
        </r>
      </text>
    </comment>
    <comment ref="AK68" authorId="0">
      <text>
        <r>
          <rPr>
            <b/>
            <sz val="8"/>
            <color indexed="81"/>
            <rFont val="Tahoma"/>
            <family val="2"/>
          </rPr>
          <t>vasundhg:</t>
        </r>
        <r>
          <rPr>
            <sz val="8"/>
            <color indexed="81"/>
            <rFont val="Tahoma"/>
            <family val="2"/>
          </rPr>
          <t xml:space="preserve">
lower due to tax benefit from TRAs terminated in late 2013. </t>
        </r>
      </text>
    </comment>
    <comment ref="AP68" authorId="0">
      <text>
        <r>
          <rPr>
            <b/>
            <sz val="8"/>
            <color indexed="81"/>
            <rFont val="Tahoma"/>
            <family val="2"/>
          </rPr>
          <t>vasundhg:</t>
        </r>
        <r>
          <rPr>
            <sz val="8"/>
            <color indexed="81"/>
            <rFont val="Tahoma"/>
            <family val="2"/>
          </rPr>
          <t xml:space="preserve">
lower due to tax benefit from TRAs terminated in late 2013. </t>
        </r>
      </text>
    </comment>
    <comment ref="AU68" authorId="0">
      <text>
        <r>
          <rPr>
            <b/>
            <sz val="8"/>
            <color indexed="81"/>
            <rFont val="Tahoma"/>
            <family val="2"/>
          </rPr>
          <t>vasundhg:</t>
        </r>
        <r>
          <rPr>
            <sz val="8"/>
            <color indexed="81"/>
            <rFont val="Tahoma"/>
            <family val="2"/>
          </rPr>
          <t xml:space="preserve">
lower due to tax benefit from TRAs terminated in late 2013. </t>
        </r>
      </text>
    </comment>
    <comment ref="AZ68" authorId="0">
      <text>
        <r>
          <rPr>
            <b/>
            <sz val="8"/>
            <color indexed="81"/>
            <rFont val="Tahoma"/>
            <family val="2"/>
          </rPr>
          <t>vasundhg:</t>
        </r>
        <r>
          <rPr>
            <sz val="8"/>
            <color indexed="81"/>
            <rFont val="Tahoma"/>
            <family val="2"/>
          </rPr>
          <t xml:space="preserve">
lower due to tax benefit from TRAs terminated in late 2013. </t>
        </r>
      </text>
    </comment>
    <comment ref="BE68" authorId="0">
      <text>
        <r>
          <rPr>
            <b/>
            <sz val="8"/>
            <color indexed="81"/>
            <rFont val="Tahoma"/>
            <family val="2"/>
          </rPr>
          <t>vasundhg:</t>
        </r>
        <r>
          <rPr>
            <sz val="8"/>
            <color indexed="81"/>
            <rFont val="Tahoma"/>
            <family val="2"/>
          </rPr>
          <t xml:space="preserve">
lower due to tax benefit from TRAs terminated in late 2013. </t>
        </r>
      </text>
    </comment>
    <comment ref="BJ68" authorId="0">
      <text>
        <r>
          <rPr>
            <b/>
            <sz val="8"/>
            <color indexed="81"/>
            <rFont val="Tahoma"/>
            <family val="2"/>
          </rPr>
          <t>vasundhg:</t>
        </r>
        <r>
          <rPr>
            <sz val="8"/>
            <color indexed="81"/>
            <rFont val="Tahoma"/>
            <family val="2"/>
          </rPr>
          <t xml:space="preserve">
lower due to tax benefit from TRAs terminated in late 2013. </t>
        </r>
      </text>
    </comment>
    <comment ref="B69" authorId="0">
      <text>
        <r>
          <rPr>
            <b/>
            <sz val="8"/>
            <color indexed="81"/>
            <rFont val="Tahoma"/>
            <family val="2"/>
          </rPr>
          <t>vasundhg:</t>
        </r>
        <r>
          <rPr>
            <sz val="8"/>
            <color indexed="81"/>
            <rFont val="Tahoma"/>
            <family val="2"/>
          </rPr>
          <t xml:space="preserve">
assumes corporate tax rate of 38.5%</t>
        </r>
      </text>
    </comment>
    <comment ref="Z72" authorId="0">
      <text>
        <r>
          <rPr>
            <b/>
            <sz val="8"/>
            <color indexed="81"/>
            <rFont val="Tahoma"/>
            <family val="2"/>
          </rPr>
          <t>vasundhg:</t>
        </r>
        <r>
          <rPr>
            <sz val="8"/>
            <color indexed="81"/>
            <rFont val="Tahoma"/>
            <family val="2"/>
          </rPr>
          <t xml:space="preserve">
F3Q13: $0.43-0.45</t>
        </r>
      </text>
    </comment>
    <comment ref="AK72" authorId="4">
      <text>
        <r>
          <rPr>
            <b/>
            <sz val="9"/>
            <color indexed="81"/>
            <rFont val="Tahoma"/>
            <family val="2"/>
          </rPr>
          <t>Govil, Vasundhara (Research):</t>
        </r>
        <r>
          <rPr>
            <sz val="9"/>
            <color indexed="81"/>
            <rFont val="Tahoma"/>
            <family val="2"/>
          </rPr>
          <t xml:space="preserve">
$0.05 accretion from Mercury TRA termination</t>
        </r>
      </text>
    </comment>
    <comment ref="AP72" authorId="4">
      <text>
        <r>
          <rPr>
            <b/>
            <sz val="9"/>
            <color indexed="81"/>
            <rFont val="Tahoma"/>
            <family val="2"/>
          </rPr>
          <t>Govil, Vasundhara (Research):</t>
        </r>
        <r>
          <rPr>
            <sz val="9"/>
            <color indexed="81"/>
            <rFont val="Tahoma"/>
            <family val="2"/>
          </rPr>
          <t xml:space="preserve">
$0.08 accretion from Mercury TRA termination</t>
        </r>
      </text>
    </comment>
    <comment ref="AU72" authorId="4">
      <text>
        <r>
          <rPr>
            <b/>
            <sz val="9"/>
            <color indexed="81"/>
            <rFont val="Tahoma"/>
            <family val="2"/>
          </rPr>
          <t>Govil, Vasundhara (Research):</t>
        </r>
        <r>
          <rPr>
            <sz val="9"/>
            <color indexed="81"/>
            <rFont val="Tahoma"/>
            <family val="2"/>
          </rPr>
          <t xml:space="preserve">
$0.10 accretion from Mercury TRA termination</t>
        </r>
      </text>
    </comment>
    <comment ref="AZ72" authorId="4">
      <text>
        <r>
          <rPr>
            <b/>
            <sz val="9"/>
            <color indexed="81"/>
            <rFont val="Tahoma"/>
            <family val="2"/>
          </rPr>
          <t>Govil, Vasundhara (Research):</t>
        </r>
        <r>
          <rPr>
            <sz val="9"/>
            <color indexed="81"/>
            <rFont val="Tahoma"/>
            <family val="2"/>
          </rPr>
          <t xml:space="preserve">
$0.10 accretion from Mercury TRA termination</t>
        </r>
      </text>
    </comment>
    <comment ref="BE72" authorId="4">
      <text>
        <r>
          <rPr>
            <b/>
            <sz val="9"/>
            <color indexed="81"/>
            <rFont val="Tahoma"/>
            <family val="2"/>
          </rPr>
          <t>Govil, Vasundhara (Research):</t>
        </r>
        <r>
          <rPr>
            <sz val="9"/>
            <color indexed="81"/>
            <rFont val="Tahoma"/>
            <family val="2"/>
          </rPr>
          <t xml:space="preserve">
$0.10 accretion from Mercury TRA termination</t>
        </r>
      </text>
    </comment>
    <comment ref="BJ72" authorId="4">
      <text>
        <r>
          <rPr>
            <b/>
            <sz val="9"/>
            <color indexed="81"/>
            <rFont val="Tahoma"/>
            <family val="2"/>
          </rPr>
          <t>Govil, Vasundhara (Research):</t>
        </r>
        <r>
          <rPr>
            <sz val="9"/>
            <color indexed="81"/>
            <rFont val="Tahoma"/>
            <family val="2"/>
          </rPr>
          <t xml:space="preserve">
$0.10 accretion from Mercury TRA termination</t>
        </r>
      </text>
    </comment>
    <comment ref="U73" authorId="0">
      <text>
        <r>
          <rPr>
            <b/>
            <sz val="8"/>
            <color indexed="81"/>
            <rFont val="Tahoma"/>
            <family val="2"/>
          </rPr>
          <t>vasundhg:</t>
        </r>
        <r>
          <rPr>
            <sz val="8"/>
            <color indexed="81"/>
            <rFont val="Tahoma"/>
            <family val="2"/>
          </rPr>
          <t xml:space="preserve">
2Q12 call: expect 4Q12 results to be less seasonally weighted compared to
2011, due to lapping of Durbin benefits. Will result in lower net rev / cash net income growth in 4Q12 vs. rest of the year.</t>
        </r>
      </text>
    </comment>
    <comment ref="AS76" authorId="4">
      <text>
        <r>
          <rPr>
            <b/>
            <sz val="9"/>
            <color indexed="81"/>
            <rFont val="Tahoma"/>
            <family val="2"/>
          </rPr>
          <t>Govil, Vasundhara (Research):</t>
        </r>
        <r>
          <rPr>
            <sz val="9"/>
            <color indexed="81"/>
            <rFont val="Tahoma"/>
            <family val="2"/>
          </rPr>
          <t xml:space="preserve">
buyback of 19.79mn shares from Fifth Third on Aug 9, 2017</t>
        </r>
      </text>
    </comment>
    <comment ref="AV76" authorId="4">
      <text>
        <r>
          <rPr>
            <b/>
            <sz val="9"/>
            <color indexed="81"/>
            <rFont val="Tahoma"/>
            <family val="2"/>
          </rPr>
          <t>Govil, Vasundhara (Research):</t>
        </r>
        <r>
          <rPr>
            <sz val="9"/>
            <color indexed="81"/>
            <rFont val="Tahoma"/>
            <family val="2"/>
          </rPr>
          <t xml:space="preserve">
extra 5mn to serve as buffer for potential equity grants etc. </t>
        </r>
      </text>
    </comment>
    <comment ref="AS81" authorId="5">
      <text>
        <r>
          <rPr>
            <sz val="9"/>
            <color indexed="81"/>
            <rFont val="Tahoma"/>
            <family val="2"/>
          </rPr>
          <t>Needs to be updated once 10-Q is released</t>
        </r>
      </text>
    </comment>
    <comment ref="AS82" authorId="5">
      <text>
        <r>
          <rPr>
            <sz val="9"/>
            <color indexed="81"/>
            <rFont val="Tahoma"/>
            <family val="2"/>
          </rPr>
          <t>Needs to be updated once 10-Q is released</t>
        </r>
      </text>
    </comment>
    <comment ref="AS83" authorId="5">
      <text>
        <r>
          <rPr>
            <sz val="9"/>
            <color indexed="81"/>
            <rFont val="Tahoma"/>
            <family val="2"/>
          </rPr>
          <t>Needs to be updated once 10-Q is released</t>
        </r>
      </text>
    </comment>
    <comment ref="AS84" authorId="5">
      <text>
        <r>
          <rPr>
            <sz val="9"/>
            <color indexed="81"/>
            <rFont val="Tahoma"/>
            <family val="2"/>
          </rPr>
          <t>Needs to be updated once 10-Q is released</t>
        </r>
      </text>
    </comment>
    <comment ref="AQ86" authorId="6">
      <text>
        <r>
          <rPr>
            <sz val="9"/>
            <color indexed="81"/>
            <rFont val="Tahoma"/>
            <family val="2"/>
          </rPr>
          <t>In October 2016, our board of directors authorized a program to repurchase up to $250 million of our Class A common stock. The Company has approximately $243 million of share repurchase authority remaining as of March 31, 2017 under this authorization.
Source: 10Q of 1Q17 Page 10</t>
        </r>
      </text>
    </comment>
    <comment ref="AR86" authorId="6">
      <text>
        <r>
          <rPr>
            <sz val="9"/>
            <color indexed="81"/>
            <rFont val="Tahoma"/>
            <family val="2"/>
          </rPr>
          <t>In October 2016, our board of directors authorized a program to repurchase up to $250 million of our Class A common stock. The Company has approximately $243 million of share repurchase authority remaining as of June 30, 2017 under this authorization.
Source: 10Q of 2Q17 Page 10</t>
        </r>
      </text>
    </comment>
    <comment ref="AS86" authorId="5">
      <text>
        <r>
          <rPr>
            <sz val="9"/>
            <color indexed="81"/>
            <rFont val="Tahoma"/>
            <family val="2"/>
          </rPr>
          <t>Needs to be updated once 10-Q is released</t>
        </r>
      </text>
    </comment>
    <comment ref="AS87" authorId="5">
      <text>
        <r>
          <rPr>
            <sz val="9"/>
            <color indexed="81"/>
            <rFont val="Tahoma"/>
            <family val="2"/>
          </rPr>
          <t>Needs to be updated once 10-Q is released</t>
        </r>
      </text>
    </comment>
    <comment ref="AS88" authorId="5">
      <text>
        <r>
          <rPr>
            <sz val="9"/>
            <color indexed="81"/>
            <rFont val="Tahoma"/>
            <family val="2"/>
          </rPr>
          <t>Needs to be updated once 10-Q is released</t>
        </r>
      </text>
    </comment>
    <comment ref="A91" authorId="3">
      <text>
        <r>
          <rPr>
            <sz val="9"/>
            <color indexed="81"/>
            <rFont val="Tahoma"/>
            <family val="2"/>
          </rPr>
          <t xml:space="preserve">In 4Q13 VNTV paid Advent and JPDN 112.5 up front for the PV of its TRA obligations (254.4mn obligation), and now recognizes these TRA savings in EPS.  We back out part of this payment (2.45 = </t>
        </r>
      </text>
    </comment>
    <comment ref="G92" authorId="1">
      <text>
        <r>
          <rPr>
            <b/>
            <sz val="8"/>
            <color indexed="81"/>
            <rFont val="Tahoma"/>
            <family val="2"/>
          </rPr>
          <t>fodorg:</t>
        </r>
        <r>
          <rPr>
            <sz val="8"/>
            <color indexed="81"/>
            <rFont val="Tahoma"/>
            <family val="2"/>
          </rPr>
          <t xml:space="preserve">
89.5</t>
        </r>
      </text>
    </comment>
    <comment ref="L92" authorId="1">
      <text>
        <r>
          <rPr>
            <b/>
            <sz val="8"/>
            <color indexed="81"/>
            <rFont val="Tahoma"/>
            <family val="2"/>
          </rPr>
          <t>fodorg:</t>
        </r>
        <r>
          <rPr>
            <sz val="8"/>
            <color indexed="81"/>
            <rFont val="Tahoma"/>
            <family val="2"/>
          </rPr>
          <t xml:space="preserve">
54.9</t>
        </r>
      </text>
    </comment>
    <comment ref="AF93" authorId="3">
      <text>
        <r>
          <rPr>
            <b/>
            <sz val="9"/>
            <color indexed="81"/>
            <rFont val="Tahoma"/>
            <family val="2"/>
          </rPr>
          <t>Hussain, Danyal (Research):</t>
        </r>
        <r>
          <rPr>
            <sz val="9"/>
            <color indexed="81"/>
            <rFont val="Tahoma"/>
            <family val="2"/>
          </rPr>
          <t xml:space="preserve">
Repurchasing the TRA will save $0.11 annually</t>
        </r>
      </text>
    </comment>
    <comment ref="R103" authorId="0">
      <text>
        <r>
          <rPr>
            <b/>
            <sz val="8"/>
            <color indexed="81"/>
            <rFont val="Tahoma"/>
            <family val="2"/>
          </rPr>
          <t>vasundhg:</t>
        </r>
        <r>
          <rPr>
            <sz val="8"/>
            <color indexed="81"/>
            <rFont val="Tahoma"/>
            <family val="2"/>
          </rPr>
          <t xml:space="preserve">
amortz/write off of debt issuance costs</t>
        </r>
      </text>
    </comment>
    <comment ref="S103" authorId="0">
      <text>
        <r>
          <rPr>
            <b/>
            <sz val="8"/>
            <color indexed="81"/>
            <rFont val="Tahoma"/>
            <family val="2"/>
          </rPr>
          <t>vasundhg:</t>
        </r>
        <r>
          <rPr>
            <sz val="8"/>
            <color indexed="81"/>
            <rFont val="Tahoma"/>
            <family val="2"/>
          </rPr>
          <t xml:space="preserve">
non-operating expenses associated with debt refinancing</t>
        </r>
      </text>
    </comment>
    <comment ref="T104" authorId="0">
      <text>
        <r>
          <rPr>
            <b/>
            <sz val="8"/>
            <color indexed="81"/>
            <rFont val="Tahoma"/>
            <family val="2"/>
          </rPr>
          <t>vasundhg:</t>
        </r>
        <r>
          <rPr>
            <sz val="8"/>
            <color indexed="81"/>
            <rFont val="Tahoma"/>
            <family val="2"/>
          </rPr>
          <t xml:space="preserve">
increase due to vesting of share based rewards related to IPO</t>
        </r>
      </text>
    </comment>
    <comment ref="V104" authorId="0">
      <text>
        <r>
          <rPr>
            <b/>
            <sz val="8"/>
            <color indexed="81"/>
            <rFont val="Tahoma"/>
            <family val="2"/>
          </rPr>
          <t>vasundhg:</t>
        </r>
        <r>
          <rPr>
            <sz val="8"/>
            <color indexed="81"/>
            <rFont val="Tahoma"/>
            <family val="2"/>
          </rPr>
          <t xml:space="preserve">
$35m per 1Q12 call</t>
        </r>
      </text>
    </comment>
    <comment ref="AA104" authorId="0">
      <text>
        <r>
          <rPr>
            <b/>
            <sz val="8"/>
            <color indexed="81"/>
            <rFont val="Tahoma"/>
            <family val="2"/>
          </rPr>
          <t>vasundhg:</t>
        </r>
        <r>
          <rPr>
            <sz val="8"/>
            <color indexed="81"/>
            <rFont val="Tahoma"/>
            <family val="2"/>
          </rPr>
          <t xml:space="preserve">
lowered from $31 following 1Q12 call as some pulled fwd</t>
        </r>
      </text>
    </comment>
    <comment ref="AF104" authorId="0">
      <text>
        <r>
          <rPr>
            <b/>
            <sz val="8"/>
            <color indexed="81"/>
            <rFont val="Tahoma"/>
            <family val="2"/>
          </rPr>
          <t>vasundhg:</t>
        </r>
        <r>
          <rPr>
            <sz val="8"/>
            <color indexed="81"/>
            <rFont val="Tahoma"/>
            <family val="2"/>
          </rPr>
          <t xml:space="preserve">
lowered from $30 following 1Q12 call as some pulled fwd</t>
        </r>
      </text>
    </comment>
    <comment ref="X112" authorId="0">
      <text>
        <r>
          <rPr>
            <b/>
            <sz val="8"/>
            <color indexed="81"/>
            <rFont val="Tahoma"/>
            <family val="2"/>
          </rPr>
          <t>vasundhg:</t>
        </r>
        <r>
          <rPr>
            <sz val="8"/>
            <color indexed="81"/>
            <rFont val="Tahoma"/>
            <family val="2"/>
          </rPr>
          <t xml:space="preserve">
one-time expenses of $20mm consisting of charges incurred with debt refinancing</t>
        </r>
      </text>
    </comment>
    <comment ref="G117" authorId="1">
      <text>
        <r>
          <rPr>
            <b/>
            <sz val="8"/>
            <color indexed="81"/>
            <rFont val="Tahoma"/>
            <family val="2"/>
          </rPr>
          <t>fodorg:</t>
        </r>
        <r>
          <rPr>
            <sz val="8"/>
            <color indexed="81"/>
            <rFont val="Tahoma"/>
            <family val="2"/>
          </rPr>
          <t xml:space="preserve">
89.5</t>
        </r>
      </text>
    </comment>
    <comment ref="L117" authorId="1">
      <text>
        <r>
          <rPr>
            <b/>
            <sz val="8"/>
            <color indexed="81"/>
            <rFont val="Tahoma"/>
            <family val="2"/>
          </rPr>
          <t>fodorg:</t>
        </r>
        <r>
          <rPr>
            <sz val="8"/>
            <color indexed="81"/>
            <rFont val="Tahoma"/>
            <family val="2"/>
          </rPr>
          <t xml:space="preserve">
54.9</t>
        </r>
      </text>
    </comment>
    <comment ref="G121" authorId="1">
      <text>
        <r>
          <rPr>
            <b/>
            <sz val="8"/>
            <color indexed="81"/>
            <rFont val="Tahoma"/>
            <family val="2"/>
          </rPr>
          <t>fodorg:</t>
        </r>
        <r>
          <rPr>
            <sz val="8"/>
            <color indexed="81"/>
            <rFont val="Tahoma"/>
            <family val="2"/>
          </rPr>
          <t xml:space="preserve">
89.5</t>
        </r>
      </text>
    </comment>
    <comment ref="L121" authorId="1">
      <text>
        <r>
          <rPr>
            <b/>
            <sz val="8"/>
            <color indexed="81"/>
            <rFont val="Tahoma"/>
            <family val="2"/>
          </rPr>
          <t>fodorg:</t>
        </r>
        <r>
          <rPr>
            <sz val="8"/>
            <color indexed="81"/>
            <rFont val="Tahoma"/>
            <family val="2"/>
          </rPr>
          <t xml:space="preserve">
54.9</t>
        </r>
      </text>
    </comment>
    <comment ref="V129" authorId="1">
      <text>
        <r>
          <rPr>
            <b/>
            <sz val="8"/>
            <color indexed="81"/>
            <rFont val="Tahoma"/>
            <family val="2"/>
          </rPr>
          <t>fodorg:</t>
        </r>
        <r>
          <rPr>
            <sz val="8"/>
            <color indexed="81"/>
            <rFont val="Tahoma"/>
            <family val="2"/>
          </rPr>
          <t xml:space="preserve">
less margin expansion than vantiv method b/c stock comp costs going up</t>
        </r>
      </text>
    </comment>
    <comment ref="G143" authorId="7">
      <text>
        <r>
          <rPr>
            <sz val="8"/>
            <color indexed="81"/>
            <rFont val="Tahoma"/>
            <family val="2"/>
          </rPr>
          <t>Includes only  Successor numbers (six months), Jul-Dec 09</t>
        </r>
        <r>
          <rPr>
            <sz val="8"/>
            <color indexed="81"/>
            <rFont val="Tahoma"/>
            <family val="2"/>
          </rPr>
          <t xml:space="preserve">
</t>
        </r>
      </text>
    </comment>
    <comment ref="N143" authorId="7">
      <text>
        <r>
          <rPr>
            <sz val="8"/>
            <color indexed="81"/>
            <rFont val="Tahoma"/>
            <family val="2"/>
          </rPr>
          <t>6months number</t>
        </r>
      </text>
    </comment>
    <comment ref="AC154" authorId="4">
      <text>
        <r>
          <rPr>
            <b/>
            <sz val="9"/>
            <color indexed="81"/>
            <rFont val="Tahoma"/>
            <family val="2"/>
          </rPr>
          <t>Govil, Vasundhara (Research):</t>
        </r>
        <r>
          <rPr>
            <sz val="9"/>
            <color indexed="81"/>
            <rFont val="Tahoma"/>
            <family val="2"/>
          </rPr>
          <t xml:space="preserve">
represents write off of intangible assets</t>
        </r>
      </text>
    </comment>
    <comment ref="M156" authorId="7">
      <text>
        <r>
          <rPr>
            <sz val="8"/>
            <color indexed="81"/>
            <rFont val="Tahoma"/>
            <family val="2"/>
          </rPr>
          <t>Adjusted for rounding off difference</t>
        </r>
      </text>
    </comment>
    <comment ref="AH177" authorId="4">
      <text>
        <r>
          <rPr>
            <b/>
            <sz val="9"/>
            <color indexed="81"/>
            <rFont val="Tahoma"/>
            <family val="2"/>
          </rPr>
          <t>Govil, Vasundhara (Research):</t>
        </r>
        <r>
          <rPr>
            <sz val="9"/>
            <color indexed="81"/>
            <rFont val="Tahoma"/>
            <family val="2"/>
          </rPr>
          <t xml:space="preserve">
from exercise of stock options</t>
        </r>
      </text>
    </comment>
    <comment ref="R179" authorId="0">
      <text>
        <r>
          <rPr>
            <b/>
            <sz val="8"/>
            <color indexed="81"/>
            <rFont val="Tahoma"/>
            <family val="2"/>
          </rPr>
          <t>vasundhg:</t>
        </r>
        <r>
          <rPr>
            <sz val="8"/>
            <color indexed="81"/>
            <rFont val="Tahoma"/>
            <family val="2"/>
          </rPr>
          <t xml:space="preserve">
02/15/12 call: expect to use $500M proceeds from IPO to pay down debt</t>
        </r>
      </text>
    </comment>
    <comment ref="R181" authorId="0">
      <text>
        <r>
          <rPr>
            <b/>
            <sz val="8"/>
            <color indexed="81"/>
            <rFont val="Tahoma"/>
            <family val="2"/>
          </rPr>
          <t>vasundhg:</t>
        </r>
        <r>
          <rPr>
            <sz val="8"/>
            <color indexed="81"/>
            <rFont val="Tahoma"/>
            <family val="2"/>
          </rPr>
          <t xml:space="preserve">
includes purchase of Class A for tax withholding obligation and distribution to Advent</t>
        </r>
      </text>
    </comment>
    <comment ref="AS270" authorId="5">
      <text>
        <r>
          <rPr>
            <sz val="9"/>
            <color indexed="81"/>
            <rFont val="Tahoma"/>
            <family val="2"/>
          </rPr>
          <t>Needs to be updated once 10-Q is released</t>
        </r>
      </text>
    </comment>
    <comment ref="S273" authorId="0">
      <text>
        <r>
          <rPr>
            <b/>
            <sz val="8"/>
            <color indexed="81"/>
            <rFont val="Tahoma"/>
            <family val="2"/>
          </rPr>
          <t>vasundhg:</t>
        </r>
        <r>
          <rPr>
            <sz val="8"/>
            <color indexed="81"/>
            <rFont val="Tahoma"/>
            <family val="2"/>
          </rPr>
          <t xml:space="preserve">
LIBOR + (300-325 bps) with 100 bps floor.  Based on convo with bankers, pretty certain will get at low end, i.e. 4.5%</t>
        </r>
      </text>
    </comment>
    <comment ref="W273" authorId="0">
      <text>
        <r>
          <rPr>
            <b/>
            <sz val="8"/>
            <color indexed="81"/>
            <rFont val="Tahoma"/>
            <family val="2"/>
          </rPr>
          <t>vasundhg:</t>
        </r>
        <r>
          <rPr>
            <sz val="8"/>
            <color indexed="81"/>
            <rFont val="Tahoma"/>
            <family val="2"/>
          </rPr>
          <t xml:space="preserve">
LIBOR + (300-325 bps) with 100 bps floor.  Based on convo with bankers, pretty certain will get at low end, i.e. 4.5%</t>
        </r>
      </text>
    </comment>
    <comment ref="AB273" authorId="0">
      <text>
        <r>
          <rPr>
            <b/>
            <sz val="8"/>
            <color indexed="81"/>
            <rFont val="Tahoma"/>
            <family val="2"/>
          </rPr>
          <t>vasundhg:</t>
        </r>
        <r>
          <rPr>
            <sz val="8"/>
            <color indexed="81"/>
            <rFont val="Tahoma"/>
            <family val="2"/>
          </rPr>
          <t xml:space="preserve">
LIBOR + (300-325 bps) with 100 bps floor.  Based on convo with bankers, pretty certain will get at low end, i.e. 4.5%</t>
        </r>
      </text>
    </comment>
    <comment ref="AS273" authorId="5">
      <text>
        <r>
          <rPr>
            <sz val="9"/>
            <color indexed="81"/>
            <rFont val="Tahoma"/>
            <family val="2"/>
          </rPr>
          <t>Needs to be updated once 10-Q is released</t>
        </r>
      </text>
    </comment>
    <comment ref="AV284" authorId="4">
      <text>
        <r>
          <rPr>
            <b/>
            <sz val="9"/>
            <color indexed="81"/>
            <rFont val="Tahoma"/>
            <family val="2"/>
          </rPr>
          <t>Govil, Vasundhara (Research):</t>
        </r>
        <r>
          <rPr>
            <sz val="9"/>
            <color indexed="81"/>
            <rFont val="Tahoma"/>
            <family val="2"/>
          </rPr>
          <t xml:space="preserve">
GBP 470</t>
        </r>
      </text>
    </comment>
    <comment ref="BA284" authorId="4">
      <text>
        <r>
          <rPr>
            <b/>
            <sz val="9"/>
            <color indexed="81"/>
            <rFont val="Tahoma"/>
            <family val="2"/>
          </rPr>
          <t>Govil, Vasundhara (Research):</t>
        </r>
        <r>
          <rPr>
            <sz val="9"/>
            <color indexed="81"/>
            <rFont val="Tahoma"/>
            <family val="2"/>
          </rPr>
          <t xml:space="preserve">
GBP 470</t>
        </r>
      </text>
    </comment>
    <comment ref="BF284" authorId="4">
      <text>
        <r>
          <rPr>
            <b/>
            <sz val="9"/>
            <color indexed="81"/>
            <rFont val="Tahoma"/>
            <family val="2"/>
          </rPr>
          <t>Govil, Vasundhara (Research):</t>
        </r>
        <r>
          <rPr>
            <sz val="9"/>
            <color indexed="81"/>
            <rFont val="Tahoma"/>
            <family val="2"/>
          </rPr>
          <t xml:space="preserve">
GBP 470</t>
        </r>
      </text>
    </comment>
  </commentList>
</comments>
</file>

<file path=xl/comments2.xml><?xml version="1.0" encoding="utf-8"?>
<comments xmlns="http://schemas.openxmlformats.org/spreadsheetml/2006/main">
  <authors>
    <author>vasundhg</author>
    <author>Hussain, Danyal (Research)</author>
    <author>Govil, Vasundhara (Research)</author>
    <author>fodorg</author>
  </authors>
  <commentList>
    <comment ref="P8" authorId="0">
      <text>
        <r>
          <rPr>
            <b/>
            <sz val="8"/>
            <color indexed="81"/>
            <rFont val="Tahoma"/>
            <family val="2"/>
          </rPr>
          <t>vasundhg:</t>
        </r>
        <r>
          <rPr>
            <sz val="8"/>
            <color indexed="81"/>
            <rFont val="Tahoma"/>
            <family val="2"/>
          </rPr>
          <t xml:space="preserve">
~$10MM upside vs. prior expectations due to Durbin</t>
        </r>
      </text>
    </comment>
    <comment ref="R8" authorId="0">
      <text>
        <r>
          <rPr>
            <b/>
            <sz val="8"/>
            <color indexed="81"/>
            <rFont val="Tahoma"/>
            <family val="2"/>
          </rPr>
          <t>vasundhg:</t>
        </r>
        <r>
          <rPr>
            <sz val="8"/>
            <color indexed="81"/>
            <rFont val="Tahoma"/>
            <family val="2"/>
          </rPr>
          <t xml:space="preserve">
1Q12 call: currently &gt;50% of revs from direct channel.  Direct channel growing faster so contribution will increase by end of year</t>
        </r>
      </text>
    </comment>
    <comment ref="V8" authorId="0">
      <text>
        <r>
          <rPr>
            <b/>
            <sz val="8"/>
            <color indexed="81"/>
            <rFont val="Tahoma"/>
            <family val="2"/>
          </rPr>
          <t>vasundhg:</t>
        </r>
        <r>
          <rPr>
            <sz val="8"/>
            <color indexed="81"/>
            <rFont val="Tahoma"/>
            <family val="2"/>
          </rPr>
          <t xml:space="preserve">
1Q12 call: by end of F12, 60% of revs expected from direct channel, 40% from indirect/ISO channel</t>
        </r>
      </text>
    </comment>
    <comment ref="AD8" authorId="1">
      <text>
        <r>
          <rPr>
            <b/>
            <sz val="9"/>
            <color indexed="81"/>
            <rFont val="Tahoma"/>
            <family val="2"/>
          </rPr>
          <t>Hussain, Danyal (Research):</t>
        </r>
        <r>
          <rPr>
            <sz val="9"/>
            <color indexed="81"/>
            <rFont val="Tahoma"/>
            <family val="2"/>
          </rPr>
          <t xml:space="preserve">
"High growth channels" now represent 40% of merchant business, growing 20% annually.  Merchant bank is fastest growing part of segment.
34% of growth was from Mercury, so about 71.3mn.  Another 1% was from Element so about 2mn.</t>
        </r>
      </text>
    </comment>
    <comment ref="AK8" authorId="2">
      <text>
        <r>
          <rPr>
            <b/>
            <sz val="9"/>
            <color indexed="81"/>
            <rFont val="Tahoma"/>
            <family val="2"/>
          </rPr>
          <t>Govil, Vasundhara (Research):</t>
        </r>
        <r>
          <rPr>
            <sz val="9"/>
            <color indexed="81"/>
            <rFont val="Tahoma"/>
            <family val="2"/>
          </rPr>
          <t xml:space="preserve">
7-9% of merchant revenue comes from merchant bank channel</t>
        </r>
      </text>
    </comment>
    <comment ref="Y9" authorId="2">
      <text>
        <r>
          <rPr>
            <b/>
            <sz val="9"/>
            <color indexed="81"/>
            <rFont val="Tahoma"/>
            <family val="2"/>
          </rPr>
          <t>Govil, Vasundhara (Research):</t>
        </r>
        <r>
          <rPr>
            <sz val="9"/>
            <color indexed="81"/>
            <rFont val="Tahoma"/>
            <family val="2"/>
          </rPr>
          <t xml:space="preserve">
organic growth in the high single digits</t>
        </r>
      </text>
    </comment>
    <comment ref="Z9" authorId="2">
      <text>
        <r>
          <rPr>
            <b/>
            <sz val="9"/>
            <color indexed="81"/>
            <rFont val="Tahoma"/>
            <family val="2"/>
          </rPr>
          <t>Govil, Vasundhara (Research):</t>
        </r>
        <r>
          <rPr>
            <sz val="9"/>
            <color indexed="81"/>
            <rFont val="Tahoma"/>
            <family val="2"/>
          </rPr>
          <t xml:space="preserve">
low double digit organic growth</t>
        </r>
      </text>
    </comment>
    <comment ref="AC9" authorId="2">
      <text>
        <r>
          <rPr>
            <b/>
            <sz val="9"/>
            <color indexed="81"/>
            <rFont val="Tahoma"/>
            <family val="2"/>
          </rPr>
          <t>Govil, Vasundhara (Research):</t>
        </r>
        <r>
          <rPr>
            <sz val="9"/>
            <color indexed="81"/>
            <rFont val="Tahoma"/>
            <family val="2"/>
          </rPr>
          <t xml:space="preserve">
estimated ~10mn contribution from 2 weeks of Mercury</t>
        </r>
      </text>
    </comment>
    <comment ref="AD9" authorId="1">
      <text>
        <r>
          <rPr>
            <b/>
            <sz val="9"/>
            <color indexed="81"/>
            <rFont val="Tahoma"/>
            <family val="2"/>
          </rPr>
          <t>Hussain, Danyal (Research):</t>
        </r>
        <r>
          <rPr>
            <sz val="9"/>
            <color indexed="81"/>
            <rFont val="Tahoma"/>
            <family val="2"/>
          </rPr>
          <t xml:space="preserve">
Organic growth 7% ex Element, Mercury.  7% organic growth was somewhat helped by WMT, but actually mostly from stronger organic trends in new business.  5.5% SSS growth, for example.
Mercury grew mid-teens revs.</t>
        </r>
      </text>
    </comment>
    <comment ref="AE9" authorId="1">
      <text>
        <r>
          <rPr>
            <b/>
            <sz val="9"/>
            <color indexed="81"/>
            <rFont val="Tahoma"/>
            <family val="2"/>
          </rPr>
          <t>Hussain, Danyal (Research):</t>
        </r>
        <r>
          <rPr>
            <sz val="9"/>
            <color indexed="81"/>
            <rFont val="Tahoma"/>
            <family val="2"/>
          </rPr>
          <t xml:space="preserve">
Will see some benefit from Comerica and Peoples United bank.
Expect organic growth will be consistent from 3Q.</t>
        </r>
      </text>
    </comment>
    <comment ref="AF9" authorId="0">
      <text>
        <r>
          <rPr>
            <b/>
            <sz val="8"/>
            <color indexed="81"/>
            <rFont val="Tahoma"/>
            <family val="2"/>
          </rPr>
          <t>vasundhg:</t>
        </r>
        <r>
          <rPr>
            <sz val="8"/>
            <color indexed="81"/>
            <rFont val="Tahoma"/>
            <family val="2"/>
          </rPr>
          <t xml:space="preserve">
1Q14 call: expect 2% contribution from Element</t>
        </r>
      </text>
    </comment>
    <comment ref="AG9" authorId="1">
      <text>
        <r>
          <rPr>
            <b/>
            <sz val="9"/>
            <color indexed="81"/>
            <rFont val="Tahoma"/>
            <family val="2"/>
          </rPr>
          <t>Hussain, Danyal (Research):</t>
        </r>
        <r>
          <rPr>
            <sz val="9"/>
            <color indexed="81"/>
            <rFont val="Tahoma"/>
            <family val="2"/>
          </rPr>
          <t xml:space="preserve">
MUFG will start to benefit here.</t>
        </r>
      </text>
    </comment>
    <comment ref="AH9" authorId="2">
      <text>
        <r>
          <rPr>
            <b/>
            <sz val="9"/>
            <color indexed="81"/>
            <rFont val="Tahoma"/>
            <family val="2"/>
          </rPr>
          <t>Govil, Vasundhara (Research):</t>
        </r>
        <r>
          <rPr>
            <sz val="9"/>
            <color indexed="81"/>
            <rFont val="Tahoma"/>
            <family val="2"/>
          </rPr>
          <t xml:space="preserve">
11% increase on a Pro Forma basis. Mercury acquisition lapped this quarter</t>
        </r>
      </text>
    </comment>
    <comment ref="AI9" authorId="1">
      <text>
        <r>
          <rPr>
            <b/>
            <sz val="9"/>
            <color indexed="81"/>
            <rFont val="Tahoma"/>
            <family val="2"/>
          </rPr>
          <t>Hussain, Danyal (Research):</t>
        </r>
        <r>
          <rPr>
            <sz val="9"/>
            <color indexed="81"/>
            <rFont val="Tahoma"/>
            <family val="2"/>
          </rPr>
          <t xml:space="preserve">
Expect Mercury to be 2-3% accretive to Merchant rev growth.</t>
        </r>
      </text>
    </comment>
    <comment ref="AJ9" authorId="2">
      <text>
        <r>
          <rPr>
            <b/>
            <sz val="9"/>
            <color indexed="81"/>
            <rFont val="Tahoma"/>
            <family val="2"/>
          </rPr>
          <t>Govil, Vasundhara (Research):</t>
        </r>
        <r>
          <rPr>
            <sz val="9"/>
            <color indexed="81"/>
            <rFont val="Tahoma"/>
            <family val="2"/>
          </rPr>
          <t xml:space="preserve">
2Q15 call: "possible we are somewhat conservative abouy 4Q given some of the noise last few years around holiday season"</t>
        </r>
      </text>
    </comment>
    <comment ref="AL9" authorId="2">
      <text>
        <r>
          <rPr>
            <b/>
            <sz val="9"/>
            <color indexed="81"/>
            <rFont val="Tahoma"/>
            <family val="2"/>
          </rPr>
          <t>Govil, Vasundhara (Research):</t>
        </r>
        <r>
          <rPr>
            <sz val="9"/>
            <color indexed="81"/>
            <rFont val="Tahoma"/>
            <family val="2"/>
          </rPr>
          <t xml:space="preserve">
USPS and COF will start ramping here</t>
        </r>
      </text>
    </comment>
    <comment ref="AO9" authorId="2">
      <text>
        <r>
          <rPr>
            <b/>
            <sz val="9"/>
            <color indexed="81"/>
            <rFont val="Tahoma"/>
            <family val="2"/>
          </rPr>
          <t>Govil, Vasundhara (Research):</t>
        </r>
        <r>
          <rPr>
            <sz val="9"/>
            <color indexed="81"/>
            <rFont val="Tahoma"/>
            <family val="2"/>
          </rPr>
          <t xml:space="preserve">
lapping benefit of Capital one but nothing else that shd impact growth</t>
        </r>
      </text>
    </comment>
    <comment ref="AR9" authorId="2">
      <text>
        <r>
          <rPr>
            <b/>
            <sz val="9"/>
            <color indexed="81"/>
            <rFont val="Tahoma"/>
            <family val="2"/>
          </rPr>
          <t>Govil, Vasundhara (Research):</t>
        </r>
        <r>
          <rPr>
            <sz val="9"/>
            <color indexed="81"/>
            <rFont val="Tahoma"/>
            <family val="2"/>
          </rPr>
          <t xml:space="preserve">
roughly 10% organic growth. Moneris contributed 4% growth. Couple million from Paymetric</t>
        </r>
      </text>
    </comment>
    <comment ref="AS9" authorId="2">
      <text>
        <r>
          <rPr>
            <b/>
            <sz val="9"/>
            <color indexed="81"/>
            <rFont val="Tahoma"/>
            <family val="2"/>
          </rPr>
          <t>Govil, Vasundhara (Research):</t>
        </r>
        <r>
          <rPr>
            <sz val="9"/>
            <color indexed="81"/>
            <rFont val="Tahoma"/>
            <family val="2"/>
          </rPr>
          <t xml:space="preserve">
organic growth high single digits. Rest from Moneris and Paymetric (+7%)</t>
        </r>
      </text>
    </comment>
    <comment ref="AT9" authorId="2">
      <text>
        <r>
          <rPr>
            <b/>
            <sz val="9"/>
            <color indexed="81"/>
            <rFont val="Tahoma"/>
            <family val="2"/>
          </rPr>
          <t>Govil, Vasundhara (Research):</t>
        </r>
        <r>
          <rPr>
            <sz val="9"/>
            <color indexed="81"/>
            <rFont val="Tahoma"/>
            <family val="2"/>
          </rPr>
          <t xml:space="preserve">
10% organic growth</t>
        </r>
      </text>
    </comment>
    <comment ref="AV11" authorId="2">
      <text>
        <r>
          <rPr>
            <b/>
            <sz val="9"/>
            <color indexed="81"/>
            <rFont val="Tahoma"/>
            <family val="2"/>
          </rPr>
          <t>Govil, Vasundhara (Research):</t>
        </r>
        <r>
          <rPr>
            <sz val="9"/>
            <color indexed="81"/>
            <rFont val="Tahoma"/>
            <family val="2"/>
          </rPr>
          <t xml:space="preserve">
Includes 2 months of WorldPay US transactions</t>
        </r>
      </text>
    </comment>
    <comment ref="O12" authorId="3">
      <text>
        <r>
          <rPr>
            <b/>
            <sz val="8"/>
            <color indexed="81"/>
            <rFont val="Tahoma"/>
            <family val="2"/>
          </rPr>
          <t>fodorg:</t>
        </r>
        <r>
          <rPr>
            <sz val="8"/>
            <color indexed="81"/>
            <rFont val="Tahoma"/>
            <family val="2"/>
          </rPr>
          <t xml:space="preserve">
TARGET finished boarding here</t>
        </r>
      </text>
    </comment>
    <comment ref="S12" authorId="0">
      <text>
        <r>
          <rPr>
            <b/>
            <sz val="8"/>
            <color indexed="81"/>
            <rFont val="Tahoma"/>
            <family val="2"/>
          </rPr>
          <t>vasundhg:</t>
        </r>
        <r>
          <rPr>
            <sz val="8"/>
            <color indexed="81"/>
            <rFont val="Tahoma"/>
            <family val="2"/>
          </rPr>
          <t xml:space="preserve">
strong double digit organic growth + benefit from DFS contract rolling in here. 
(Will add ~1bn tnx and ~ 2-3% revs)
SAME STORE SALES decelerated 1-2% vs. 1Q but strengthened from April to June.
Avg. ticket +1% YoY attributable to exposure to everyday spend</t>
        </r>
      </text>
    </comment>
    <comment ref="W12" authorId="2">
      <text>
        <r>
          <rPr>
            <b/>
            <sz val="9"/>
            <color indexed="81"/>
            <rFont val="Tahoma"/>
            <family val="2"/>
          </rPr>
          <t>Govil, Vasundhara (Research):</t>
        </r>
        <r>
          <rPr>
            <sz val="9"/>
            <color indexed="81"/>
            <rFont val="Tahoma"/>
            <family val="2"/>
          </rPr>
          <t xml:space="preserve">
1-2% contribution from Litle</t>
        </r>
      </text>
    </comment>
    <comment ref="X12" authorId="0">
      <text>
        <r>
          <rPr>
            <b/>
            <sz val="8"/>
            <color indexed="81"/>
            <rFont val="Tahoma"/>
            <family val="2"/>
          </rPr>
          <t>vasundhg:</t>
        </r>
        <r>
          <rPr>
            <sz val="8"/>
            <color indexed="81"/>
            <rFont val="Tahoma"/>
            <family val="2"/>
          </rPr>
          <t xml:space="preserve">
DFS contract anniversaries this Q
6-7% organic txn growth if strip out Litle</t>
        </r>
      </text>
    </comment>
    <comment ref="Z14" authorId="0">
      <text>
        <r>
          <rPr>
            <b/>
            <sz val="8"/>
            <color indexed="81"/>
            <rFont val="Tahoma"/>
            <family val="2"/>
          </rPr>
          <t>vasundhg:</t>
        </r>
        <r>
          <rPr>
            <sz val="8"/>
            <color indexed="81"/>
            <rFont val="Tahoma"/>
            <family val="2"/>
          </rPr>
          <t xml:space="preserve">
3Q13 call: conversions delayed and sss declerated in Oct</t>
        </r>
      </text>
    </comment>
    <comment ref="AC14" authorId="0">
      <text>
        <r>
          <rPr>
            <b/>
            <sz val="8"/>
            <color indexed="81"/>
            <rFont val="Tahoma"/>
            <family val="2"/>
          </rPr>
          <t>vasundhg:</t>
        </r>
        <r>
          <rPr>
            <sz val="8"/>
            <color indexed="81"/>
            <rFont val="Tahoma"/>
            <family val="2"/>
          </rPr>
          <t xml:space="preserve">
assuming new client conversions (WMT and few others) happens here. 
1Q call:  WMT volume ramp should be done by quarter end. Expect low teens txn growth </t>
        </r>
      </text>
    </comment>
    <comment ref="B17" authorId="0">
      <text>
        <r>
          <rPr>
            <b/>
            <sz val="8"/>
            <color indexed="81"/>
            <rFont val="Tahoma"/>
            <family val="2"/>
          </rPr>
          <t>vasundhg:</t>
        </r>
        <r>
          <rPr>
            <sz val="8"/>
            <color indexed="81"/>
            <rFont val="Tahoma"/>
            <family val="2"/>
          </rPr>
          <t xml:space="preserve">
rev/tnx is typically few pennies</t>
        </r>
      </text>
    </comment>
    <comment ref="Q17" authorId="0">
      <text>
        <r>
          <rPr>
            <b/>
            <sz val="8"/>
            <color indexed="81"/>
            <rFont val="Tahoma"/>
            <family val="2"/>
          </rPr>
          <t>vasundhg:</t>
        </r>
        <r>
          <rPr>
            <sz val="8"/>
            <color indexed="81"/>
            <rFont val="Tahoma"/>
            <family val="2"/>
          </rPr>
          <t xml:space="preserve">
rev/tnx is typically a few pennies</t>
        </r>
      </text>
    </comment>
    <comment ref="B18" authorId="0">
      <text>
        <r>
          <rPr>
            <b/>
            <sz val="8"/>
            <color indexed="81"/>
            <rFont val="Tahoma"/>
            <family val="2"/>
          </rPr>
          <t>vasundhg:</t>
        </r>
        <r>
          <rPr>
            <sz val="8"/>
            <color indexed="81"/>
            <rFont val="Tahoma"/>
            <family val="2"/>
          </rPr>
          <t xml:space="preserve">
rev/Tnx is ~$0.80 for small merchants</t>
        </r>
      </text>
    </comment>
    <comment ref="Q18" authorId="0">
      <text>
        <r>
          <rPr>
            <b/>
            <sz val="8"/>
            <color indexed="81"/>
            <rFont val="Tahoma"/>
            <family val="2"/>
          </rPr>
          <t>vasundhg:</t>
        </r>
        <r>
          <rPr>
            <sz val="8"/>
            <color indexed="81"/>
            <rFont val="Tahoma"/>
            <family val="2"/>
          </rPr>
          <t xml:space="preserve">
rev/Tnx is ~$0.80 for the smallest merchants</t>
        </r>
      </text>
    </comment>
    <comment ref="P20" authorId="0">
      <text>
        <r>
          <rPr>
            <b/>
            <sz val="8"/>
            <color indexed="81"/>
            <rFont val="Tahoma"/>
            <family val="2"/>
          </rPr>
          <t>vasundhg:</t>
        </r>
        <r>
          <rPr>
            <sz val="8"/>
            <color indexed="81"/>
            <rFont val="Tahoma"/>
            <family val="2"/>
          </rPr>
          <t xml:space="preserve">
increase due to Durbin benefit on small/mid merchant portfolio</t>
        </r>
      </text>
    </comment>
    <comment ref="T20" authorId="0">
      <text>
        <r>
          <rPr>
            <b/>
            <sz val="8"/>
            <color indexed="81"/>
            <rFont val="Tahoma"/>
            <family val="2"/>
          </rPr>
          <t>vasundhg:</t>
        </r>
        <r>
          <rPr>
            <sz val="8"/>
            <color indexed="81"/>
            <rFont val="Tahoma"/>
            <family val="2"/>
          </rPr>
          <t xml:space="preserve">
F2Q call: should remain stable to increase slightly (vs. 2Q) due to continued mix shift, Pricing discipline, Durbin, and routing incentives
</t>
        </r>
      </text>
    </comment>
    <comment ref="Z2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AE2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AJ2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AO2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AT2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AY2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BD2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BI2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R21" authorId="0">
      <text>
        <r>
          <rPr>
            <b/>
            <sz val="8"/>
            <color indexed="81"/>
            <rFont val="Tahoma"/>
            <family val="2"/>
          </rPr>
          <t>vasundhg:</t>
        </r>
        <r>
          <rPr>
            <sz val="8"/>
            <color indexed="81"/>
            <rFont val="Tahoma"/>
            <family val="2"/>
          </rPr>
          <t xml:space="preserve">
half of this growth due to Durbin, other half due to sales mix</t>
        </r>
      </text>
    </comment>
    <comment ref="S21" authorId="0">
      <text>
        <r>
          <rPr>
            <b/>
            <sz val="8"/>
            <color indexed="81"/>
            <rFont val="Tahoma"/>
            <family val="2"/>
          </rPr>
          <t>vasundhg:</t>
        </r>
        <r>
          <rPr>
            <sz val="8"/>
            <color indexed="81"/>
            <rFont val="Tahoma"/>
            <family val="2"/>
          </rPr>
          <t xml:space="preserve">
Benefit from mix shift to smid + pricing discipline + Durbin + routing incentives, offset by lower pricing on DFS contract (DFS priced like national merchant contract) </t>
        </r>
      </text>
    </comment>
    <comment ref="X21" authorId="0">
      <text>
        <r>
          <rPr>
            <b/>
            <sz val="8"/>
            <color indexed="81"/>
            <rFont val="Tahoma"/>
            <family val="2"/>
          </rPr>
          <t>vasundhg:</t>
        </r>
        <r>
          <rPr>
            <sz val="8"/>
            <color indexed="81"/>
            <rFont val="Tahoma"/>
            <family val="2"/>
          </rPr>
          <t xml:space="preserve">
Net revs/tnx will remain stable after DFS expansion</t>
        </r>
      </text>
    </comment>
    <comment ref="AA21" authorId="0">
      <text>
        <r>
          <rPr>
            <b/>
            <sz val="8"/>
            <color indexed="81"/>
            <rFont val="Tahoma"/>
            <family val="2"/>
          </rPr>
          <t>vasundhg:</t>
        </r>
        <r>
          <rPr>
            <sz val="8"/>
            <color indexed="81"/>
            <rFont val="Tahoma"/>
            <family val="2"/>
          </rPr>
          <t xml:space="preserve">
Net revs/tnx will remain stable after DFS expansion</t>
        </r>
      </text>
    </comment>
    <comment ref="AF21" authorId="0">
      <text>
        <r>
          <rPr>
            <b/>
            <sz val="8"/>
            <color indexed="81"/>
            <rFont val="Tahoma"/>
            <family val="2"/>
          </rPr>
          <t>vasundhg:</t>
        </r>
        <r>
          <rPr>
            <sz val="8"/>
            <color indexed="81"/>
            <rFont val="Tahoma"/>
            <family val="2"/>
          </rPr>
          <t xml:space="preserve">
Net revs/tnx will remain stable after DFS expansion</t>
        </r>
      </text>
    </comment>
    <comment ref="AH21" authorId="2">
      <text>
        <r>
          <rPr>
            <b/>
            <sz val="9"/>
            <color indexed="81"/>
            <rFont val="Tahoma"/>
            <family val="2"/>
          </rPr>
          <t>Govil, Vasundhara (Research):</t>
        </r>
        <r>
          <rPr>
            <sz val="9"/>
            <color indexed="81"/>
            <rFont val="Tahoma"/>
            <family val="2"/>
          </rPr>
          <t xml:space="preserve">
value added services including security solutions are contributing to strong revs/txn</t>
        </r>
      </text>
    </comment>
    <comment ref="AC23" authorId="0">
      <text>
        <r>
          <rPr>
            <b/>
            <sz val="8"/>
            <color indexed="81"/>
            <rFont val="Tahoma"/>
            <family val="2"/>
          </rPr>
          <t>vasundhg:</t>
        </r>
        <r>
          <rPr>
            <sz val="8"/>
            <color indexed="81"/>
            <rFont val="Tahoma"/>
            <family val="2"/>
          </rPr>
          <t xml:space="preserve">
pressure due to lower yielding large client conversions</t>
        </r>
      </text>
    </comment>
    <comment ref="AD23" authorId="1">
      <text>
        <r>
          <rPr>
            <b/>
            <sz val="9"/>
            <color indexed="81"/>
            <rFont val="Tahoma"/>
            <family val="2"/>
          </rPr>
          <t>Hussain, Danyal (Research):</t>
        </r>
        <r>
          <rPr>
            <sz val="9"/>
            <color indexed="81"/>
            <rFont val="Tahoma"/>
            <family val="2"/>
          </rPr>
          <t xml:space="preserve">
3Q call: WMT now fully ramped.</t>
        </r>
      </text>
    </comment>
    <comment ref="AE23" authorId="1">
      <text>
        <r>
          <rPr>
            <b/>
            <sz val="9"/>
            <color indexed="81"/>
            <rFont val="Tahoma"/>
            <family val="2"/>
          </rPr>
          <t>Hussain, Danyal (Research):</t>
        </r>
        <r>
          <rPr>
            <sz val="9"/>
            <color indexed="81"/>
            <rFont val="Tahoma"/>
            <family val="2"/>
          </rPr>
          <t xml:space="preserve">
3Q comment: Will continue to see benefit from both txns and revs/txn.  Addition of newer channels more than offsets any decline in rev/txn from WMT.</t>
        </r>
      </text>
    </comment>
    <comment ref="AH23" authorId="1">
      <text>
        <r>
          <rPr>
            <b/>
            <sz val="9"/>
            <color indexed="81"/>
            <rFont val="Tahoma"/>
            <family val="2"/>
          </rPr>
          <t>Hussain, Danyal (Research):</t>
        </r>
        <r>
          <rPr>
            <sz val="9"/>
            <color indexed="81"/>
            <rFont val="Tahoma"/>
            <family val="2"/>
          </rPr>
          <t xml:space="preserve">
Expect to pass on Visa's price increases to clients. "shouldn't impact bottom line," but conceded that may selectively tack on additional price increases.</t>
        </r>
      </text>
    </comment>
    <comment ref="AV28" authorId="2">
      <text>
        <r>
          <rPr>
            <b/>
            <sz val="9"/>
            <color indexed="81"/>
            <rFont val="Tahoma"/>
            <family val="2"/>
          </rPr>
          <t>Govil, Vasundhara (Research):</t>
        </r>
        <r>
          <rPr>
            <sz val="9"/>
            <color indexed="81"/>
            <rFont val="Tahoma"/>
            <family val="2"/>
          </rPr>
          <t xml:space="preserve">
Includes 2 months of WorldPay revenues</t>
        </r>
      </text>
    </comment>
    <comment ref="B37" authorId="0">
      <text>
        <r>
          <rPr>
            <b/>
            <sz val="8"/>
            <color indexed="81"/>
            <rFont val="Tahoma"/>
            <family val="2"/>
          </rPr>
          <t>vasundhg:</t>
        </r>
        <r>
          <rPr>
            <sz val="8"/>
            <color indexed="81"/>
            <rFont val="Tahoma"/>
            <family val="2"/>
          </rPr>
          <t xml:space="preserve">
rev/tnx is typically few pennies</t>
        </r>
      </text>
    </comment>
    <comment ref="B38" authorId="0">
      <text>
        <r>
          <rPr>
            <b/>
            <sz val="8"/>
            <color indexed="81"/>
            <rFont val="Tahoma"/>
            <family val="2"/>
          </rPr>
          <t>vasundhg:</t>
        </r>
        <r>
          <rPr>
            <sz val="8"/>
            <color indexed="81"/>
            <rFont val="Tahoma"/>
            <family val="2"/>
          </rPr>
          <t xml:space="preserve">
rev/Tnx is ~$0.80 for small merchants</t>
        </r>
      </text>
    </comment>
    <comment ref="BD4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BI4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AV51" authorId="2">
      <text>
        <r>
          <rPr>
            <b/>
            <sz val="9"/>
            <color indexed="81"/>
            <rFont val="Tahoma"/>
            <family val="2"/>
          </rPr>
          <t>Govil, Vasundhara (Research):</t>
        </r>
        <r>
          <rPr>
            <sz val="9"/>
            <color indexed="81"/>
            <rFont val="Tahoma"/>
            <family val="2"/>
          </rPr>
          <t xml:space="preserve">
Includes 2 months of WorldPay US transactions</t>
        </r>
      </text>
    </comment>
    <comment ref="BA51" authorId="2">
      <text>
        <r>
          <rPr>
            <b/>
            <sz val="9"/>
            <color indexed="81"/>
            <rFont val="Tahoma"/>
            <family val="2"/>
          </rPr>
          <t>Govil, Vasundhara (Research):</t>
        </r>
        <r>
          <rPr>
            <sz val="9"/>
            <color indexed="81"/>
            <rFont val="Tahoma"/>
            <family val="2"/>
          </rPr>
          <t xml:space="preserve">
Includes 2 months of WorldPay US transactions</t>
        </r>
      </text>
    </comment>
    <comment ref="BF51" authorId="2">
      <text>
        <r>
          <rPr>
            <b/>
            <sz val="9"/>
            <color indexed="81"/>
            <rFont val="Tahoma"/>
            <family val="2"/>
          </rPr>
          <t>Govil, Vasundhara (Research):</t>
        </r>
        <r>
          <rPr>
            <sz val="9"/>
            <color indexed="81"/>
            <rFont val="Tahoma"/>
            <family val="2"/>
          </rPr>
          <t xml:space="preserve">
Includes 2 months of WorldPay US transactions</t>
        </r>
      </text>
    </comment>
    <comment ref="B57" authorId="0">
      <text>
        <r>
          <rPr>
            <b/>
            <sz val="8"/>
            <color indexed="81"/>
            <rFont val="Tahoma"/>
            <family val="2"/>
          </rPr>
          <t>vasundhg:</t>
        </r>
        <r>
          <rPr>
            <sz val="8"/>
            <color indexed="81"/>
            <rFont val="Tahoma"/>
            <family val="2"/>
          </rPr>
          <t xml:space="preserve">
rev/tnx is typically few pennies</t>
        </r>
      </text>
    </comment>
    <comment ref="B58" authorId="0">
      <text>
        <r>
          <rPr>
            <b/>
            <sz val="8"/>
            <color indexed="81"/>
            <rFont val="Tahoma"/>
            <family val="2"/>
          </rPr>
          <t>vasundhg:</t>
        </r>
        <r>
          <rPr>
            <sz val="8"/>
            <color indexed="81"/>
            <rFont val="Tahoma"/>
            <family val="2"/>
          </rPr>
          <t xml:space="preserve">
rev/Tnx is ~$0.80 for small merchants</t>
        </r>
      </text>
    </comment>
    <comment ref="BD6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BI60" authorId="0">
      <text>
        <r>
          <rPr>
            <b/>
            <sz val="8"/>
            <color indexed="81"/>
            <rFont val="Tahoma"/>
            <family val="2"/>
          </rPr>
          <t>vasundhg:</t>
        </r>
        <r>
          <rPr>
            <sz val="8"/>
            <color indexed="81"/>
            <rFont val="Tahoma"/>
            <family val="2"/>
          </rPr>
          <t xml:space="preserve">
seasonal decline in rev/txn due to holiday shopping season with mix shift towards larger retailers</t>
        </r>
      </text>
    </comment>
    <comment ref="R69" authorId="0">
      <text>
        <r>
          <rPr>
            <b/>
            <sz val="8"/>
            <color indexed="81"/>
            <rFont val="Tahoma"/>
            <family val="2"/>
          </rPr>
          <t>vasundhg:</t>
        </r>
        <r>
          <rPr>
            <sz val="8"/>
            <color indexed="81"/>
            <rFont val="Tahoma"/>
            <family val="2"/>
          </rPr>
          <t xml:space="preserve">
1Q call: would be +8% ex-the client deconverion</t>
        </r>
      </text>
    </comment>
    <comment ref="S69" authorId="0">
      <text>
        <r>
          <rPr>
            <b/>
            <sz val="8"/>
            <color indexed="81"/>
            <rFont val="Tahoma"/>
            <family val="2"/>
          </rPr>
          <t>vasundhg:</t>
        </r>
        <r>
          <rPr>
            <sz val="8"/>
            <color indexed="81"/>
            <rFont val="Tahoma"/>
            <family val="2"/>
          </rPr>
          <t xml:space="preserve">
2Q call: would be +12% ex-the client deconverion</t>
        </r>
      </text>
    </comment>
    <comment ref="AD69" authorId="1">
      <text>
        <r>
          <rPr>
            <b/>
            <sz val="9"/>
            <color indexed="81"/>
            <rFont val="Tahoma"/>
            <family val="2"/>
          </rPr>
          <t>Hussain, Danyal (Research):</t>
        </r>
        <r>
          <rPr>
            <sz val="9"/>
            <color indexed="81"/>
            <rFont val="Tahoma"/>
            <family val="2"/>
          </rPr>
          <t xml:space="preserve">
"Below expectations." Hiring new sales leader to improve.</t>
        </r>
      </text>
    </comment>
    <comment ref="AE69" authorId="1">
      <text>
        <r>
          <rPr>
            <b/>
            <sz val="9"/>
            <color indexed="81"/>
            <rFont val="Tahoma"/>
            <family val="2"/>
          </rPr>
          <t>Hussain, Danyal (Research):</t>
        </r>
        <r>
          <rPr>
            <sz val="9"/>
            <color indexed="81"/>
            <rFont val="Tahoma"/>
            <family val="2"/>
          </rPr>
          <t xml:space="preserve">
Launched security product in October and expect it to contribute growth.  Seems to be solid demand for it.
Revised guidance suggests low single digits? Get clarity.</t>
        </r>
      </text>
    </comment>
    <comment ref="AL69" authorId="2">
      <text>
        <r>
          <rPr>
            <b/>
            <sz val="9"/>
            <color indexed="81"/>
            <rFont val="Tahoma"/>
            <family val="2"/>
          </rPr>
          <t>Govil, Vasundhara (Research):</t>
        </r>
        <r>
          <rPr>
            <sz val="9"/>
            <color indexed="81"/>
            <rFont val="Tahoma"/>
            <family val="2"/>
          </rPr>
          <t xml:space="preserve">
3-4% growth related to EMV</t>
        </r>
      </text>
    </comment>
    <comment ref="AR69" authorId="2">
      <text>
        <r>
          <rPr>
            <b/>
            <sz val="9"/>
            <color indexed="81"/>
            <rFont val="Tahoma"/>
            <family val="2"/>
          </rPr>
          <t>Govil, Vasundhara (Research):</t>
        </r>
        <r>
          <rPr>
            <sz val="9"/>
            <color indexed="81"/>
            <rFont val="Tahoma"/>
            <family val="2"/>
          </rPr>
          <t xml:space="preserve">
capital One deconversion completed here</t>
        </r>
      </text>
    </comment>
    <comment ref="O72" authorId="0">
      <text>
        <r>
          <rPr>
            <b/>
            <sz val="8"/>
            <color indexed="81"/>
            <rFont val="Tahoma"/>
            <family val="2"/>
          </rPr>
          <t>vasundhg:</t>
        </r>
        <r>
          <rPr>
            <sz val="8"/>
            <color indexed="81"/>
            <rFont val="Tahoma"/>
            <family val="2"/>
          </rPr>
          <t xml:space="preserve">
2H slowdown due to 2 customer deconverions. Bigger one was Sovereign Bank. They decided to go in-house. </t>
        </r>
      </text>
    </comment>
    <comment ref="R72" authorId="0">
      <text>
        <r>
          <rPr>
            <b/>
            <sz val="8"/>
            <color indexed="81"/>
            <rFont val="Tahoma"/>
            <family val="2"/>
          </rPr>
          <t>vasundhg:</t>
        </r>
        <r>
          <rPr>
            <sz val="8"/>
            <color indexed="81"/>
            <rFont val="Tahoma"/>
            <family val="2"/>
          </rPr>
          <t xml:space="preserve">
+5% ex-client deconversion</t>
        </r>
      </text>
    </comment>
    <comment ref="S72" authorId="0">
      <text>
        <r>
          <rPr>
            <b/>
            <sz val="8"/>
            <color indexed="81"/>
            <rFont val="Tahoma"/>
            <family val="2"/>
          </rPr>
          <t>vasundhg:</t>
        </r>
        <r>
          <rPr>
            <sz val="8"/>
            <color indexed="81"/>
            <rFont val="Tahoma"/>
            <family val="2"/>
          </rPr>
          <t xml:space="preserve">
+7% ex-client deconversion</t>
        </r>
      </text>
    </comment>
    <comment ref="T72" authorId="0">
      <text>
        <r>
          <rPr>
            <b/>
            <sz val="8"/>
            <color indexed="81"/>
            <rFont val="Tahoma"/>
            <family val="2"/>
          </rPr>
          <t>vasundhg:</t>
        </r>
        <r>
          <rPr>
            <sz val="8"/>
            <color indexed="81"/>
            <rFont val="Tahoma"/>
            <family val="2"/>
          </rPr>
          <t xml:space="preserve">
2Q12 call:  Sovereign Bank deconversion anniversaries. Expect txn growth in high single digit range</t>
        </r>
      </text>
    </comment>
    <comment ref="S78" authorId="0">
      <text>
        <r>
          <rPr>
            <b/>
            <sz val="8"/>
            <color indexed="81"/>
            <rFont val="Tahoma"/>
            <family val="2"/>
          </rPr>
          <t>vasundhg:</t>
        </r>
        <r>
          <rPr>
            <sz val="8"/>
            <color indexed="81"/>
            <rFont val="Tahoma"/>
            <family val="2"/>
          </rPr>
          <t xml:space="preserve">
combination of adding value added services (such as fraud) to existing clients + impact of low yielding Sovereign deconversion</t>
        </r>
      </text>
    </comment>
    <comment ref="T78" authorId="3">
      <text>
        <r>
          <rPr>
            <b/>
            <sz val="8"/>
            <color indexed="81"/>
            <rFont val="Tahoma"/>
            <family val="2"/>
          </rPr>
          <t>fodorg:</t>
        </r>
        <r>
          <rPr>
            <sz val="8"/>
            <color indexed="81"/>
            <rFont val="Tahoma"/>
            <family val="2"/>
          </rPr>
          <t xml:space="preserve">
Sov anniv</t>
        </r>
      </text>
    </comment>
    <comment ref="AA78" authorId="0">
      <text>
        <r>
          <rPr>
            <b/>
            <sz val="8"/>
            <color indexed="81"/>
            <rFont val="Tahoma"/>
            <family val="2"/>
          </rPr>
          <t>vasundhg:</t>
        </r>
        <r>
          <rPr>
            <sz val="8"/>
            <color indexed="81"/>
            <rFont val="Tahoma"/>
            <family val="2"/>
          </rPr>
          <t xml:space="preserve">
1Q13: driving up revs/tran due to success in selling value added services</t>
        </r>
      </text>
    </comment>
    <comment ref="AF78" authorId="0">
      <text>
        <r>
          <rPr>
            <b/>
            <sz val="8"/>
            <color indexed="81"/>
            <rFont val="Tahoma"/>
            <family val="2"/>
          </rPr>
          <t>vasundhg:</t>
        </r>
        <r>
          <rPr>
            <sz val="8"/>
            <color indexed="81"/>
            <rFont val="Tahoma"/>
            <family val="2"/>
          </rPr>
          <t xml:space="preserve">
IPO: expect declining revs/Tnx for FI division
</t>
        </r>
      </text>
    </comment>
    <comment ref="AS78" authorId="2">
      <text>
        <r>
          <rPr>
            <b/>
            <sz val="9"/>
            <color indexed="81"/>
            <rFont val="Tahoma"/>
            <family val="2"/>
          </rPr>
          <t>Govil, Vasundhara (Research):</t>
        </r>
        <r>
          <rPr>
            <sz val="9"/>
            <color indexed="81"/>
            <rFont val="Tahoma"/>
            <family val="2"/>
          </rPr>
          <t xml:space="preserve">
benefit from one-time value added services revenue as well as impact from Capital One deconversion</t>
        </r>
      </text>
    </comment>
    <comment ref="AL84" authorId="2">
      <text>
        <r>
          <rPr>
            <b/>
            <sz val="9"/>
            <color indexed="81"/>
            <rFont val="Tahoma"/>
            <family val="2"/>
          </rPr>
          <t>Govil, Vasundhara (Research):</t>
        </r>
        <r>
          <rPr>
            <sz val="9"/>
            <color indexed="81"/>
            <rFont val="Tahoma"/>
            <family val="2"/>
          </rPr>
          <t xml:space="preserve">
405-410</t>
        </r>
      </text>
    </comment>
    <comment ref="U85" authorId="2">
      <text>
        <r>
          <rPr>
            <b/>
            <sz val="9"/>
            <color indexed="81"/>
            <rFont val="Tahoma"/>
            <family val="2"/>
          </rPr>
          <t>Govil, Vasundhara (Research):</t>
        </r>
        <r>
          <rPr>
            <sz val="9"/>
            <color indexed="81"/>
            <rFont val="Tahoma"/>
            <family val="2"/>
          </rPr>
          <t xml:space="preserve">
organic growth of ~10%</t>
        </r>
      </text>
    </comment>
    <comment ref="W85" authorId="2">
      <text>
        <r>
          <rPr>
            <b/>
            <sz val="9"/>
            <color indexed="81"/>
            <rFont val="Tahoma"/>
            <family val="2"/>
          </rPr>
          <t>Govil, Vasundhara (Research):</t>
        </r>
        <r>
          <rPr>
            <sz val="9"/>
            <color indexed="81"/>
            <rFont val="Tahoma"/>
            <family val="2"/>
          </rPr>
          <t xml:space="preserve">
organic growth in the low-teens</t>
        </r>
      </text>
    </comment>
    <comment ref="X85" authorId="2">
      <text>
        <r>
          <rPr>
            <b/>
            <sz val="9"/>
            <color indexed="81"/>
            <rFont val="Tahoma"/>
            <family val="2"/>
          </rPr>
          <t>Govil, Vasundhara (Research):</t>
        </r>
        <r>
          <rPr>
            <sz val="9"/>
            <color indexed="81"/>
            <rFont val="Tahoma"/>
            <family val="2"/>
          </rPr>
          <t xml:space="preserve">
~10%</t>
        </r>
      </text>
    </comment>
    <comment ref="Y85" authorId="2">
      <text>
        <r>
          <rPr>
            <b/>
            <sz val="9"/>
            <color indexed="81"/>
            <rFont val="Tahoma"/>
            <family val="2"/>
          </rPr>
          <t>Govil, Vasundhara (Research):</t>
        </r>
        <r>
          <rPr>
            <sz val="9"/>
            <color indexed="81"/>
            <rFont val="Tahoma"/>
            <family val="2"/>
          </rPr>
          <t xml:space="preserve">
estimated 8% organic growth</t>
        </r>
      </text>
    </comment>
    <comment ref="Z85" authorId="2">
      <text>
        <r>
          <rPr>
            <b/>
            <sz val="9"/>
            <color indexed="81"/>
            <rFont val="Tahoma"/>
            <family val="2"/>
          </rPr>
          <t>Govil, Vasundhara (Research):</t>
        </r>
        <r>
          <rPr>
            <sz val="9"/>
            <color indexed="81"/>
            <rFont val="Tahoma"/>
            <family val="2"/>
          </rPr>
          <t xml:space="preserve">
estimated 7-8%</t>
        </r>
      </text>
    </comment>
    <comment ref="AC85" authorId="2">
      <text>
        <r>
          <rPr>
            <b/>
            <sz val="9"/>
            <color indexed="81"/>
            <rFont val="Tahoma"/>
            <family val="2"/>
          </rPr>
          <t>Govil, Vasundhara (Research):</t>
        </r>
        <r>
          <rPr>
            <sz val="9"/>
            <color indexed="81"/>
            <rFont val="Tahoma"/>
            <family val="2"/>
          </rPr>
          <t xml:space="preserve">
estimated ~8% prganic growth</t>
        </r>
      </text>
    </comment>
    <comment ref="AD85" authorId="2">
      <text>
        <r>
          <rPr>
            <b/>
            <sz val="9"/>
            <color indexed="81"/>
            <rFont val="Tahoma"/>
            <family val="2"/>
          </rPr>
          <t>Govil, Vasundhara (Research):</t>
        </r>
        <r>
          <rPr>
            <sz val="9"/>
            <color indexed="81"/>
            <rFont val="Tahoma"/>
            <family val="2"/>
          </rPr>
          <t xml:space="preserve">
7% organic growth</t>
        </r>
      </text>
    </comment>
    <comment ref="AE85" authorId="2">
      <text>
        <r>
          <rPr>
            <b/>
            <sz val="9"/>
            <color indexed="81"/>
            <rFont val="Tahoma"/>
            <family val="2"/>
          </rPr>
          <t>Govil, Vasundhara (Research):</t>
        </r>
        <r>
          <rPr>
            <sz val="9"/>
            <color indexed="81"/>
            <rFont val="Tahoma"/>
            <family val="2"/>
          </rPr>
          <t xml:space="preserve">
estimated 6-7% organic growth</t>
        </r>
      </text>
    </comment>
    <comment ref="AG85" authorId="2">
      <text>
        <r>
          <rPr>
            <b/>
            <sz val="9"/>
            <color indexed="81"/>
            <rFont val="Tahoma"/>
            <family val="2"/>
          </rPr>
          <t>Govil, Vasundhara (Research):</t>
        </r>
        <r>
          <rPr>
            <sz val="9"/>
            <color indexed="81"/>
            <rFont val="Tahoma"/>
            <family val="2"/>
          </rPr>
          <t xml:space="preserve">
estimated 7%</t>
        </r>
      </text>
    </comment>
    <comment ref="AH85" authorId="2">
      <text>
        <r>
          <rPr>
            <b/>
            <sz val="9"/>
            <color indexed="81"/>
            <rFont val="Tahoma"/>
            <family val="2"/>
          </rPr>
          <t>Govil, Vasundhara (Research):</t>
        </r>
        <r>
          <rPr>
            <sz val="9"/>
            <color indexed="81"/>
            <rFont val="Tahoma"/>
            <family val="2"/>
          </rPr>
          <t xml:space="preserve">
organic growth of ~8%</t>
        </r>
      </text>
    </comment>
    <comment ref="R91" authorId="0">
      <text>
        <r>
          <rPr>
            <b/>
            <sz val="8"/>
            <color indexed="81"/>
            <rFont val="Tahoma"/>
            <family val="2"/>
          </rPr>
          <t>vasundhg:</t>
        </r>
        <r>
          <rPr>
            <sz val="8"/>
            <color indexed="81"/>
            <rFont val="Tahoma"/>
            <family val="2"/>
          </rPr>
          <t xml:space="preserve">
all debit txn = ~75%</t>
        </r>
      </text>
    </comment>
    <comment ref="S91" authorId="0">
      <text>
        <r>
          <rPr>
            <b/>
            <sz val="8"/>
            <color indexed="81"/>
            <rFont val="Tahoma"/>
            <family val="2"/>
          </rPr>
          <t>vasundhg:</t>
        </r>
        <r>
          <rPr>
            <sz val="8"/>
            <color indexed="81"/>
            <rFont val="Tahoma"/>
            <family val="2"/>
          </rPr>
          <t xml:space="preserve">
all debit txn = ~74%
saw slight shift in mix towards credit this Q</t>
        </r>
      </text>
    </comment>
    <comment ref="AG105" authorId="2">
      <text>
        <r>
          <rPr>
            <b/>
            <sz val="9"/>
            <color indexed="81"/>
            <rFont val="Tahoma"/>
            <family val="2"/>
          </rPr>
          <t>Govil, Vasundhara (Research):</t>
        </r>
        <r>
          <rPr>
            <sz val="9"/>
            <color indexed="81"/>
            <rFont val="Tahoma"/>
            <family val="2"/>
          </rPr>
          <t xml:space="preserve">
benefitted from easy comps due to severely bad weather in 1Q14</t>
        </r>
      </text>
    </comment>
    <comment ref="AP111" authorId="2">
      <text>
        <r>
          <rPr>
            <b/>
            <sz val="9"/>
            <color indexed="81"/>
            <rFont val="Tahoma"/>
            <family val="2"/>
          </rPr>
          <t>Govil, Vasundhara (Research):</t>
        </r>
        <r>
          <rPr>
            <sz val="9"/>
            <color indexed="81"/>
            <rFont val="Tahoma"/>
            <family val="2"/>
          </rPr>
          <t xml:space="preserve">
result of mix shif ttowards channels where pay ongoing residuals. If look channel by channel, no notable change in commission rates. </t>
        </r>
      </text>
    </comment>
  </commentList>
</comments>
</file>

<file path=xl/comments3.xml><?xml version="1.0" encoding="utf-8"?>
<comments xmlns="http://schemas.openxmlformats.org/spreadsheetml/2006/main">
  <authors>
    <author>vasundhg</author>
  </authors>
  <commentList>
    <comment ref="B10" authorId="0">
      <text>
        <r>
          <rPr>
            <b/>
            <sz val="8"/>
            <color indexed="81"/>
            <rFont val="Tahoma"/>
            <family val="2"/>
          </rPr>
          <t>vasundhg:</t>
        </r>
        <r>
          <rPr>
            <sz val="8"/>
            <color indexed="81"/>
            <rFont val="Tahoma"/>
            <family val="2"/>
          </rPr>
          <t xml:space="preserve">
consists of salaries/benefits paid to sales personnel, sales mgmt and other sales/mkting personnel, advertising/ promotional costs, residual payments to ISOs and other 3rd party resellers.</t>
        </r>
      </text>
    </comment>
  </commentList>
</comments>
</file>

<file path=xl/comments4.xml><?xml version="1.0" encoding="utf-8"?>
<comments xmlns="http://schemas.openxmlformats.org/spreadsheetml/2006/main">
  <authors>
    <author>vasundhg</author>
    <author>Danyal Hussain</author>
  </authors>
  <commentList>
    <comment ref="B10" authorId="0">
      <text>
        <r>
          <rPr>
            <b/>
            <sz val="8"/>
            <color indexed="81"/>
            <rFont val="Tahoma"/>
            <family val="2"/>
          </rPr>
          <t>vasundhg:</t>
        </r>
        <r>
          <rPr>
            <sz val="8"/>
            <color indexed="81"/>
            <rFont val="Tahoma"/>
            <family val="2"/>
          </rPr>
          <t xml:space="preserve">
consists of salaries/benefits paid to sales personnel, sales mgmt and other sales/mkting personnel, advertising/ promotional costs, residual payments to ISOs and other 3rd party resellers.</t>
        </r>
      </text>
    </comment>
    <comment ref="B13" authorId="0">
      <text>
        <r>
          <rPr>
            <b/>
            <sz val="8"/>
            <color indexed="81"/>
            <rFont val="Tahoma"/>
            <family val="2"/>
          </rPr>
          <t>vasundhg:</t>
        </r>
        <r>
          <rPr>
            <sz val="8"/>
            <color indexed="81"/>
            <rFont val="Tahoma"/>
            <family val="2"/>
          </rPr>
          <t xml:space="preserve">
salaries/benefits paid to operational/ IT personnel, costs of operating technology platform/data centers, IT costs for processing transactions, product development costs, software consulting fees, maintenance costs</t>
        </r>
      </text>
    </comment>
    <comment ref="B37" authorId="1">
      <text>
        <r>
          <rPr>
            <b/>
            <sz val="8"/>
            <color indexed="81"/>
            <rFont val="Tahoma"/>
            <family val="2"/>
          </rPr>
          <t>Danyal Hussain:</t>
        </r>
        <r>
          <rPr>
            <sz val="8"/>
            <color indexed="81"/>
            <rFont val="Tahoma"/>
            <family val="2"/>
          </rPr>
          <t xml:space="preserve">
Excludes stock comp exp.</t>
        </r>
      </text>
    </comment>
  </commentList>
</comments>
</file>

<file path=xl/sharedStrings.xml><?xml version="1.0" encoding="utf-8"?>
<sst xmlns="http://schemas.openxmlformats.org/spreadsheetml/2006/main" count="1113" uniqueCount="831">
  <si>
    <t>Vasu Govil</t>
  </si>
  <si>
    <t>Vice President</t>
  </si>
  <si>
    <t>212-761-3609</t>
  </si>
  <si>
    <t>vasundhara.govil@morganstanley.com</t>
  </si>
  <si>
    <t>Scenario:</t>
  </si>
  <si>
    <t>Vantiv, Inc.</t>
  </si>
  <si>
    <t>Financials (FY ended December)</t>
  </si>
  <si>
    <t>MS Estimates vs. Guidance (YoY % change)</t>
  </si>
  <si>
    <t>2014A</t>
  </si>
  <si>
    <t>2015A</t>
  </si>
  <si>
    <t>2017E</t>
  </si>
  <si>
    <t>MS</t>
  </si>
  <si>
    <t>Guidance</t>
  </si>
  <si>
    <t>Revenue</t>
  </si>
  <si>
    <t xml:space="preserve">Merchant Revenues </t>
  </si>
  <si>
    <t>Merchant Revenue</t>
  </si>
  <si>
    <t>YoY % change</t>
  </si>
  <si>
    <t>Financial Institutions Revenue</t>
  </si>
  <si>
    <t>% of revenue</t>
  </si>
  <si>
    <t>Total Revenue</t>
  </si>
  <si>
    <t>Total Revenue growth</t>
  </si>
  <si>
    <t>EBITDA (Proforma adjusted)</t>
  </si>
  <si>
    <t>Adjusted EBITDA margin</t>
  </si>
  <si>
    <t>Cash EPS*</t>
  </si>
  <si>
    <t>EBITDA Margin</t>
  </si>
  <si>
    <t xml:space="preserve">Operating Income </t>
  </si>
  <si>
    <t>Operating Margin</t>
  </si>
  <si>
    <t>*Mgmt guidance is not updated for impact from Share buybacks</t>
  </si>
  <si>
    <t>Diluted EPS</t>
  </si>
  <si>
    <t>Metrics</t>
  </si>
  <si>
    <t>Capex</t>
  </si>
  <si>
    <t>FQ2/16</t>
  </si>
  <si>
    <t>Capex % of sales</t>
  </si>
  <si>
    <t>FCF</t>
  </si>
  <si>
    <t>Merchant Services transactions (in MM)</t>
  </si>
  <si>
    <t>FCF/share</t>
  </si>
  <si>
    <t>YoY growth</t>
  </si>
  <si>
    <t>Total assets</t>
  </si>
  <si>
    <t>Financial Institutions transactions (in MM)</t>
  </si>
  <si>
    <t>Total Debt</t>
  </si>
  <si>
    <t>Mezannine Equity</t>
  </si>
  <si>
    <t>Total liabilities</t>
  </si>
  <si>
    <t>Total shareholder's equity</t>
  </si>
  <si>
    <t>1Q seasonally weaker with lower revenue, lower margins, lower PF tax rate and lower EPS than rest of the year</t>
  </si>
  <si>
    <t>1Q09A</t>
  </si>
  <si>
    <t>2Q09A</t>
  </si>
  <si>
    <t>3Q09A</t>
  </si>
  <si>
    <t>4Q09A</t>
  </si>
  <si>
    <t>2009A</t>
  </si>
  <si>
    <t>1Q10A</t>
  </si>
  <si>
    <t>2Q10A</t>
  </si>
  <si>
    <t>3Q10A</t>
  </si>
  <si>
    <t>4Q10A</t>
  </si>
  <si>
    <t>2010A</t>
  </si>
  <si>
    <t>1Q11A</t>
  </si>
  <si>
    <t>2Q11A</t>
  </si>
  <si>
    <t>3Q11A</t>
  </si>
  <si>
    <t>4Q11A</t>
  </si>
  <si>
    <t>2011A</t>
  </si>
  <si>
    <t>1Q12A</t>
  </si>
  <si>
    <t>2Q12A</t>
  </si>
  <si>
    <t>3Q12A</t>
  </si>
  <si>
    <t>4Q12A</t>
  </si>
  <si>
    <t>2012A</t>
  </si>
  <si>
    <t>1Q13A</t>
  </si>
  <si>
    <t>2Q13A</t>
  </si>
  <si>
    <t>3Q13A</t>
  </si>
  <si>
    <t>4Q13A</t>
  </si>
  <si>
    <t>2013A</t>
  </si>
  <si>
    <t>1Q14A</t>
  </si>
  <si>
    <t>2Q14A</t>
  </si>
  <si>
    <t>3Q14A</t>
  </si>
  <si>
    <t>4Q14A</t>
  </si>
  <si>
    <t>1Q15A</t>
  </si>
  <si>
    <t>2Q15A</t>
  </si>
  <si>
    <t>3Q15A</t>
  </si>
  <si>
    <t>4Q15A</t>
  </si>
  <si>
    <t>1Q16A</t>
  </si>
  <si>
    <t>2Q16A</t>
  </si>
  <si>
    <t>1Q18E</t>
  </si>
  <si>
    <t>2Q18E</t>
  </si>
  <si>
    <t>3Q18E</t>
  </si>
  <si>
    <t>4Q18E</t>
  </si>
  <si>
    <t>2018E</t>
  </si>
  <si>
    <t>Income Statement - Fiscal</t>
  </si>
  <si>
    <t>1Q seasonally weakest for revs/margins</t>
  </si>
  <si>
    <t>Fiscal Year End: December ($ in millions, except per share data)</t>
  </si>
  <si>
    <t>Gross Revenue</t>
  </si>
  <si>
    <t>Network fees and other costs</t>
  </si>
  <si>
    <t>as a % of total revenues</t>
  </si>
  <si>
    <t>Total Net  Revenues</t>
  </si>
  <si>
    <t>Expenses</t>
  </si>
  <si>
    <t>Sales and marketing</t>
  </si>
  <si>
    <t>Bull</t>
  </si>
  <si>
    <t>Base</t>
  </si>
  <si>
    <t>Bear</t>
  </si>
  <si>
    <t>Other operating costs</t>
  </si>
  <si>
    <t>General and administrative</t>
  </si>
  <si>
    <t>Adjusted EBITDA</t>
  </si>
  <si>
    <t>YoY change in margin (bps)</t>
  </si>
  <si>
    <t>EBITDA ("GAAP")</t>
  </si>
  <si>
    <t>Depreciation</t>
  </si>
  <si>
    <t>Operating income (adjusted)</t>
  </si>
  <si>
    <t xml:space="preserve">Operating Margin </t>
  </si>
  <si>
    <t>Other income/(expense), net</t>
  </si>
  <si>
    <t xml:space="preserve">Interest expense </t>
  </si>
  <si>
    <t>Interest rate</t>
  </si>
  <si>
    <t>Other</t>
  </si>
  <si>
    <t>Total other (income)/ expense</t>
  </si>
  <si>
    <t>Pretax income</t>
  </si>
  <si>
    <t>Income tax expense based on estimated rate</t>
  </si>
  <si>
    <t>Estimated Tax rate</t>
  </si>
  <si>
    <t>Income tax (benefit) from TRAs</t>
  </si>
  <si>
    <t>Effective Income tax expense/(benefit)</t>
  </si>
  <si>
    <t>Tax rate (effective)</t>
  </si>
  <si>
    <t>Adjusted Net Income (VNTV Method)</t>
  </si>
  <si>
    <t>Diluted EPS (Adjusted VNTV Method)</t>
  </si>
  <si>
    <t>Average Basic shares outstanding</t>
  </si>
  <si>
    <t>Average Diluted shares outstanding</t>
  </si>
  <si>
    <t>ND</t>
  </si>
  <si>
    <t>Dividends per share</t>
  </si>
  <si>
    <t>Dividend Payout Ratio</t>
  </si>
  <si>
    <t>Share repurchased ($)</t>
  </si>
  <si>
    <t>Shares repurchased</t>
  </si>
  <si>
    <t>$ remaining under program</t>
  </si>
  <si>
    <t>Shares remaining under program (mm)</t>
  </si>
  <si>
    <t>Average price/share</t>
  </si>
  <si>
    <t>%</t>
  </si>
  <si>
    <t>Reconciliation to MS Method EPS</t>
  </si>
  <si>
    <t>Adjustment to TRA benefit for Advent/JPDN</t>
  </si>
  <si>
    <t>Adjusted Net Income (MS Method)</t>
  </si>
  <si>
    <t>Adjusted EPS (MS Method)</t>
  </si>
  <si>
    <t>CNI</t>
  </si>
  <si>
    <t>Stock-comp expense (net of tax)</t>
  </si>
  <si>
    <t>CNI (ex-stock comp)</t>
  </si>
  <si>
    <t>Diluted EPS (ex-stock-comp)</t>
  </si>
  <si>
    <t>Reconciliation to GAAP</t>
  </si>
  <si>
    <t>Transition costs</t>
  </si>
  <si>
    <t>Debt refinancing costs</t>
  </si>
  <si>
    <t>Share-based compensation</t>
  </si>
  <si>
    <t>Acquisition and integration costs</t>
  </si>
  <si>
    <t>Losses related to put rights</t>
  </si>
  <si>
    <t>Transaction costs</t>
  </si>
  <si>
    <t>NPC</t>
  </si>
  <si>
    <t>Stand-alone costs</t>
  </si>
  <si>
    <t>EBITDA (GAAP)</t>
  </si>
  <si>
    <t xml:space="preserve">Depreciation and amortization </t>
  </si>
  <si>
    <t>Interest expense</t>
  </si>
  <si>
    <t>Non-operating expense</t>
  </si>
  <si>
    <t>Pretax income (GAAP)</t>
  </si>
  <si>
    <t>Taxes</t>
  </si>
  <si>
    <t>Tax rate %</t>
  </si>
  <si>
    <t>Net Income (GAAP)</t>
  </si>
  <si>
    <t>Diluted EPS (GAAP)</t>
  </si>
  <si>
    <t>Less: NI attributable to non-controlling</t>
  </si>
  <si>
    <t>Net Income Attributable to VNTV (GAAP)</t>
  </si>
  <si>
    <t>Reconciliation to subtract out SBC (illustration only)</t>
  </si>
  <si>
    <t>EBITDA (Vantiv method)</t>
  </si>
  <si>
    <t>Less: Share-based compensation</t>
  </si>
  <si>
    <t>EBITDA (incl. SC costs)</t>
  </si>
  <si>
    <t>EBITDA margin</t>
  </si>
  <si>
    <t>Tax rate</t>
  </si>
  <si>
    <t>Net Income (incl. SC costs)</t>
  </si>
  <si>
    <t>Diluted EPS (incl. SC costs)</t>
  </si>
  <si>
    <t>Cash Flow Statement</t>
  </si>
  <si>
    <t>Fiscal Year End: Dec ($ in millions, except per share data)</t>
  </si>
  <si>
    <t>Cash Flow from Operating Activities</t>
  </si>
  <si>
    <t>Net income</t>
  </si>
  <si>
    <t>Adjustments to reconcile net income to net cash provided by operating activities:</t>
  </si>
  <si>
    <t>Depreciation and Amortization expense</t>
  </si>
  <si>
    <t>Loss on derivative assets</t>
  </si>
  <si>
    <t>Amortization of customer incentives</t>
  </si>
  <si>
    <t>Amortization and write-off of debt issuance costs</t>
  </si>
  <si>
    <t>Share based compensation expense</t>
  </si>
  <si>
    <t>Deferred taxes</t>
  </si>
  <si>
    <t>Write-off of debt issuance costs</t>
  </si>
  <si>
    <t>Other non-cash items</t>
  </si>
  <si>
    <t>Change in operating assets and liabilities:</t>
  </si>
  <si>
    <t>Decrease in accounts receivable and related party receivable</t>
  </si>
  <si>
    <t>Decrease in net settlement assets and obligations</t>
  </si>
  <si>
    <t>Increase in customer incentives</t>
  </si>
  <si>
    <t>Decrease (increase) in prepaid and other assets</t>
  </si>
  <si>
    <t>Decrease in accounts payable and accrued expenses</t>
  </si>
  <si>
    <t>Decrease in payable to related party</t>
  </si>
  <si>
    <t>Increase in other liabilities</t>
  </si>
  <si>
    <t>Cash flow from operations</t>
  </si>
  <si>
    <t>Cash Flow from Investing Activities</t>
  </si>
  <si>
    <t>Purchases of property and equipment</t>
  </si>
  <si>
    <t>Acquisition of customer related intangible assets and residual buyouts</t>
  </si>
  <si>
    <t>Purchase of investments</t>
  </si>
  <si>
    <t>Residual buyouts</t>
  </si>
  <si>
    <t>Cash used in acquisitions, net of cash acquired</t>
  </si>
  <si>
    <t>Cash flow from investing activities</t>
  </si>
  <si>
    <t>Cash Flow from Financing Activities</t>
  </si>
  <si>
    <t>Net proceeds from IPO</t>
  </si>
  <si>
    <t>Proceeds from follow-on offering</t>
  </si>
  <si>
    <t>Net proceeds from issuance of long-term debt</t>
  </si>
  <si>
    <t>Repayment of debt and capital lease obligations</t>
  </si>
  <si>
    <t>Payment of debt issuance costs</t>
  </si>
  <si>
    <t>Purchase of Class B units</t>
  </si>
  <si>
    <t xml:space="preserve">Repurchase of Class A common stock </t>
  </si>
  <si>
    <t>Tax benefit from employe shared-based comp.</t>
  </si>
  <si>
    <t>Distribution to funds managed by Advent International Corporation</t>
  </si>
  <si>
    <t>Distribution to non-controlling interests</t>
  </si>
  <si>
    <t>Cash flow from financing activities</t>
  </si>
  <si>
    <t>Net change in cash and equivalents</t>
  </si>
  <si>
    <t>Beginning of period cash balance</t>
  </si>
  <si>
    <t>End of period cash balance</t>
  </si>
  <si>
    <t>check</t>
  </si>
  <si>
    <t>Free Cash Flow (CFO less capex)</t>
  </si>
  <si>
    <t>FCF/Net Income</t>
  </si>
  <si>
    <t>Balance Sheet</t>
  </si>
  <si>
    <t>Current Assets</t>
  </si>
  <si>
    <t>Cash and equivalents</t>
  </si>
  <si>
    <t>Accounts receivable—net</t>
  </si>
  <si>
    <t>Related party receivable</t>
  </si>
  <si>
    <t>Settlement assets</t>
  </si>
  <si>
    <t>Prepaid expenses</t>
  </si>
  <si>
    <t>Total current assets</t>
  </si>
  <si>
    <t>Customer incentives</t>
  </si>
  <si>
    <t>Property and equipment</t>
  </si>
  <si>
    <t>Intangibles, net</t>
  </si>
  <si>
    <t>Goodwill, net</t>
  </si>
  <si>
    <t>Other assets</t>
  </si>
  <si>
    <t>Total Assets</t>
  </si>
  <si>
    <t>Current liabilities</t>
  </si>
  <si>
    <t>Accounts payable and accrued expenses</t>
  </si>
  <si>
    <t>Related party payable</t>
  </si>
  <si>
    <t>Settlement obligations</t>
  </si>
  <si>
    <t>Current portion of note payable to related party</t>
  </si>
  <si>
    <t>Current portion of note payable</t>
  </si>
  <si>
    <t>Deferred income</t>
  </si>
  <si>
    <t>Current maturities of capital lease obligations</t>
  </si>
  <si>
    <t>Total current liabilities</t>
  </si>
  <si>
    <t>Note payable to related party</t>
  </si>
  <si>
    <t>Note payable</t>
  </si>
  <si>
    <t>Tax receivable agreement obligations to related parties</t>
  </si>
  <si>
    <t>Capital lease obligations</t>
  </si>
  <si>
    <t>Non-controlling interests</t>
  </si>
  <si>
    <t>Common Stock</t>
  </si>
  <si>
    <t>Additional Paid-in Capital</t>
  </si>
  <si>
    <t>Retained Earnings</t>
  </si>
  <si>
    <t>Accumulated other comprehensive loss</t>
  </si>
  <si>
    <t>Treasury stock</t>
  </si>
  <si>
    <t>Total stockholders' equity</t>
  </si>
  <si>
    <t>Total Liabilities &amp; Stockholders' Equity</t>
  </si>
  <si>
    <t>Key Operating Statistics</t>
  </si>
  <si>
    <t>Total debt</t>
  </si>
  <si>
    <t>Net Debt</t>
  </si>
  <si>
    <t>Debt/Total Capital</t>
  </si>
  <si>
    <t>Net Debt/EBITDA (adjusted)</t>
  </si>
  <si>
    <t>Debt/EBITDA (adjusted)</t>
  </si>
  <si>
    <t>Return on Average Assets</t>
  </si>
  <si>
    <t>Return on Average Equity</t>
  </si>
  <si>
    <t>TTM Adj. EBITDA</t>
  </si>
  <si>
    <t>TTM Net Debt Leverage Ratio</t>
  </si>
  <si>
    <t>Days Sales Outstanding</t>
  </si>
  <si>
    <t>Days Payable Outstanding</t>
  </si>
  <si>
    <t>Debt schedule</t>
  </si>
  <si>
    <t>Interest cost</t>
  </si>
  <si>
    <t>Capital lease/Amortization of financing fees etc.</t>
  </si>
  <si>
    <t xml:space="preserve">weighted average interest rate </t>
  </si>
  <si>
    <t>Modelware Required Tags:</t>
  </si>
  <si>
    <t>Statutory Tax Rate</t>
  </si>
  <si>
    <t>Period End Shares</t>
  </si>
  <si>
    <t>Unrecorded Goodwill</t>
  </si>
  <si>
    <t>Tax on One-Time Items</t>
  </si>
  <si>
    <t>Net Issuance</t>
  </si>
  <si>
    <t>Common Dividends</t>
  </si>
  <si>
    <t>Segment Detail</t>
  </si>
  <si>
    <t>Net revenue</t>
  </si>
  <si>
    <t>Transactions</t>
  </si>
  <si>
    <t xml:space="preserve">Tnx from National merchants </t>
  </si>
  <si>
    <t>MIX SHD SHIFT TO SMID MERCHANTS-NOT IN ESTS</t>
  </si>
  <si>
    <t>Tnx from Small/mid-sized merchants</t>
  </si>
  <si>
    <t>Revenue/Transx</t>
  </si>
  <si>
    <t>Financial Institution Services</t>
  </si>
  <si>
    <t xml:space="preserve">Total </t>
  </si>
  <si>
    <t>Sig transactions (includes credit and debit, ~50/50)</t>
  </si>
  <si>
    <t>PIN transactions</t>
  </si>
  <si>
    <t>% of Total Revenues</t>
  </si>
  <si>
    <t>Merchant revenue</t>
  </si>
  <si>
    <t>Financial Institution Revenues</t>
  </si>
  <si>
    <t>% of Total Transactions</t>
  </si>
  <si>
    <t>Merchant Transactions</t>
  </si>
  <si>
    <t>Financial Institution Transactions</t>
  </si>
  <si>
    <t xml:space="preserve">Comments </t>
  </si>
  <si>
    <t>Integrated payments channel grew &gt;20%</t>
  </si>
  <si>
    <t>same-store sales in Merchant Acquiring biz</t>
  </si>
  <si>
    <t xml:space="preserve">rates of organic growth are stable to up. </t>
  </si>
  <si>
    <t>high growth in high growth channel</t>
  </si>
  <si>
    <t>some impact from OptBlue and conversion of Mercury to VNTV platform</t>
  </si>
  <si>
    <t>Vantiv, Inc. Financials - Presentation Format</t>
  </si>
  <si>
    <t>INCOME STATEMENT ($ in millions except per share data)</t>
  </si>
  <si>
    <t>Net Revenue</t>
  </si>
  <si>
    <t>Proforma Adjusted EBITDA</t>
  </si>
  <si>
    <t>EBITDA (incl. stock comp costs)</t>
  </si>
  <si>
    <t xml:space="preserve">Depreciation </t>
  </si>
  <si>
    <t>Total interest/other expense</t>
  </si>
  <si>
    <t>Income tax expense/(benefit)</t>
  </si>
  <si>
    <t>ProForma Fully Distributed Net Income (adjusted)</t>
  </si>
  <si>
    <t>ProForma Net Income (incl. stock comp costs)</t>
  </si>
  <si>
    <t>ProForma Net Income (GAAP)</t>
  </si>
  <si>
    <t>ProForma Diluted EPS (adjusted, VNTV method)</t>
  </si>
  <si>
    <t>CASH FLOW STATEMENT ($ in millions)</t>
  </si>
  <si>
    <t>Net income (GAAP)</t>
  </si>
  <si>
    <t>Adj. to reconcile NI to net cash provided by op. activities:</t>
  </si>
  <si>
    <t>Decrease in accounts receivable/related party receivable</t>
  </si>
  <si>
    <t>Acquisition of customer related intangible assets</t>
  </si>
  <si>
    <t>BALANCE SHEET ($ in millions)</t>
  </si>
  <si>
    <t>Vantiv, Inc. DCF Analysis</t>
  </si>
  <si>
    <t>FYE: Dec ($ in mn, except per share data)</t>
  </si>
  <si>
    <t>2=Base</t>
  </si>
  <si>
    <t>To adjust discounting:</t>
  </si>
  <si>
    <t>1=Bull</t>
  </si>
  <si>
    <t>Total revenue</t>
  </si>
  <si>
    <t>&lt;-Enter most recent Q reported (0-3, 0 means YE)</t>
  </si>
  <si>
    <t>3=Bear</t>
  </si>
  <si>
    <t>% of revenues</t>
  </si>
  <si>
    <t>EBITDA (Adjusted)</t>
  </si>
  <si>
    <t>Depreciation and amortization</t>
  </si>
  <si>
    <t>Operating income</t>
  </si>
  <si>
    <t>Operating margin</t>
  </si>
  <si>
    <t>Other Income/(expense)</t>
  </si>
  <si>
    <t>EBT</t>
  </si>
  <si>
    <t>Tax exp/(bene)</t>
  </si>
  <si>
    <t>Net income (adjusted)</t>
  </si>
  <si>
    <t>Check</t>
  </si>
  <si>
    <t>Other Cash Impacts</t>
  </si>
  <si>
    <t>Capital Expenditure</t>
  </si>
  <si>
    <t>Capex % of revenues</t>
  </si>
  <si>
    <t>Change in Net working capital</t>
  </si>
  <si>
    <t>NWC % of revenues</t>
  </si>
  <si>
    <t>Add backafter tax interest exp</t>
  </si>
  <si>
    <t>Free cash flow to firm</t>
  </si>
  <si>
    <t>PV factor</t>
  </si>
  <si>
    <t>PV of Free Cash Flows</t>
  </si>
  <si>
    <t>Terminal Value</t>
  </si>
  <si>
    <t>Inputs</t>
  </si>
  <si>
    <t>Valuation</t>
  </si>
  <si>
    <t>DCF Sensitivity Analysis</t>
  </si>
  <si>
    <t>WACC</t>
  </si>
  <si>
    <t>Discount Rate</t>
  </si>
  <si>
    <t>PV of terminal value</t>
  </si>
  <si>
    <t>Terminal FCF multiple</t>
  </si>
  <si>
    <t>Total PV of FCF</t>
  </si>
  <si>
    <t>Terminal EBITDA multiple</t>
  </si>
  <si>
    <t>Less: Debt</t>
  </si>
  <si>
    <t>Terminal</t>
  </si>
  <si>
    <t>Terminal Growth Rate</t>
  </si>
  <si>
    <t>Plus: Cash &amp; corp investments</t>
  </si>
  <si>
    <t>Growth</t>
  </si>
  <si>
    <t>Equity value</t>
  </si>
  <si>
    <t>Rate</t>
  </si>
  <si>
    <t>Diluted shares outstanding</t>
  </si>
  <si>
    <t>Implied share price in one year</t>
  </si>
  <si>
    <t>WACC Calculation</t>
  </si>
  <si>
    <t>WACC = (equity/capital) x (WACE) + (LTD/capital) x (WACD)</t>
  </si>
  <si>
    <t>Current capital structure</t>
  </si>
  <si>
    <t>Weighted</t>
  </si>
  <si>
    <t>Value</t>
  </si>
  <si>
    <t>Cost</t>
  </si>
  <si>
    <t>Equity (market cap)</t>
  </si>
  <si>
    <t>Debt</t>
  </si>
  <si>
    <t>Weighted average cost of equity</t>
  </si>
  <si>
    <t>CAPM = Risk free rate + beta (expected market return - risk free rate)</t>
  </si>
  <si>
    <t>Risk free rate</t>
  </si>
  <si>
    <t>10-yr avg of 10-yr Treasury Yield</t>
  </si>
  <si>
    <t xml:space="preserve"> </t>
  </si>
  <si>
    <t>+</t>
  </si>
  <si>
    <t>Beta</t>
  </si>
  <si>
    <t>x</t>
  </si>
  <si>
    <t>Expected market return</t>
  </si>
  <si>
    <t>-RFR</t>
  </si>
  <si>
    <t>Risk Premium</t>
  </si>
  <si>
    <t>+ Alpha</t>
  </si>
  <si>
    <t>Cost of Equity (WACE)</t>
  </si>
  <si>
    <t>Vantiv, Inc. PT Interpolation</t>
  </si>
  <si>
    <t>Calculated</t>
  </si>
  <si>
    <t>Weighting</t>
  </si>
  <si>
    <t>$</t>
  </si>
  <si>
    <t>DCF Valuation</t>
  </si>
  <si>
    <t>PE</t>
  </si>
  <si>
    <t>PT</t>
  </si>
  <si>
    <t>P/E Valuation</t>
  </si>
  <si>
    <t>P/E Target</t>
  </si>
  <si>
    <t>Target Multiple</t>
  </si>
  <si>
    <t>Cash (excess over PSOs)</t>
  </si>
  <si>
    <t>Shares outstanding</t>
  </si>
  <si>
    <t>Current Price</t>
  </si>
  <si>
    <t>Target</t>
  </si>
  <si>
    <t>Up/(Down)side</t>
  </si>
  <si>
    <t>NA</t>
  </si>
  <si>
    <t>Total</t>
  </si>
  <si>
    <t>.</t>
  </si>
  <si>
    <t>Currency</t>
  </si>
  <si>
    <t>Current Stock Price</t>
  </si>
  <si>
    <t>Count</t>
  </si>
  <si>
    <t>USD</t>
  </si>
  <si>
    <t>VNTV.N,mscalc:sedolCodeCalc</t>
  </si>
  <si>
    <t>VNTV.N,mscalc:closePriceCurrencyCalc</t>
  </si>
  <si>
    <t>VNTV.N,mscalc:targetPrice,,,,USD</t>
  </si>
  <si>
    <t>3Q16A</t>
  </si>
  <si>
    <t>4Q16A</t>
  </si>
  <si>
    <t>2016A</t>
  </si>
  <si>
    <t>1Q19E</t>
  </si>
  <si>
    <t>2Q19E</t>
  </si>
  <si>
    <t>3Q19E</t>
  </si>
  <si>
    <t>4Q19E</t>
  </si>
  <si>
    <t>2019E</t>
  </si>
  <si>
    <t>FQ3/16</t>
  </si>
  <si>
    <t>FQ4/16</t>
  </si>
  <si>
    <t>Fifth Third revenue exposure</t>
  </si>
  <si>
    <t>Sales force commission &amp; residuals</t>
  </si>
  <si>
    <t>FQ1/17</t>
  </si>
  <si>
    <t>&lt;-Enter current fiscal year +1</t>
  </si>
  <si>
    <t>1Q17A</t>
  </si>
  <si>
    <t>2Q17A</t>
  </si>
  <si>
    <t>Global eCom (all online)</t>
  </si>
  <si>
    <t>Revolving credit facility, due Oct 2021</t>
  </si>
  <si>
    <t>3Q17A</t>
  </si>
  <si>
    <t>1Q20E</t>
  </si>
  <si>
    <t>2Q20E</t>
  </si>
  <si>
    <t>3Q20E</t>
  </si>
  <si>
    <t>4Q20E</t>
  </si>
  <si>
    <t>2020E</t>
  </si>
  <si>
    <t xml:space="preserve">2016PF </t>
  </si>
  <si>
    <t>US Merchant Services</t>
  </si>
  <si>
    <t>UK Merchant Services</t>
  </si>
  <si>
    <t>Term A, due 2021</t>
  </si>
  <si>
    <t>Term B, due 2023</t>
  </si>
  <si>
    <t>Incremental Term B, due 2024</t>
  </si>
  <si>
    <t>Dollar Denominated Notes, due 2025</t>
  </si>
  <si>
    <t>Pound Sterling Denominated Notes, due 2025</t>
  </si>
  <si>
    <t>Incremental Term Loan A-4, due XX</t>
  </si>
  <si>
    <t>Incremental Term Loan B-1, due XX</t>
  </si>
  <si>
    <t>Rolled Worldpay Senior Unsecured Notes</t>
  </si>
  <si>
    <t>as% of revenues</t>
  </si>
  <si>
    <t>CY19 EPS</t>
  </si>
  <si>
    <t>ProForma Diluted EPS (MS method, includes stock comp exp)</t>
  </si>
  <si>
    <t>2017 rev growth rate</t>
  </si>
  <si>
    <t>2017-2025 rev growth rate</t>
  </si>
  <si>
    <t>PV of cash flows 2017-2018</t>
  </si>
  <si>
    <t>PV of cash flows 2019-2025</t>
  </si>
  <si>
    <t>vasundhg</t>
  </si>
  <si>
    <t>WP.N</t>
  </si>
  <si>
    <t>WP.N,mscalc:closePriceCurrencyCalc</t>
  </si>
  <si>
    <t>WP.N,mscalc:sedolCodeCalc</t>
  </si>
  <si>
    <t>WP.N,mscalc:targetPrice,,,,USD</t>
  </si>
  <si>
    <t>$L$2</t>
  </si>
  <si>
    <t>BF8D8T0</t>
  </si>
  <si>
    <t>Current portion of tax receivable agreement obligations to related parties</t>
  </si>
  <si>
    <t>Current portion of tax receivable agreement obligations</t>
  </si>
  <si>
    <t>Tax receivable agreements non-cash items</t>
  </si>
  <si>
    <t>Settlement of certain tax receivable agreements</t>
  </si>
  <si>
    <t>Payments under tax receivable agreements</t>
  </si>
  <si>
    <t xml:space="preserve">WorldPay Global eComm </t>
  </si>
  <si>
    <t>About one-third of the net revenues are denominated in dollars; about 20%  are in euros; between 25% and 30% is in sterling; and then sundry range of other currencies</t>
  </si>
  <si>
    <t>93</t>
  </si>
  <si>
    <t>Worldpay (WP) Model</t>
  </si>
  <si>
    <t>$3800-3890</t>
  </si>
  <si>
    <t>$3.66-3.76</t>
  </si>
  <si>
    <t>4Q17A</t>
  </si>
  <si>
    <t>2017A</t>
  </si>
  <si>
    <t>Research</t>
  </si>
  <si>
    <t>MSA93FJR</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</si>
  <si>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</si>
  <si>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</si>
  <si>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</si>
  <si>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</si>
  <si>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</si>
  <si>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</si>
  <si>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</si>
  <si>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Vasundhara Govil</t>
  </si>
  <si>
    <t>Date: 05 Mar 2018</t>
  </si>
  <si>
    <t>Ticker: WP.N</t>
  </si>
  <si>
    <t>Stock Rating: Overweight</t>
  </si>
  <si>
    <t>Industry: Payments and Processing</t>
  </si>
  <si>
    <t>Industry View: In-Line</t>
  </si>
  <si>
    <t>Price as of 05 Mar 2018: 83.63</t>
  </si>
  <si>
    <t>Target Price: 93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</si>
  <si>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</si>
  <si>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</si>
  <si>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</si>
  <si>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</si>
  <si>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Worldpay Inc.</t>
  </si>
  <si>
    <t>STOCK RATINGS</t>
  </si>
  <si>
    <t>Global Stock Ratings Distribution</t>
  </si>
  <si>
    <t>(as of February 28,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</si>
  <si>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</si>
  <si>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</si>
  <si>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</si>
  <si>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</si>
  <si>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</si>
  <si>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</si>
  <si>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</si>
  <si>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</si>
  <si>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</si>
  <si>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</si>
  <si>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</si>
  <si>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</si>
  <si>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</si>
  <si>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</si>
  <si>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</si>
  <si>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</si>
  <si>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</si>
  <si>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</si>
  <si>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</si>
  <si>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</si>
  <si>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</si>
  <si>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</si>
  <si>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</si>
  <si>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</si>
  <si>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</si>
  <si>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</si>
  <si>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</si>
  <si>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</si>
  <si>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</si>
  <si>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</si>
  <si>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</si>
  <si>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</si>
  <si>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</si>
  <si>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</si>
  <si>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</si>
  <si>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</si>
  <si>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</si>
  <si>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</si>
  <si>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</si>
  <si>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</si>
  <si>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</si>
  <si>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</si>
  <si>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</si>
  <si>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</si>
  <si>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</si>
  <si>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</si>
  <si>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</si>
  <si>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</si>
  <si>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</si>
  <si>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</si>
  <si>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</si>
  <si>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</si>
  <si>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</si>
  <si>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</si>
  <si>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</si>
  <si>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</si>
  <si>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</si>
  <si>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</si>
  <si>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</si>
  <si>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</si>
  <si>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</si>
  <si>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</si>
  <si>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</si>
  <si>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</si>
  <si>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</si>
  <si>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</si>
  <si>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</si>
  <si>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</si>
  <si>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</si>
  <si>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</si>
  <si>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</si>
  <si>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</si>
  <si>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</si>
  <si>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</si>
  <si>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</si>
  <si>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</si>
  <si>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</si>
  <si>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</si>
  <si>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</si>
  <si>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</si>
  <si>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</si>
  <si>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</si>
  <si>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</si>
  <si>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</si>
  <si>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</si>
  <si>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</si>
  <si>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</si>
  <si>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</si>
  <si>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</si>
  <si>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</si>
  <si>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</si>
  <si>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</si>
  <si>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</si>
  <si>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</si>
  <si>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</si>
  <si>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</si>
  <si>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</si>
  <si>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</si>
  <si>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</si>
  <si>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</si>
  <si>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</si>
  <si>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</si>
  <si>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</si>
  <si>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</si>
  <si>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</si>
  <si>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</si>
  <si>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</si>
  <si>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</si>
  <si>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</si>
  <si>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</si>
  <si>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</si>
  <si>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</si>
  <si>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</si>
  <si>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</si>
  <si>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</si>
  <si>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</si>
  <si>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</si>
  <si>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</si>
  <si>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</si>
  <si>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</si>
  <si>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</si>
  <si>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</si>
  <si>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</si>
  <si>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</si>
  <si>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</si>
  <si>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</si>
  <si>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</si>
  <si>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</si>
  <si>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</si>
  <si>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</si>
  <si>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</si>
  <si>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</si>
  <si>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</si>
  <si>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</si>
  <si>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</si>
  <si>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</si>
  <si>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</si>
  <si>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</si>
  <si>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</si>
  <si>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</si>
  <si>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</si>
  <si>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</si>
  <si>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</si>
  <si>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</si>
  <si>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</si>
  <si>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</si>
  <si>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</si>
  <si>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</si>
  <si>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</si>
  <si>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</si>
  <si>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</si>
  <si>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</si>
  <si>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</si>
  <si>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</si>
  <si>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</si>
  <si>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</si>
  <si>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</si>
  <si>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</si>
  <si>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</si>
  <si>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</si>
  <si>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</si>
  <si>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</si>
  <si>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</si>
  <si>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</si>
  <si>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</si>
  <si>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</si>
  <si>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</si>
  <si>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</si>
  <si>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</si>
  <si>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</si>
  <si>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</si>
  <si>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</si>
  <si>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</si>
  <si>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</si>
  <si>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</si>
  <si>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</si>
  <si>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</si>
  <si>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</si>
  <si>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</si>
  <si>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</si>
  <si>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</si>
  <si>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</si>
  <si>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</si>
  <si>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</si>
  <si>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</si>
  <si>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</si>
  <si>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</si>
  <si>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</si>
  <si>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</si>
  <si>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</si>
  <si>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</si>
  <si>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</si>
  <si>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</si>
  <si>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</si>
  <si>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</si>
  <si>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</si>
  <si>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</si>
  <si>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</si>
  <si>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</si>
  <si>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</si>
  <si>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</si>
  <si>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</si>
  <si>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</si>
  <si>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</si>
  <si>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</si>
  <si>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</si>
  <si>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</si>
  <si>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</si>
  <si>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</si>
  <si>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</si>
  <si>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</si>
  <si>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</si>
  <si>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</si>
  <si>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</si>
  <si>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</si>
  <si>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</si>
  <si>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</si>
  <si>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</si>
  <si>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</si>
  <si>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</si>
  <si>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</si>
  <si>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</si>
  <si>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</si>
  <si>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</si>
  <si>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</si>
  <si>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</si>
  <si>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</si>
  <si>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</si>
  <si>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</si>
  <si>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</si>
  <si>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</si>
  <si>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</si>
  <si>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</si>
  <si>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</si>
  <si>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</si>
  <si>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</si>
  <si>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</si>
  <si>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</si>
  <si>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</si>
  <si>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Worldpay Inc.</t>
  </si>
  <si>
    <t>Within the last 12 months, Morgan Stanley has provided or is providing investment banking services to,</t>
  </si>
  <si>
    <t>or has an investment banking client relationship with, the following company: Worldpay Inc.</t>
  </si>
  <si>
    <t>Within the last 12 months, Morgan Stanley has received compensation for products and services other than</t>
  </si>
  <si>
    <t>investment banking services from Worldpay Inc.</t>
  </si>
  <si>
    <t>In the next 3 months, Morgan Stanley expects to receive or intends to seek compensation for investment</t>
  </si>
  <si>
    <t>banking services from Worldpay Inc.</t>
  </si>
  <si>
    <t>Within the last 12 months, Morgan Stanley has received compensation for investment banking services from</t>
  </si>
  <si>
    <t>Worldpay Inc.</t>
  </si>
  <si>
    <t>Within the last 12 months, Morgan Stanley managed or co-managed a public offering (or 144A offering) of</t>
  </si>
  <si>
    <t>securities of Worldpay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</si>
  <si>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</si>
  <si>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</si>
  <si>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</si>
  <si>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</si>
  <si>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</si>
  <si>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Vasundhara Govil.</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</si>
  <si>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</si>
  <si>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</si>
  <si>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</si>
  <si>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</si>
  <si>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</si>
  <si>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</si>
  <si>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</si>
  <si>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</si>
  <si>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</si>
  <si>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</si>
  <si>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</si>
  <si>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</si>
  <si>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</si>
  <si>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</si>
  <si>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</si>
  <si>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</si>
  <si>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</si>
  <si>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</si>
  <si>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</si>
  <si>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</si>
  <si>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</si>
  <si>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</si>
  <si>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</si>
  <si>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</si>
  <si>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</si>
  <si>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</si>
  <si>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</si>
  <si>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</si>
  <si>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</si>
  <si>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</si>
  <si>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</si>
  <si>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</si>
  <si>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</si>
  <si>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</si>
  <si>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</si>
  <si>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</si>
  <si>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</si>
  <si>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</si>
  <si>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</si>
  <si>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</si>
  <si>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</si>
  <si>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</si>
  <si>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</si>
  <si>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</si>
  <si>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</si>
  <si>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</si>
  <si>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</si>
  <si>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</si>
  <si>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</si>
  <si>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</si>
  <si>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</si>
  <si>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</si>
  <si>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</si>
  <si>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</si>
  <si>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</si>
  <si>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</si>
  <si>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</si>
  <si>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</si>
  <si>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</si>
  <si>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</si>
  <si>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</si>
  <si>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</si>
  <si>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</si>
  <si>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</si>
  <si>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</si>
  <si>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</si>
  <si>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</si>
  <si>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</si>
  <si>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</si>
  <si>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Quarterly Update</t>
  </si>
  <si>
    <t>NorthAmerica</t>
  </si>
  <si>
    <t>Worldpay Inc</t>
  </si>
  <si>
    <t>L:\ITServices\Companies\VNTV\VNTV Models\WP Model.xlsm</t>
  </si>
  <si>
    <t>[BRO MSA]</t>
  </si>
  <si>
    <t>[PRODUCT MODEL]</t>
  </si>
  <si>
    <t>[EMAIL_ALERT YES]</t>
  </si>
  <si>
    <t>[DISCIPLINE Company]</t>
  </si>
  <si>
    <t>[SUPPRESSED NO]</t>
  </si>
  <si>
    <t>[DOCDAT 2018-03-05]</t>
  </si>
  <si>
    <t>[DOCTIME 16:33]</t>
  </si>
  <si>
    <t>[PSYM WP.N(S&amp;P) (None)]</t>
  </si>
  <si>
    <t>[COU 1]</t>
  </si>
  <si>
    <t>[ANA ]</t>
  </si>
  <si>
    <t>[HL WP.N Model]</t>
  </si>
  <si>
    <t>[IND COMPUT]</t>
  </si>
  <si>
    <t>[PANA MSA93FJR]</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</si>
</sst>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7" formatCode="&quot;$&quot;#,##0.00_);\(&quot;$&quot;#,##0.00\)"/>
    <numFmt numFmtId="44" formatCode="_(&quot;$&quot;* #,##0.00_);_(&quot;$&quot;* \(#,##0.00\);_(&quot;$&quot;* &quot;-&quot;??_);_(@_)"/>
    <numFmt numFmtId="43" formatCode="_(* #,##0.00_);_(* \(#,##0.00\);_(* &quot;-&quot;??_);_(@_)"/>
    <numFmt numFmtId="164" formatCode="_-* #,##0.00_-;\-* #,##0.00_-;_-* &quot;-&quot;??_-;_-@_-"/>
    <numFmt numFmtId="165" formatCode="&quot;$&quot;0"/>
    <numFmt numFmtId="166" formatCode="0.0%"/>
    <numFmt numFmtId="167" formatCode="0.0%_);\(0.0%\)"/>
    <numFmt numFmtId="168" formatCode="&quot;$&quot;0.00"/>
    <numFmt numFmtId="169" formatCode="_(* #,##0_);_(* \(#,##0\);_(* &quot;-&quot;??_);_(@_)"/>
    <numFmt numFmtId="170" formatCode="0.0"/>
    <numFmt numFmtId="171" formatCode="#,##0.0_);\(#,##0.0\)"/>
    <numFmt numFmtId="172" formatCode="_(* #,##0.0_);_(* \(#,##0.0\);_(* &quot;-&quot;??_);_(@_)"/>
    <numFmt numFmtId="173" formatCode="0_);\(0\)"/>
    <numFmt numFmtId="174" formatCode="#,##0.0"/>
    <numFmt numFmtId="175" formatCode="&quot;$&quot;#,##0.00"/>
    <numFmt numFmtId="176" formatCode="&quot;$&quot;#,##0.0"/>
    <numFmt numFmtId="177" formatCode="0.0_);\(0.0\)"/>
    <numFmt numFmtId="178" formatCode="0.000"/>
    <numFmt numFmtId="179" formatCode="_(* #,##0.0000_);_(* \(#,##0.0000\);_(* &quot;-&quot;??_);_(@_)"/>
    <numFmt numFmtId="180" formatCode="_(* #,##0.000_);_(* \(#,##0.000\);_(* &quot;-&quot;??_);_(@_)"/>
    <numFmt numFmtId="181" formatCode="#,##0.000_);\(#,##0.000\)"/>
    <numFmt numFmtId="182" formatCode="_(&quot;$&quot;* #,##0_);_(&quot;$&quot;* \(#,##0\);_(&quot;$&quot;* &quot;-&quot;??_);_(@_)"/>
    <numFmt numFmtId="183" formatCode="0.0\x"/>
    <numFmt numFmtId="184" formatCode="#,##0.00000000000000"/>
    <numFmt numFmtId="185" formatCode="&quot;$&quot;#,##0.0_);\(&quot;$&quot;#,##0.0\)"/>
    <numFmt numFmtId="186" formatCode="&quot;$&quot;#,##0"/>
    <numFmt numFmtId="212" formatCode="mm/dd/yy\ hh:mm"/>
  </numFmts>
  <fonts count="75">
    <font>
      <sz val="10"/>
      <name val="Arial"/>
      <family val="2"/>
    </font>
    <font>
      <sz val="11"/>
      <color theme="1"/>
      <name val="Calibri"/>
      <family val="2"/>
      <scheme val="minor"/>
    </font>
    <font>
      <sz val="10"/>
      <name val="Arial"/>
      <family val="2"/>
    </font>
    <font>
      <b/>
      <sz val="10"/>
      <name val="Arial"/>
      <family val="2"/>
    </font>
    <font>
      <b/>
      <sz val="12"/>
      <name val="Arial"/>
      <family val="2"/>
    </font>
    <font>
      <b/>
      <sz val="14"/>
      <name val="Arial"/>
      <family val="2"/>
    </font>
    <font>
      <sz val="8"/>
      <name val="Arial"/>
      <family val="2"/>
    </font>
    <font>
      <b/>
      <sz val="8"/>
      <name val="Arial"/>
      <family val="2"/>
    </font>
    <font>
      <sz val="10"/>
      <color indexed="8"/>
      <name val="Arial"/>
      <family val="2"/>
    </font>
    <font>
      <sz val="8"/>
      <color indexed="8"/>
      <name val="Arial"/>
      <family val="2"/>
    </font>
    <font>
      <b/>
      <sz val="10"/>
      <color indexed="9"/>
      <name val="arial"/>
      <family val="2"/>
    </font>
    <font>
      <sz val="10"/>
      <color theme="0" tint="-0.34998626667073579"/>
      <name val="Arial"/>
      <family val="2"/>
    </font>
    <font>
      <b/>
      <sz val="8"/>
      <color indexed="9"/>
      <name val="Arial"/>
      <family val="2"/>
    </font>
    <font>
      <sz val="9"/>
      <name val="Arial"/>
      <family val="2"/>
    </font>
    <font>
      <b/>
      <u/>
      <sz val="10"/>
      <name val="Arial"/>
      <family val="2"/>
    </font>
    <font>
      <sz val="12"/>
      <name val="Arial"/>
      <family val="2"/>
    </font>
    <font>
      <b/>
      <sz val="10"/>
      <color indexed="8"/>
      <name val="arial"/>
      <family val="2"/>
    </font>
    <font>
      <b/>
      <sz val="10"/>
      <color indexed="12"/>
      <name val="Arial"/>
      <family val="2"/>
    </font>
    <font>
      <sz val="8"/>
      <color indexed="12"/>
      <name val="Arial"/>
      <family val="2"/>
    </font>
    <font>
      <sz val="9"/>
      <color indexed="12"/>
      <name val="univers45"/>
    </font>
    <font>
      <b/>
      <sz val="8"/>
      <color indexed="12"/>
      <name val="Arial"/>
      <family val="2"/>
    </font>
    <font>
      <b/>
      <u/>
      <sz val="10"/>
      <color indexed="12"/>
      <name val="Arial"/>
      <family val="2"/>
    </font>
    <font>
      <sz val="10"/>
      <color indexed="12"/>
      <name val="Arial"/>
      <family val="2"/>
    </font>
    <font>
      <sz val="9.5"/>
      <name val="Arial"/>
      <family val="2"/>
    </font>
    <font>
      <sz val="8"/>
      <color indexed="10"/>
      <name val="Arial"/>
      <family val="2"/>
    </font>
    <font>
      <b/>
      <sz val="9"/>
      <name val="univers45"/>
    </font>
    <font>
      <sz val="9"/>
      <name val="univers45"/>
    </font>
    <font>
      <b/>
      <sz val="9"/>
      <color indexed="12"/>
      <name val="univers45"/>
    </font>
    <font>
      <b/>
      <sz val="8"/>
      <color indexed="8"/>
      <name val="Arial"/>
      <family val="2"/>
    </font>
    <font>
      <sz val="10"/>
      <color indexed="10"/>
      <name val="arial"/>
      <family val="2"/>
    </font>
    <font>
      <sz val="10"/>
      <color theme="1"/>
      <name val="Arial"/>
      <family val="2"/>
    </font>
    <font>
      <b/>
      <sz val="10"/>
      <name val="univers45"/>
    </font>
    <font>
      <b/>
      <sz val="10"/>
      <color indexed="12"/>
      <name val="univers45"/>
    </font>
    <font>
      <sz val="8"/>
      <color indexed="17"/>
      <name val="Arial"/>
      <family val="2"/>
    </font>
    <font>
      <b/>
      <sz val="9"/>
      <name val="Arial"/>
      <family val="2"/>
    </font>
    <font>
      <b/>
      <sz val="10"/>
      <color indexed="10"/>
      <name val="Arial"/>
      <family val="2"/>
    </font>
    <font>
      <sz val="9"/>
      <color indexed="8"/>
      <name val="univers45"/>
    </font>
    <font>
      <sz val="9"/>
      <color theme="1"/>
      <name val="univers45"/>
    </font>
    <font>
      <sz val="9"/>
      <color indexed="62"/>
      <name val="univers45"/>
    </font>
    <font>
      <sz val="8"/>
      <name val="univers45"/>
    </font>
    <font>
      <b/>
      <sz val="8"/>
      <name val="univers45"/>
    </font>
    <font>
      <sz val="8"/>
      <color indexed="12"/>
      <name val="univers45"/>
    </font>
    <font>
      <b/>
      <sz val="8"/>
      <color indexed="12"/>
      <name val="univers45"/>
    </font>
    <font>
      <b/>
      <sz val="10"/>
      <color theme="1"/>
      <name val="Arial"/>
      <family val="2"/>
    </font>
    <font>
      <b/>
      <sz val="9"/>
      <color indexed="12"/>
      <name val="Arial"/>
      <family val="2"/>
    </font>
    <font>
      <i/>
      <sz val="8"/>
      <name val="Arial"/>
      <family val="2"/>
    </font>
    <font>
      <i/>
      <sz val="10"/>
      <name val="Arial"/>
      <family val="2"/>
    </font>
    <font>
      <i/>
      <sz val="10"/>
      <color indexed="12"/>
      <name val="Arial"/>
      <family val="2"/>
    </font>
    <font>
      <sz val="10"/>
      <name val="Times New Roman"/>
      <family val="1"/>
    </font>
    <font>
      <b/>
      <sz val="8"/>
      <color indexed="81"/>
      <name val="Tahoma"/>
      <family val="2"/>
    </font>
    <font>
      <sz val="8"/>
      <color indexed="81"/>
      <name val="Tahoma"/>
      <family val="2"/>
    </font>
    <font>
      <sz val="9"/>
      <color indexed="81"/>
      <name val="Tahoma"/>
      <family val="2"/>
    </font>
    <font>
      <b/>
      <sz val="9"/>
      <color indexed="81"/>
      <name val="Tahoma"/>
      <family val="2"/>
    </font>
    <font>
      <b/>
      <sz val="10"/>
      <color theme="0"/>
      <name val="arial"/>
      <family val="2"/>
    </font>
    <font>
      <b/>
      <sz val="10"/>
      <color indexed="17"/>
      <name val="Arial"/>
      <family val="2"/>
    </font>
    <font>
      <sz val="10"/>
      <color indexed="17"/>
      <name val="arial"/>
      <family val="2"/>
    </font>
    <font>
      <sz val="10"/>
      <color indexed="53"/>
      <name val="Arial"/>
      <family val="2"/>
    </font>
    <font>
      <sz val="10"/>
      <color indexed="22"/>
      <name val="Arial"/>
      <family val="2"/>
    </font>
    <font>
      <sz val="9"/>
      <color indexed="12"/>
      <name val="Arial"/>
      <family val="2"/>
    </font>
    <font>
      <b/>
      <sz val="10"/>
      <color rgb="FFFF0000"/>
      <name val="Arial"/>
      <family val="2"/>
    </font>
    <font>
      <u/>
      <sz val="10"/>
      <color indexed="12"/>
      <name val="Arial"/>
      <family val="2"/>
    </font>
    <font>
      <sz val="11"/>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8"/>
      <color theme="1"/>
      <name val="Arial"/>
      <family val="2"/>
    </font>
    <font>
      <sz val="8"/>
      <color rgb="FF0000FF"/>
      <name val="Arial"/>
      <family val="2"/>
    </font>
    <font>
      <b/>
      <sz val="10"/>
      <color rgb="FF0000FF"/>
      <name val="Arial"/>
      <family val="2"/>
    </font>
    <font>
      <u/>
      <sz val="10"/>
      <color theme="3" tint="0.39997558519241921"/>
      <name val="Arial"/>
      <family val="2"/>
    </font>
    <font>
      <u/>
      <sz val="11"/>
      <color theme="10"/>
      <name val="Calibri"/>
      <family val="2"/>
      <scheme val="minor"/>
    </font>
    <font>
      <sz val="10"/>
      <name val="Courier"/>
      <family val="3"/>
    </font>
    <font>
      <sz val="10"/>
      <color rgb="FF000000"/>
      <name val="Arial"/>
      <family val="2"/>
    </font>
    <font>
      <b/>
      <sz val="12"/>
      <color rgb="FF000080"/>
      <name val="Arial"/>
      <family val="2"/>
    </font>
  </fonts>
  <fills count="14">
    <fill>
      <patternFill patternType="none"/>
    </fill>
    <fill>
      <patternFill patternType="gray125"/>
    </fill>
    <fill>
      <patternFill patternType="solid">
        <fgColor indexed="9"/>
        <bgColor indexed="64"/>
      </patternFill>
    </fill>
    <fill>
      <patternFill patternType="solid">
        <fgColor theme="3" tint="0.79998168889431442"/>
        <bgColor indexed="64"/>
      </patternFill>
    </fill>
    <fill>
      <patternFill patternType="solid">
        <fgColor rgb="FFC5D9F1"/>
        <bgColor indexed="64"/>
      </patternFill>
    </fill>
    <fill>
      <patternFill patternType="solid">
        <fgColor rgb="FFF2F2F2"/>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3"/>
        <bgColor indexed="64"/>
      </patternFill>
    </fill>
    <fill>
      <patternFill patternType="solid">
        <fgColor indexed="65"/>
        <bgColor indexed="64"/>
      </patternFill>
    </fill>
    <fill>
      <patternFill patternType="solid">
        <fgColor indexed="43"/>
        <bgColor indexed="64"/>
      </patternFill>
    </fill>
    <fill>
      <patternFill patternType="solid">
        <fgColor rgb="FFFFFFCC"/>
        <bgColor indexed="64"/>
      </patternFill>
    </fill>
    <fill>
      <patternFill patternType="solid">
        <fgColor rgb="FFFFFF00"/>
        <bgColor indexed="64"/>
      </patternFill>
    </fill>
  </fills>
  <borders count="72">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top/>
      <bottom style="hair">
        <color indexed="8"/>
      </bottom>
      <diagonal/>
    </border>
    <border>
      <left style="thin">
        <color indexed="64"/>
      </left>
      <right style="thin">
        <color indexed="64"/>
      </right>
      <top/>
      <bottom style="hair">
        <color indexed="8"/>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style="thin">
        <color indexed="64"/>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bottom style="double">
        <color indexed="64"/>
      </bottom>
      <diagonal/>
    </border>
    <border>
      <left/>
      <right/>
      <top/>
      <bottom style="double">
        <color indexed="64"/>
      </bottom>
      <diagonal/>
    </border>
    <border>
      <left style="thin">
        <color indexed="64"/>
      </left>
      <right style="thin">
        <color indexed="64"/>
      </right>
      <top/>
      <bottom style="double">
        <color indexed="64"/>
      </bottom>
      <diagonal/>
    </border>
    <border>
      <left style="thin">
        <color indexed="64"/>
      </left>
      <right/>
      <top style="thin">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right/>
      <top/>
      <bottom style="thin">
        <color indexed="8"/>
      </bottom>
      <diagonal/>
    </border>
    <border>
      <left style="thin">
        <color indexed="64"/>
      </left>
      <right/>
      <top style="thin">
        <color indexed="8"/>
      </top>
      <bottom/>
      <diagonal/>
    </border>
    <border>
      <left/>
      <right/>
      <top style="thin">
        <color indexed="8"/>
      </top>
      <bottom/>
      <diagonal/>
    </border>
    <border>
      <left style="thin">
        <color indexed="9"/>
      </left>
      <right style="thin">
        <color indexed="9"/>
      </right>
      <top style="thin">
        <color indexed="8"/>
      </top>
      <bottom/>
      <diagonal/>
    </border>
    <border>
      <left style="thin">
        <color indexed="9"/>
      </left>
      <right style="thin">
        <color indexed="9"/>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style="thin">
        <color indexed="64"/>
      </bottom>
      <diagonal/>
    </border>
    <border>
      <left style="thin">
        <color indexed="64"/>
      </left>
      <right style="thin">
        <color indexed="8"/>
      </right>
      <top/>
      <bottom/>
      <diagonal/>
    </border>
    <border>
      <left style="thin">
        <color indexed="64"/>
      </left>
      <right style="thin">
        <color indexed="8"/>
      </right>
      <top/>
      <bottom style="hair">
        <color indexed="64"/>
      </bottom>
      <diagonal/>
    </border>
    <border>
      <left style="thin">
        <color indexed="8"/>
      </left>
      <right/>
      <top/>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style="thin">
        <color indexed="64"/>
      </left>
      <right style="thin">
        <color indexed="64"/>
      </right>
      <top style="thin">
        <color indexed="64"/>
      </top>
      <bottom style="thin">
        <color indexed="8"/>
      </bottom>
      <diagonal/>
    </border>
    <border>
      <left style="thin">
        <color indexed="8"/>
      </left>
      <right/>
      <top style="thin">
        <color indexed="64"/>
      </top>
      <bottom style="double">
        <color indexed="8"/>
      </bottom>
      <diagonal/>
    </border>
    <border>
      <left/>
      <right/>
      <top style="thin">
        <color indexed="64"/>
      </top>
      <bottom style="double">
        <color indexed="8"/>
      </bottom>
      <diagonal/>
    </border>
    <border>
      <left style="thin">
        <color indexed="64"/>
      </left>
      <right style="thin">
        <color indexed="64"/>
      </right>
      <top style="thin">
        <color indexed="64"/>
      </top>
      <bottom style="double">
        <color indexed="8"/>
      </bottom>
      <diagonal/>
    </border>
    <border>
      <left style="thin">
        <color indexed="8"/>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25">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alignment vertical="top"/>
    </xf>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11" borderId="0" applyNumberFormat="0" applyFont="0" applyBorder="0" applyAlignment="0" applyProtection="0"/>
    <xf numFmtId="0" fontId="2" fillId="0" borderId="0"/>
    <xf numFmtId="0" fontId="62" fillId="0" borderId="0"/>
    <xf numFmtId="0" fontId="62" fillId="0" borderId="0"/>
    <xf numFmtId="0" fontId="63" fillId="0" borderId="0"/>
    <xf numFmtId="0" fontId="64" fillId="0" borderId="0">
      <alignment vertical="center"/>
    </xf>
    <xf numFmtId="0" fontId="65" fillId="0" borderId="0"/>
    <xf numFmtId="0" fontId="65" fillId="0" borderId="49">
      <alignment horizontal="centerContinuous"/>
    </xf>
    <xf numFmtId="0" fontId="66" fillId="0" borderId="49"/>
    <xf numFmtId="0" fontId="1" fillId="0" borderId="0"/>
    <xf numFmtId="9" fontId="1" fillId="0" borderId="0" applyFont="0" applyFill="0" applyBorder="0" applyAlignment="0" applyProtection="0"/>
    <xf numFmtId="164" fontId="1" fillId="0" borderId="0" applyFont="0" applyFill="0" applyBorder="0" applyAlignment="0" applyProtection="0"/>
    <xf numFmtId="0" fontId="71" fillId="0" borderId="0" applyNumberFormat="0" applyFill="0" applyBorder="0" applyAlignment="0" applyProtection="0"/>
    <xf numFmtId="0" fontId="72" fillId="0" borderId="0"/>
  </cellStyleXfs>
  <cellXfs count="1339">
    <xf numFmtId="0" fontId="0" fillId="0" borderId="0" xfId="0"/>
    <xf numFmtId="0" fontId="3" fillId="2" borderId="0" xfId="4" applyFont="1" applyFill="1" applyAlignment="1">
      <alignment horizontal="left"/>
    </xf>
    <xf numFmtId="0" fontId="2" fillId="2" borderId="0" xfId="4" applyFill="1" applyAlignment="1"/>
    <xf numFmtId="0" fontId="3" fillId="2" borderId="0" xfId="4" applyFont="1" applyFill="1" applyAlignment="1"/>
    <xf numFmtId="0" fontId="2" fillId="2" borderId="0" xfId="4" applyFont="1" applyFill="1" applyAlignment="1">
      <alignment horizontal="right"/>
    </xf>
    <xf numFmtId="0" fontId="4" fillId="2" borderId="0" xfId="0" applyFont="1" applyFill="1"/>
    <xf numFmtId="0" fontId="0" fillId="2" borderId="0" xfId="0" applyFill="1"/>
    <xf numFmtId="0" fontId="3" fillId="2" borderId="0" xfId="0" applyFont="1" applyFill="1" applyAlignment="1">
      <alignment horizontal="center"/>
    </xf>
    <xf numFmtId="0" fontId="2" fillId="2" borderId="0" xfId="0" applyFont="1" applyFill="1" applyAlignment="1">
      <alignment horizontal="right"/>
    </xf>
    <xf numFmtId="0" fontId="0" fillId="2" borderId="0" xfId="0" applyFill="1" applyAlignment="1">
      <alignment vertical="center"/>
    </xf>
    <xf numFmtId="0" fontId="4" fillId="2" borderId="0" xfId="0" applyFont="1" applyFill="1" applyBorder="1" applyAlignment="1">
      <alignment vertical="center"/>
    </xf>
    <xf numFmtId="0" fontId="0" fillId="2" borderId="0" xfId="0" applyFill="1" applyBorder="1" applyAlignment="1">
      <alignment vertical="center"/>
    </xf>
    <xf numFmtId="0" fontId="3" fillId="2" borderId="0" xfId="0" applyFont="1" applyFill="1" applyAlignment="1">
      <alignment horizontal="center" vertical="center"/>
    </xf>
    <xf numFmtId="0" fontId="2" fillId="2" borderId="0" xfId="0" applyFont="1" applyFill="1" applyAlignment="1">
      <alignment horizontal="right" vertical="center"/>
    </xf>
    <xf numFmtId="0" fontId="4" fillId="2" borderId="0" xfId="0" applyFont="1" applyFill="1" applyBorder="1"/>
    <xf numFmtId="0" fontId="2" fillId="2" borderId="0" xfId="0" applyFont="1" applyFill="1" applyBorder="1" applyAlignment="1">
      <alignment horizontal="right"/>
    </xf>
    <xf numFmtId="0" fontId="5" fillId="3" borderId="0" xfId="0" applyFont="1" applyFill="1" applyBorder="1" applyAlignment="1">
      <alignment horizontal="centerContinuous"/>
    </xf>
    <xf numFmtId="0" fontId="0" fillId="0" borderId="0" xfId="0" applyFill="1"/>
    <xf numFmtId="0" fontId="2" fillId="0" borderId="0" xfId="0" applyFont="1" applyFill="1" applyBorder="1"/>
    <xf numFmtId="0" fontId="3" fillId="0" borderId="0" xfId="0" applyFont="1" applyFill="1" applyBorder="1"/>
    <xf numFmtId="0" fontId="3" fillId="3" borderId="1" xfId="0" applyNumberFormat="1" applyFont="1" applyFill="1" applyBorder="1" applyAlignment="1">
      <alignment horizontal="center"/>
    </xf>
    <xf numFmtId="0" fontId="3" fillId="3" borderId="2" xfId="0" applyNumberFormat="1" applyFont="1" applyFill="1" applyBorder="1" applyAlignment="1">
      <alignment horizontal="center"/>
    </xf>
    <xf numFmtId="0" fontId="3" fillId="3" borderId="2" xfId="0" applyFont="1" applyFill="1" applyBorder="1" applyAlignment="1">
      <alignment horizontal="left"/>
    </xf>
    <xf numFmtId="0" fontId="3" fillId="4" borderId="2" xfId="0" applyFont="1" applyFill="1" applyBorder="1" applyAlignment="1">
      <alignment horizontal="center"/>
    </xf>
    <xf numFmtId="0" fontId="3" fillId="2" borderId="5" xfId="0" applyFont="1" applyFill="1" applyBorder="1"/>
    <xf numFmtId="37" fontId="2" fillId="2" borderId="6" xfId="0" applyNumberFormat="1" applyFont="1" applyFill="1" applyBorder="1"/>
    <xf numFmtId="37" fontId="2" fillId="2" borderId="7" xfId="0" applyNumberFormat="1" applyFont="1" applyFill="1" applyBorder="1"/>
    <xf numFmtId="0" fontId="2" fillId="2" borderId="0" xfId="0" applyFont="1" applyFill="1" applyBorder="1"/>
    <xf numFmtId="0" fontId="2" fillId="2" borderId="5" xfId="0" applyFont="1" applyFill="1" applyBorder="1"/>
    <xf numFmtId="165" fontId="2" fillId="2" borderId="8" xfId="0" applyNumberFormat="1" applyFont="1" applyFill="1" applyBorder="1" applyAlignment="1">
      <alignment horizontal="center"/>
    </xf>
    <xf numFmtId="1" fontId="2" fillId="0" borderId="9" xfId="0" applyNumberFormat="1" applyFont="1" applyFill="1" applyBorder="1" applyAlignment="1"/>
    <xf numFmtId="1" fontId="2" fillId="0" borderId="10" xfId="0" applyNumberFormat="1" applyFont="1" applyFill="1" applyBorder="1" applyAlignment="1"/>
    <xf numFmtId="1" fontId="2" fillId="0" borderId="7" xfId="0" applyNumberFormat="1" applyFont="1" applyFill="1" applyBorder="1" applyAlignment="1"/>
    <xf numFmtId="37" fontId="2" fillId="2" borderId="8" xfId="0" applyNumberFormat="1" applyFont="1" applyFill="1" applyBorder="1"/>
    <xf numFmtId="0" fontId="6" fillId="2" borderId="5" xfId="0" applyFont="1" applyFill="1" applyBorder="1"/>
    <xf numFmtId="166" fontId="2" fillId="2" borderId="8" xfId="3" applyNumberFormat="1" applyFont="1" applyFill="1" applyBorder="1" applyAlignment="1">
      <alignment horizontal="center"/>
    </xf>
    <xf numFmtId="0" fontId="2" fillId="0" borderId="0" xfId="0" applyFont="1" applyFill="1" applyBorder="1" applyAlignment="1">
      <alignment horizontal="center"/>
    </xf>
    <xf numFmtId="166" fontId="6" fillId="0" borderId="0" xfId="3" applyNumberFormat="1" applyFont="1" applyFill="1" applyBorder="1" applyAlignment="1">
      <alignment horizontal="center"/>
    </xf>
    <xf numFmtId="0" fontId="2" fillId="0" borderId="11" xfId="0" applyFont="1" applyFill="1" applyBorder="1" applyAlignment="1">
      <alignment horizontal="center"/>
    </xf>
    <xf numFmtId="0" fontId="6" fillId="2" borderId="5" xfId="0" applyFont="1" applyFill="1" applyBorder="1" applyAlignment="1">
      <alignment horizontal="left" indent="1"/>
    </xf>
    <xf numFmtId="166" fontId="6" fillId="2" borderId="8" xfId="3" applyNumberFormat="1" applyFont="1" applyFill="1" applyBorder="1"/>
    <xf numFmtId="1" fontId="2" fillId="0" borderId="5" xfId="0" applyNumberFormat="1" applyFont="1" applyFill="1" applyBorder="1" applyAlignment="1"/>
    <xf numFmtId="1" fontId="2" fillId="0" borderId="0" xfId="0" applyNumberFormat="1" applyFont="1" applyFill="1" applyBorder="1" applyAlignment="1"/>
    <xf numFmtId="1" fontId="2" fillId="0" borderId="11" xfId="0" applyNumberFormat="1" applyFont="1" applyFill="1" applyBorder="1" applyAlignment="1"/>
    <xf numFmtId="9" fontId="6" fillId="2" borderId="8" xfId="3" applyNumberFormat="1" applyFont="1" applyFill="1" applyBorder="1"/>
    <xf numFmtId="1" fontId="2" fillId="0" borderId="0" xfId="0" applyNumberFormat="1" applyFont="1" applyFill="1" applyBorder="1" applyAlignment="1">
      <alignment horizontal="center"/>
    </xf>
    <xf numFmtId="1" fontId="2" fillId="0" borderId="11" xfId="0" applyNumberFormat="1" applyFont="1" applyFill="1" applyBorder="1" applyAlignment="1">
      <alignment horizontal="center"/>
    </xf>
    <xf numFmtId="0" fontId="0" fillId="0" borderId="8" xfId="0" applyBorder="1"/>
    <xf numFmtId="0" fontId="3" fillId="4" borderId="12" xfId="0" applyFont="1" applyFill="1" applyBorder="1"/>
    <xf numFmtId="5" fontId="3" fillId="4" borderId="12" xfId="0" applyNumberFormat="1" applyFont="1" applyFill="1" applyBorder="1" applyAlignment="1">
      <alignment horizontal="center"/>
    </xf>
    <xf numFmtId="167" fontId="2" fillId="2" borderId="8" xfId="3" applyNumberFormat="1" applyFont="1" applyFill="1" applyBorder="1" applyAlignment="1">
      <alignment horizontal="center"/>
    </xf>
    <xf numFmtId="166" fontId="2" fillId="0" borderId="16" xfId="0" applyNumberFormat="1" applyFont="1" applyFill="1" applyBorder="1" applyAlignment="1"/>
    <xf numFmtId="166" fontId="2" fillId="0" borderId="17" xfId="0" applyNumberFormat="1" applyFont="1" applyFill="1" applyBorder="1" applyAlignment="1"/>
    <xf numFmtId="166" fontId="2" fillId="0" borderId="18" xfId="0" applyNumberFormat="1" applyFont="1" applyFill="1" applyBorder="1" applyAlignment="1"/>
    <xf numFmtId="9" fontId="6" fillId="2" borderId="19" xfId="3" applyNumberFormat="1" applyFont="1" applyFill="1" applyBorder="1"/>
    <xf numFmtId="0" fontId="3" fillId="4" borderId="16" xfId="0" applyFont="1" applyFill="1" applyBorder="1"/>
    <xf numFmtId="37" fontId="3" fillId="4" borderId="20" xfId="0" applyNumberFormat="1" applyFont="1" applyFill="1" applyBorder="1"/>
    <xf numFmtId="165" fontId="3" fillId="4" borderId="12" xfId="0" applyNumberFormat="1" applyFont="1" applyFill="1" applyBorder="1" applyAlignment="1">
      <alignment horizontal="center"/>
    </xf>
    <xf numFmtId="1" fontId="3" fillId="4" borderId="13" xfId="0" applyNumberFormat="1" applyFont="1" applyFill="1" applyBorder="1" applyAlignment="1"/>
    <xf numFmtId="1" fontId="3" fillId="4" borderId="14" xfId="0" applyNumberFormat="1" applyFont="1" applyFill="1" applyBorder="1" applyAlignment="1"/>
    <xf numFmtId="1" fontId="3" fillId="4" borderId="15" xfId="0" applyNumberFormat="1" applyFont="1" applyFill="1" applyBorder="1" applyAlignment="1"/>
    <xf numFmtId="0" fontId="7" fillId="4" borderId="21" xfId="0" applyFont="1" applyFill="1" applyBorder="1" applyAlignment="1">
      <alignment horizontal="left" indent="1"/>
    </xf>
    <xf numFmtId="166" fontId="7" fillId="4" borderId="22" xfId="3" applyNumberFormat="1" applyFont="1" applyFill="1" applyBorder="1"/>
    <xf numFmtId="0" fontId="2" fillId="2" borderId="8" xfId="0" applyFont="1" applyFill="1" applyBorder="1"/>
    <xf numFmtId="0" fontId="2" fillId="0" borderId="11" xfId="0" applyFont="1" applyFill="1" applyBorder="1"/>
    <xf numFmtId="168" fontId="3" fillId="4" borderId="12" xfId="0" applyNumberFormat="1" applyFont="1" applyFill="1" applyBorder="1" applyAlignment="1">
      <alignment horizontal="center"/>
    </xf>
    <xf numFmtId="0" fontId="2" fillId="2" borderId="5" xfId="0" applyFont="1" applyFill="1" applyBorder="1" applyAlignment="1">
      <alignment horizontal="left" indent="1"/>
    </xf>
    <xf numFmtId="9" fontId="2" fillId="2" borderId="16" xfId="0" applyNumberFormat="1" applyFont="1" applyFill="1" applyBorder="1" applyAlignment="1"/>
    <xf numFmtId="0" fontId="2" fillId="2" borderId="17" xfId="0" applyFont="1" applyFill="1" applyBorder="1" applyAlignment="1"/>
    <xf numFmtId="0" fontId="2" fillId="2" borderId="18" xfId="0" applyFont="1" applyFill="1" applyBorder="1" applyAlignment="1"/>
    <xf numFmtId="0" fontId="2" fillId="2" borderId="11" xfId="0" applyFont="1" applyFill="1" applyBorder="1"/>
    <xf numFmtId="5" fontId="2" fillId="2" borderId="0" xfId="3" applyNumberFormat="1" applyFont="1" applyFill="1" applyBorder="1" applyAlignment="1">
      <alignment horizontal="center"/>
    </xf>
    <xf numFmtId="9" fontId="2" fillId="2" borderId="5" xfId="0" applyNumberFormat="1" applyFont="1" applyFill="1" applyBorder="1" applyAlignment="1"/>
    <xf numFmtId="0" fontId="2" fillId="2" borderId="0" xfId="0" applyFont="1" applyFill="1" applyBorder="1" applyAlignment="1"/>
    <xf numFmtId="0" fontId="2" fillId="2" borderId="11" xfId="0" applyFont="1" applyFill="1" applyBorder="1" applyAlignment="1"/>
    <xf numFmtId="0" fontId="6" fillId="2" borderId="23" xfId="0" applyFont="1" applyFill="1" applyBorder="1" applyAlignment="1"/>
    <xf numFmtId="166" fontId="3" fillId="2" borderId="23" xfId="3" applyNumberFormat="1" applyFont="1" applyFill="1" applyBorder="1" applyAlignment="1">
      <alignment horizontal="center"/>
    </xf>
    <xf numFmtId="0" fontId="2" fillId="2" borderId="24" xfId="0" applyFont="1" applyFill="1" applyBorder="1" applyAlignment="1"/>
    <xf numFmtId="0" fontId="2" fillId="2" borderId="25" xfId="0" applyFont="1" applyFill="1" applyBorder="1" applyAlignment="1"/>
    <xf numFmtId="0" fontId="2" fillId="2" borderId="26" xfId="0" applyFont="1" applyFill="1" applyBorder="1" applyAlignment="1"/>
    <xf numFmtId="7" fontId="3" fillId="4" borderId="20" xfId="0" applyNumberFormat="1" applyFont="1" applyFill="1" applyBorder="1"/>
    <xf numFmtId="0" fontId="7" fillId="4" borderId="27" xfId="0" applyFont="1" applyFill="1" applyBorder="1" applyAlignment="1">
      <alignment horizontal="left" indent="1"/>
    </xf>
    <xf numFmtId="166" fontId="7" fillId="4" borderId="19" xfId="3" applyNumberFormat="1" applyFont="1" applyFill="1" applyBorder="1"/>
    <xf numFmtId="166" fontId="7" fillId="4" borderId="28" xfId="3" applyNumberFormat="1" applyFont="1" applyFill="1" applyBorder="1"/>
    <xf numFmtId="0" fontId="3" fillId="2" borderId="0" xfId="0" applyFont="1" applyFill="1" applyBorder="1"/>
    <xf numFmtId="0" fontId="2" fillId="2" borderId="25" xfId="0" applyFont="1" applyFill="1" applyBorder="1"/>
    <xf numFmtId="0" fontId="2" fillId="2" borderId="9" xfId="0" applyFont="1" applyFill="1" applyBorder="1"/>
    <xf numFmtId="0" fontId="0" fillId="0" borderId="6" xfId="0" applyBorder="1"/>
    <xf numFmtId="0" fontId="3" fillId="2" borderId="16" xfId="0" applyFont="1" applyFill="1" applyBorder="1"/>
    <xf numFmtId="37" fontId="3" fillId="2" borderId="20" xfId="0" applyNumberFormat="1" applyFont="1" applyFill="1" applyBorder="1"/>
    <xf numFmtId="0" fontId="3" fillId="2" borderId="5" xfId="0" applyFont="1" applyFill="1" applyBorder="1" applyAlignment="1">
      <alignment horizontal="left"/>
    </xf>
    <xf numFmtId="169" fontId="8" fillId="0" borderId="8" xfId="1" applyNumberFormat="1" applyFont="1" applyFill="1" applyBorder="1" applyAlignment="1"/>
    <xf numFmtId="7" fontId="2" fillId="2" borderId="8" xfId="0" applyNumberFormat="1" applyFont="1" applyFill="1" applyBorder="1"/>
    <xf numFmtId="166" fontId="9" fillId="0" borderId="8" xfId="3" applyNumberFormat="1" applyFont="1" applyBorder="1" applyAlignment="1">
      <alignment horizontal="right"/>
    </xf>
    <xf numFmtId="166" fontId="2" fillId="2" borderId="8" xfId="0" applyNumberFormat="1" applyFont="1" applyFill="1" applyBorder="1" applyAlignment="1">
      <alignment horizontal="center"/>
    </xf>
    <xf numFmtId="0" fontId="0" fillId="2" borderId="24" xfId="0" applyFill="1" applyBorder="1"/>
    <xf numFmtId="0" fontId="0" fillId="2" borderId="26" xfId="0" applyFill="1" applyBorder="1"/>
    <xf numFmtId="0" fontId="0" fillId="2" borderId="0" xfId="0" applyFill="1" applyBorder="1"/>
    <xf numFmtId="0" fontId="3" fillId="2" borderId="24" xfId="0" applyFont="1" applyFill="1" applyBorder="1"/>
    <xf numFmtId="37" fontId="3" fillId="2" borderId="23" xfId="0" applyNumberFormat="1" applyFont="1" applyFill="1" applyBorder="1"/>
    <xf numFmtId="0" fontId="10" fillId="2" borderId="0" xfId="0" applyNumberFormat="1" applyFont="1" applyFill="1" applyBorder="1" applyAlignment="1">
      <alignment horizontal="center"/>
    </xf>
    <xf numFmtId="0" fontId="3" fillId="0" borderId="0" xfId="0" applyFont="1" applyAlignment="1">
      <alignment horizontal="left"/>
    </xf>
    <xf numFmtId="0" fontId="10" fillId="0" borderId="0" xfId="0" applyNumberFormat="1" applyFont="1" applyFill="1" applyBorder="1" applyAlignment="1">
      <alignment horizontal="center"/>
    </xf>
    <xf numFmtId="0" fontId="8" fillId="0" borderId="0" xfId="0" applyNumberFormat="1" applyFont="1" applyFill="1" applyBorder="1" applyAlignment="1">
      <alignment horizontal="center"/>
    </xf>
    <xf numFmtId="0" fontId="9" fillId="0" borderId="0" xfId="0" applyNumberFormat="1" applyFont="1" applyFill="1" applyBorder="1" applyAlignment="1">
      <alignment horizontal="left"/>
    </xf>
    <xf numFmtId="0" fontId="8" fillId="0" borderId="0" xfId="0" applyNumberFormat="1" applyFont="1" applyFill="1" applyBorder="1" applyAlignment="1">
      <alignment horizontal="left"/>
    </xf>
    <xf numFmtId="10" fontId="3" fillId="0" borderId="0" xfId="3" applyNumberFormat="1" applyFont="1" applyFill="1" applyBorder="1" applyAlignment="1">
      <alignment horizontal="center"/>
    </xf>
    <xf numFmtId="170" fontId="3" fillId="0" borderId="0" xfId="0" applyNumberFormat="1" applyFont="1" applyFill="1" applyBorder="1" applyAlignment="1">
      <alignment horizontal="center"/>
    </xf>
    <xf numFmtId="0" fontId="3" fillId="0" borderId="0" xfId="0" applyNumberFormat="1" applyFont="1" applyFill="1" applyBorder="1" applyAlignment="1">
      <alignment horizontal="center"/>
    </xf>
    <xf numFmtId="171" fontId="3" fillId="0" borderId="0" xfId="0" applyNumberFormat="1" applyFont="1" applyFill="1" applyBorder="1" applyAlignment="1">
      <alignment horizontal="center"/>
    </xf>
    <xf numFmtId="39" fontId="11" fillId="0" borderId="0" xfId="0" applyNumberFormat="1" applyFont="1" applyFill="1" applyBorder="1" applyAlignment="1">
      <alignment horizontal="left"/>
    </xf>
    <xf numFmtId="2" fontId="3" fillId="0" borderId="0" xfId="0" applyNumberFormat="1" applyFont="1" applyFill="1" applyBorder="1" applyAlignment="1">
      <alignment horizontal="center"/>
    </xf>
    <xf numFmtId="0" fontId="12" fillId="2" borderId="0" xfId="0" applyNumberFormat="1"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left"/>
    </xf>
    <xf numFmtId="0" fontId="3" fillId="0" borderId="25" xfId="0" applyNumberFormat="1" applyFont="1" applyFill="1" applyBorder="1" applyAlignment="1">
      <alignment horizontal="center"/>
    </xf>
    <xf numFmtId="166" fontId="3" fillId="0" borderId="25" xfId="3" applyNumberFormat="1" applyFont="1" applyFill="1" applyBorder="1" applyAlignment="1">
      <alignment horizontal="center"/>
    </xf>
    <xf numFmtId="10" fontId="3" fillId="0" borderId="25" xfId="0" applyNumberFormat="1" applyFont="1" applyFill="1" applyBorder="1" applyAlignment="1">
      <alignment horizontal="center"/>
    </xf>
    <xf numFmtId="0" fontId="10" fillId="0" borderId="0" xfId="0" applyFont="1" applyFill="1" applyBorder="1" applyAlignment="1">
      <alignment horizontal="center"/>
    </xf>
    <xf numFmtId="0" fontId="7" fillId="2" borderId="0" xfId="0" applyNumberFormat="1" applyFont="1" applyFill="1" applyBorder="1" applyAlignment="1">
      <alignment horizontal="center"/>
    </xf>
    <xf numFmtId="0" fontId="3" fillId="2" borderId="0" xfId="0" applyNumberFormat="1" applyFont="1" applyFill="1" applyBorder="1" applyAlignment="1">
      <alignment horizontal="right"/>
    </xf>
    <xf numFmtId="0" fontId="3" fillId="3" borderId="3" xfId="0" applyNumberFormat="1" applyFont="1" applyFill="1" applyBorder="1" applyAlignment="1">
      <alignment horizontal="center"/>
    </xf>
    <xf numFmtId="0" fontId="5" fillId="2" borderId="0" xfId="0" applyNumberFormat="1" applyFont="1" applyFill="1" applyBorder="1" applyAlignment="1">
      <alignment horizontal="left"/>
    </xf>
    <xf numFmtId="0" fontId="3" fillId="4" borderId="8" xfId="0" applyNumberFormat="1" applyFont="1" applyFill="1" applyBorder="1" applyAlignment="1">
      <alignment horizontal="center"/>
    </xf>
    <xf numFmtId="0" fontId="9" fillId="2" borderId="0" xfId="0" applyNumberFormat="1" applyFont="1" applyFill="1" applyBorder="1" applyAlignment="1">
      <alignment horizontal="left"/>
    </xf>
    <xf numFmtId="0" fontId="7" fillId="0" borderId="0" xfId="0" applyNumberFormat="1" applyFont="1" applyFill="1" applyBorder="1" applyAlignment="1">
      <alignment horizontal="center"/>
    </xf>
    <xf numFmtId="0" fontId="3" fillId="0" borderId="0" xfId="0" applyNumberFormat="1" applyFont="1" applyFill="1" applyBorder="1" applyAlignment="1">
      <alignment horizontal="right"/>
    </xf>
    <xf numFmtId="0" fontId="13" fillId="2" borderId="0" xfId="0" applyNumberFormat="1" applyFont="1" applyFill="1" applyBorder="1" applyAlignment="1">
      <alignment horizontal="left" vertical="center"/>
    </xf>
    <xf numFmtId="0" fontId="2" fillId="0" borderId="0" xfId="0" applyFont="1"/>
    <xf numFmtId="172" fontId="3" fillId="0" borderId="1" xfId="1" applyNumberFormat="1" applyFont="1" applyFill="1" applyBorder="1"/>
    <xf numFmtId="0" fontId="14" fillId="2" borderId="10" xfId="0" applyNumberFormat="1" applyFont="1" applyFill="1" applyBorder="1" applyAlignment="1">
      <alignment horizontal="right"/>
    </xf>
    <xf numFmtId="0" fontId="6" fillId="2" borderId="10" xfId="0" applyNumberFormat="1" applyFont="1" applyFill="1" applyBorder="1" applyAlignment="1">
      <alignment horizontal="left"/>
    </xf>
    <xf numFmtId="0" fontId="14" fillId="4" borderId="6" xfId="0" applyNumberFormat="1" applyFont="1" applyFill="1" applyBorder="1" applyAlignment="1">
      <alignment horizontal="right"/>
    </xf>
    <xf numFmtId="169" fontId="14" fillId="2" borderId="10" xfId="1" applyNumberFormat="1" applyFont="1" applyFill="1" applyBorder="1" applyAlignment="1">
      <alignment horizontal="right"/>
    </xf>
    <xf numFmtId="169" fontId="6" fillId="2" borderId="10" xfId="1" applyNumberFormat="1" applyFont="1" applyFill="1" applyBorder="1" applyAlignment="1">
      <alignment horizontal="left"/>
    </xf>
    <xf numFmtId="169" fontId="14" fillId="4" borderId="6" xfId="1" applyNumberFormat="1" applyFont="1" applyFill="1" applyBorder="1" applyAlignment="1">
      <alignment horizontal="right"/>
    </xf>
    <xf numFmtId="0" fontId="14" fillId="0" borderId="0" xfId="0" applyNumberFormat="1" applyFont="1" applyFill="1" applyBorder="1" applyAlignment="1">
      <alignment horizontal="right"/>
    </xf>
    <xf numFmtId="166" fontId="6" fillId="0" borderId="0" xfId="3" applyNumberFormat="1" applyFont="1"/>
    <xf numFmtId="0" fontId="2" fillId="0" borderId="0" xfId="0" applyFont="1" applyAlignment="1">
      <alignment horizontal="right"/>
    </xf>
    <xf numFmtId="0" fontId="15" fillId="0" borderId="8" xfId="0" applyFont="1" applyFill="1" applyBorder="1"/>
    <xf numFmtId="0" fontId="14" fillId="2" borderId="0" xfId="0" applyNumberFormat="1" applyFont="1" applyFill="1" applyBorder="1" applyAlignment="1">
      <alignment horizontal="right"/>
    </xf>
    <xf numFmtId="0" fontId="14" fillId="4" borderId="8" xfId="0" applyNumberFormat="1" applyFont="1" applyFill="1" applyBorder="1" applyAlignment="1">
      <alignment horizontal="right"/>
    </xf>
    <xf numFmtId="0" fontId="14" fillId="2" borderId="0" xfId="0" applyNumberFormat="1" applyFont="1" applyFill="1" applyBorder="1" applyAlignment="1">
      <alignment horizontal="left"/>
    </xf>
    <xf numFmtId="9" fontId="14" fillId="2" borderId="0" xfId="3" applyNumberFormat="1" applyFont="1" applyFill="1" applyBorder="1" applyAlignment="1">
      <alignment horizontal="right"/>
    </xf>
    <xf numFmtId="0" fontId="6" fillId="0" borderId="0" xfId="0" applyFont="1"/>
    <xf numFmtId="171" fontId="16" fillId="0" borderId="0" xfId="0" applyNumberFormat="1" applyFont="1"/>
    <xf numFmtId="171" fontId="3" fillId="0" borderId="8" xfId="1" applyNumberFormat="1" applyFont="1" applyFill="1" applyBorder="1" applyAlignment="1">
      <alignment horizontal="left"/>
    </xf>
    <xf numFmtId="171" fontId="3" fillId="0" borderId="0" xfId="1" applyNumberFormat="1" applyFont="1" applyFill="1" applyBorder="1" applyAlignment="1"/>
    <xf numFmtId="171" fontId="3" fillId="4" borderId="8" xfId="1" applyNumberFormat="1" applyFont="1" applyFill="1" applyBorder="1" applyAlignment="1"/>
    <xf numFmtId="171" fontId="17" fillId="0" borderId="0" xfId="1" applyNumberFormat="1" applyFont="1" applyFill="1" applyBorder="1" applyAlignment="1"/>
    <xf numFmtId="171" fontId="17" fillId="4" borderId="8" xfId="1" applyNumberFormat="1" applyFont="1" applyFill="1" applyBorder="1" applyAlignment="1"/>
    <xf numFmtId="171" fontId="6" fillId="0" borderId="0" xfId="3" applyNumberFormat="1" applyFont="1" applyAlignment="1">
      <alignment horizontal="center"/>
    </xf>
    <xf numFmtId="171" fontId="16" fillId="0" borderId="0" xfId="0" applyNumberFormat="1" applyFont="1" applyAlignment="1">
      <alignment horizontal="right"/>
    </xf>
    <xf numFmtId="0" fontId="6" fillId="0" borderId="8" xfId="0" applyFont="1" applyFill="1" applyBorder="1" applyAlignment="1">
      <alignment horizontal="left" indent="3"/>
    </xf>
    <xf numFmtId="166" fontId="6" fillId="0" borderId="0" xfId="3" applyNumberFormat="1" applyFont="1" applyFill="1" applyBorder="1" applyAlignment="1">
      <alignment horizontal="right"/>
    </xf>
    <xf numFmtId="166" fontId="7" fillId="4" borderId="8" xfId="3" applyNumberFormat="1" applyFont="1" applyFill="1" applyBorder="1" applyAlignment="1">
      <alignment horizontal="right"/>
    </xf>
    <xf numFmtId="167" fontId="6" fillId="0" borderId="0" xfId="3" applyNumberFormat="1" applyFont="1" applyBorder="1" applyAlignment="1"/>
    <xf numFmtId="166" fontId="6" fillId="0" borderId="0" xfId="3" applyNumberFormat="1" applyFont="1" applyFill="1" applyAlignment="1">
      <alignment horizontal="right"/>
    </xf>
    <xf numFmtId="166" fontId="6" fillId="4" borderId="8" xfId="3" applyNumberFormat="1" applyFont="1" applyFill="1" applyBorder="1" applyAlignment="1">
      <alignment horizontal="right"/>
    </xf>
    <xf numFmtId="166" fontId="18" fillId="0" borderId="0" xfId="3" applyNumberFormat="1" applyFont="1" applyFill="1" applyAlignment="1">
      <alignment horizontal="right"/>
    </xf>
    <xf numFmtId="173" fontId="19" fillId="0" borderId="0" xfId="0" applyNumberFormat="1" applyFont="1" applyFill="1" applyBorder="1" applyAlignment="1"/>
    <xf numFmtId="166" fontId="20" fillId="4" borderId="8" xfId="3" applyNumberFormat="1" applyFont="1" applyFill="1" applyBorder="1" applyAlignment="1">
      <alignment horizontal="right"/>
    </xf>
    <xf numFmtId="166" fontId="20" fillId="0" borderId="0" xfId="3" applyNumberFormat="1" applyFont="1" applyFill="1" applyBorder="1" applyAlignment="1">
      <alignment horizontal="right"/>
    </xf>
    <xf numFmtId="0" fontId="6" fillId="0" borderId="0" xfId="0" applyFont="1" applyAlignment="1">
      <alignment horizontal="right"/>
    </xf>
    <xf numFmtId="0" fontId="21" fillId="4" borderId="8" xfId="0" applyNumberFormat="1" applyFont="1" applyFill="1" applyBorder="1" applyAlignment="1">
      <alignment horizontal="right"/>
    </xf>
    <xf numFmtId="0" fontId="21" fillId="0" borderId="0" xfId="0" applyNumberFormat="1" applyFont="1" applyFill="1" applyBorder="1" applyAlignment="1">
      <alignment horizontal="right"/>
    </xf>
    <xf numFmtId="171" fontId="2" fillId="0" borderId="0" xfId="0" applyNumberFormat="1" applyFont="1"/>
    <xf numFmtId="171" fontId="2" fillId="0" borderId="8" xfId="1" applyNumberFormat="1" applyFont="1" applyFill="1" applyBorder="1" applyAlignment="1">
      <alignment horizontal="left" indent="2"/>
    </xf>
    <xf numFmtId="171" fontId="2" fillId="0" borderId="0" xfId="0" applyNumberFormat="1" applyFont="1" applyFill="1" applyBorder="1" applyAlignment="1"/>
    <xf numFmtId="171" fontId="3" fillId="4" borderId="8" xfId="0" applyNumberFormat="1" applyFont="1" applyFill="1" applyBorder="1" applyAlignment="1"/>
    <xf numFmtId="171" fontId="2" fillId="0" borderId="0" xfId="0" applyNumberFormat="1" applyFont="1" applyFill="1"/>
    <xf numFmtId="171" fontId="22" fillId="0" borderId="0" xfId="0" applyNumberFormat="1" applyFont="1" applyFill="1"/>
    <xf numFmtId="171" fontId="17" fillId="4" borderId="8" xfId="0" applyNumberFormat="1" applyFont="1" applyFill="1" applyBorder="1" applyAlignment="1"/>
    <xf numFmtId="171" fontId="17" fillId="0" borderId="0" xfId="0" applyNumberFormat="1" applyFont="1" applyFill="1" applyBorder="1" applyAlignment="1"/>
    <xf numFmtId="171" fontId="6" fillId="0" borderId="0" xfId="0" applyNumberFormat="1" applyFont="1"/>
    <xf numFmtId="171" fontId="2" fillId="0" borderId="0" xfId="0" applyNumberFormat="1" applyFont="1" applyAlignment="1">
      <alignment horizontal="right"/>
    </xf>
    <xf numFmtId="167" fontId="7" fillId="4" borderId="8" xfId="3" applyNumberFormat="1" applyFont="1" applyFill="1" applyBorder="1" applyAlignment="1"/>
    <xf numFmtId="167" fontId="6" fillId="4" borderId="8" xfId="3" applyNumberFormat="1" applyFont="1" applyFill="1" applyBorder="1" applyAlignment="1"/>
    <xf numFmtId="167" fontId="20" fillId="4" borderId="8" xfId="3" applyNumberFormat="1" applyFont="1" applyFill="1" applyBorder="1" applyAlignment="1"/>
    <xf numFmtId="167" fontId="20" fillId="0" borderId="0" xfId="3" applyNumberFormat="1" applyFont="1" applyFill="1" applyBorder="1" applyAlignment="1"/>
    <xf numFmtId="0" fontId="23" fillId="0" borderId="0" xfId="0" applyFont="1" applyAlignment="1">
      <alignment horizontal="right"/>
    </xf>
    <xf numFmtId="166" fontId="6" fillId="0" borderId="0" xfId="3" applyNumberFormat="1" applyFont="1" applyFill="1" applyBorder="1" applyAlignment="1"/>
    <xf numFmtId="166" fontId="24" fillId="0" borderId="0" xfId="3" applyNumberFormat="1" applyFont="1" applyFill="1" applyBorder="1" applyAlignment="1"/>
    <xf numFmtId="0" fontId="6" fillId="0" borderId="8" xfId="0" applyFont="1" applyFill="1" applyBorder="1" applyAlignment="1">
      <alignment horizontal="left" indent="2"/>
    </xf>
    <xf numFmtId="166" fontId="7" fillId="4" borderId="8" xfId="3" applyNumberFormat="1" applyFont="1" applyFill="1" applyBorder="1" applyAlignment="1"/>
    <xf numFmtId="0" fontId="2" fillId="0" borderId="0" xfId="0" applyFont="1" applyFill="1"/>
    <xf numFmtId="166" fontId="6" fillId="4" borderId="8" xfId="3" applyNumberFormat="1" applyFont="1" applyFill="1" applyBorder="1" applyAlignment="1"/>
    <xf numFmtId="166" fontId="18" fillId="0" borderId="0" xfId="3" applyNumberFormat="1" applyFont="1" applyFill="1" applyBorder="1" applyAlignment="1"/>
    <xf numFmtId="166" fontId="20" fillId="4" borderId="8" xfId="3" applyNumberFormat="1" applyFont="1" applyFill="1" applyBorder="1" applyAlignment="1"/>
    <xf numFmtId="166" fontId="20" fillId="0" borderId="0" xfId="3" applyNumberFormat="1" applyFont="1" applyFill="1" applyBorder="1" applyAlignment="1"/>
    <xf numFmtId="171" fontId="6" fillId="0" borderId="0" xfId="0" applyNumberFormat="1" applyFont="1" applyFill="1"/>
    <xf numFmtId="172" fontId="16" fillId="3" borderId="1" xfId="1" applyNumberFormat="1" applyFont="1" applyFill="1" applyBorder="1"/>
    <xf numFmtId="171" fontId="3" fillId="4" borderId="3" xfId="0" applyNumberFormat="1" applyFont="1" applyFill="1" applyBorder="1" applyAlignment="1"/>
    <xf numFmtId="171" fontId="3" fillId="4" borderId="2" xfId="0" applyNumberFormat="1" applyFont="1" applyFill="1" applyBorder="1" applyAlignment="1"/>
    <xf numFmtId="169" fontId="6" fillId="0" borderId="0" xfId="1" applyNumberFormat="1" applyFont="1" applyAlignment="1">
      <alignment horizontal="right"/>
    </xf>
    <xf numFmtId="171" fontId="7" fillId="0" borderId="0" xfId="0" applyNumberFormat="1" applyFont="1" applyFill="1"/>
    <xf numFmtId="0" fontId="7" fillId="0" borderId="8" xfId="0" applyFont="1" applyFill="1" applyBorder="1" applyAlignment="1">
      <alignment horizontal="left" indent="3"/>
    </xf>
    <xf numFmtId="171" fontId="3" fillId="0" borderId="0" xfId="0" applyNumberFormat="1" applyFont="1" applyFill="1" applyBorder="1" applyAlignment="1"/>
    <xf numFmtId="167" fontId="7" fillId="0" borderId="0" xfId="3" applyNumberFormat="1" applyFont="1" applyBorder="1" applyAlignment="1"/>
    <xf numFmtId="166" fontId="7" fillId="0" borderId="0" xfId="3" applyNumberFormat="1" applyFont="1"/>
    <xf numFmtId="169" fontId="7" fillId="0" borderId="0" xfId="1" applyNumberFormat="1" applyFont="1" applyAlignment="1">
      <alignment horizontal="right"/>
    </xf>
    <xf numFmtId="169" fontId="7" fillId="0" borderId="0" xfId="1" applyNumberFormat="1" applyFont="1"/>
    <xf numFmtId="169" fontId="6" fillId="0" borderId="0" xfId="1" applyNumberFormat="1" applyFont="1"/>
    <xf numFmtId="0" fontId="6" fillId="0" borderId="0" xfId="0" applyFont="1" applyFill="1"/>
    <xf numFmtId="172" fontId="3" fillId="0" borderId="5" xfId="1" applyNumberFormat="1" applyFont="1" applyFill="1" applyBorder="1"/>
    <xf numFmtId="170" fontId="2" fillId="0" borderId="0" xfId="0" applyNumberFormat="1" applyFont="1" applyFill="1" applyBorder="1" applyAlignment="1"/>
    <xf numFmtId="171" fontId="2" fillId="0" borderId="8" xfId="1" applyNumberFormat="1" applyFont="1" applyFill="1" applyBorder="1" applyAlignment="1"/>
    <xf numFmtId="9" fontId="17" fillId="0" borderId="0" xfId="3" applyFont="1" applyFill="1" applyBorder="1" applyAlignment="1"/>
    <xf numFmtId="166" fontId="18" fillId="2" borderId="0" xfId="3" applyNumberFormat="1" applyFont="1" applyFill="1" applyBorder="1" applyAlignment="1">
      <alignment horizontal="right"/>
    </xf>
    <xf numFmtId="0" fontId="18" fillId="5" borderId="8" xfId="4" applyFont="1" applyFill="1" applyBorder="1" applyAlignment="1">
      <alignment horizontal="left" indent="2"/>
    </xf>
    <xf numFmtId="166" fontId="18" fillId="2" borderId="0" xfId="3" applyNumberFormat="1" applyFont="1" applyFill="1" applyBorder="1" applyAlignment="1"/>
    <xf numFmtId="166" fontId="18" fillId="6" borderId="0" xfId="3" applyNumberFormat="1" applyFont="1" applyFill="1" applyBorder="1" applyAlignment="1"/>
    <xf numFmtId="166" fontId="18" fillId="5" borderId="0" xfId="3" applyNumberFormat="1" applyFont="1" applyFill="1" applyBorder="1" applyAlignment="1"/>
    <xf numFmtId="171" fontId="2" fillId="2" borderId="0" xfId="0" applyNumberFormat="1" applyFont="1" applyFill="1"/>
    <xf numFmtId="167" fontId="6" fillId="2" borderId="0" xfId="3" applyNumberFormat="1" applyFont="1" applyFill="1" applyBorder="1" applyAlignment="1"/>
    <xf numFmtId="171" fontId="2" fillId="0" borderId="0" xfId="0" applyNumberFormat="1" applyFont="1" applyBorder="1" applyAlignment="1"/>
    <xf numFmtId="166" fontId="6" fillId="2" borderId="0" xfId="3" applyNumberFormat="1" applyFont="1" applyFill="1" applyBorder="1" applyAlignment="1"/>
    <xf numFmtId="172" fontId="2" fillId="0" borderId="0" xfId="0" applyNumberFormat="1" applyFont="1" applyFill="1"/>
    <xf numFmtId="0" fontId="18" fillId="0" borderId="8" xfId="0" applyFont="1" applyFill="1" applyBorder="1" applyAlignment="1">
      <alignment horizontal="left" indent="3"/>
    </xf>
    <xf numFmtId="171" fontId="3" fillId="0" borderId="6" xfId="0" applyNumberFormat="1" applyFont="1" applyFill="1" applyBorder="1" applyAlignment="1"/>
    <xf numFmtId="171" fontId="3" fillId="0" borderId="10" xfId="0" applyNumberFormat="1" applyFont="1" applyBorder="1"/>
    <xf numFmtId="171" fontId="3" fillId="4" borderId="6" xfId="1" applyNumberFormat="1" applyFont="1" applyFill="1" applyBorder="1" applyAlignment="1"/>
    <xf numFmtId="171" fontId="3" fillId="2" borderId="10" xfId="0" applyNumberFormat="1" applyFont="1" applyFill="1" applyBorder="1"/>
    <xf numFmtId="0" fontId="6" fillId="0" borderId="8" xfId="0" applyFont="1" applyFill="1" applyBorder="1" applyAlignment="1">
      <alignment horizontal="left" indent="4"/>
    </xf>
    <xf numFmtId="1" fontId="25" fillId="4" borderId="8" xfId="0" applyNumberFormat="1" applyFont="1" applyFill="1" applyBorder="1" applyAlignment="1"/>
    <xf numFmtId="173" fontId="26" fillId="0" borderId="0" xfId="0" applyNumberFormat="1" applyFont="1" applyFill="1" applyBorder="1" applyAlignment="1"/>
    <xf numFmtId="37" fontId="26" fillId="0" borderId="0" xfId="0" applyNumberFormat="1" applyFont="1" applyFill="1" applyBorder="1" applyAlignment="1"/>
    <xf numFmtId="37" fontId="25" fillId="4" borderId="8" xfId="0" applyNumberFormat="1" applyFont="1" applyFill="1" applyBorder="1" applyAlignment="1"/>
    <xf numFmtId="37" fontId="27" fillId="0" borderId="0" xfId="0" applyNumberFormat="1" applyFont="1" applyFill="1" applyBorder="1" applyAlignment="1"/>
    <xf numFmtId="171" fontId="3" fillId="0" borderId="29" xfId="0" applyNumberFormat="1" applyFont="1" applyFill="1" applyBorder="1" applyAlignment="1"/>
    <xf numFmtId="0" fontId="2" fillId="0" borderId="30" xfId="0" applyFont="1" applyBorder="1"/>
    <xf numFmtId="166" fontId="7" fillId="4" borderId="29" xfId="3" applyNumberFormat="1" applyFont="1" applyFill="1" applyBorder="1" applyAlignment="1"/>
    <xf numFmtId="0" fontId="2" fillId="0" borderId="30" xfId="0" applyFont="1" applyFill="1" applyBorder="1"/>
    <xf numFmtId="166" fontId="6" fillId="0" borderId="30" xfId="3" applyNumberFormat="1" applyFont="1" applyFill="1" applyBorder="1" applyAlignment="1"/>
    <xf numFmtId="174" fontId="7" fillId="4" borderId="29" xfId="3" applyNumberFormat="1" applyFont="1" applyFill="1" applyBorder="1" applyAlignment="1"/>
    <xf numFmtId="171" fontId="2" fillId="0" borderId="20" xfId="1" applyNumberFormat="1" applyFont="1" applyFill="1" applyBorder="1" applyAlignment="1"/>
    <xf numFmtId="171" fontId="2" fillId="0" borderId="17" xfId="0" applyNumberFormat="1" applyFont="1" applyBorder="1" applyAlignment="1"/>
    <xf numFmtId="171" fontId="2" fillId="0" borderId="18" xfId="0" applyNumberFormat="1" applyFont="1" applyBorder="1" applyAlignment="1"/>
    <xf numFmtId="171" fontId="3" fillId="4" borderId="20" xfId="0" applyNumberFormat="1" applyFont="1" applyFill="1" applyBorder="1" applyAlignment="1"/>
    <xf numFmtId="171" fontId="2" fillId="0" borderId="17" xfId="0" applyNumberFormat="1" applyFont="1" applyBorder="1"/>
    <xf numFmtId="43" fontId="6" fillId="0" borderId="0" xfId="1" applyFont="1"/>
    <xf numFmtId="171" fontId="3" fillId="0" borderId="6" xfId="1" applyNumberFormat="1" applyFont="1" applyFill="1" applyBorder="1" applyAlignment="1">
      <alignment horizontal="left"/>
    </xf>
    <xf numFmtId="171" fontId="3" fillId="0" borderId="10" xfId="0" applyNumberFormat="1" applyFont="1" applyBorder="1" applyAlignment="1"/>
    <xf numFmtId="171" fontId="3" fillId="4" borderId="6" xfId="0" applyNumberFormat="1" applyFont="1" applyFill="1" applyBorder="1" applyAlignment="1"/>
    <xf numFmtId="171" fontId="28" fillId="0" borderId="0" xfId="0" applyNumberFormat="1" applyFont="1"/>
    <xf numFmtId="169" fontId="16" fillId="0" borderId="0" xfId="1" applyNumberFormat="1" applyFont="1" applyAlignment="1">
      <alignment horizontal="right"/>
    </xf>
    <xf numFmtId="169" fontId="16" fillId="0" borderId="0" xfId="1" applyNumberFormat="1" applyFont="1"/>
    <xf numFmtId="39" fontId="2" fillId="0" borderId="0" xfId="0" applyNumberFormat="1" applyFont="1" applyBorder="1" applyAlignment="1"/>
    <xf numFmtId="169" fontId="6" fillId="0" borderId="0" xfId="1" applyNumberFormat="1" applyFont="1" applyBorder="1" applyAlignment="1"/>
    <xf numFmtId="169" fontId="7" fillId="4" borderId="8" xfId="1" applyNumberFormat="1" applyFont="1" applyFill="1" applyBorder="1" applyAlignment="1"/>
    <xf numFmtId="169" fontId="6" fillId="0" borderId="0" xfId="1" applyNumberFormat="1" applyFont="1" applyFill="1" applyBorder="1" applyAlignment="1"/>
    <xf numFmtId="169" fontId="18" fillId="0" borderId="0" xfId="1" applyNumberFormat="1" applyFont="1" applyBorder="1" applyAlignment="1"/>
    <xf numFmtId="169" fontId="20" fillId="4" borderId="8" xfId="1" applyNumberFormat="1" applyFont="1" applyFill="1" applyBorder="1" applyAlignment="1"/>
    <xf numFmtId="169" fontId="20" fillId="0" borderId="0" xfId="1" applyNumberFormat="1" applyFont="1" applyFill="1" applyBorder="1" applyAlignment="1"/>
    <xf numFmtId="171" fontId="2" fillId="0" borderId="8" xfId="1" applyNumberFormat="1" applyFont="1" applyFill="1" applyBorder="1" applyAlignment="1">
      <alignment horizontal="left"/>
    </xf>
    <xf numFmtId="171" fontId="6" fillId="0" borderId="0" xfId="1" applyNumberFormat="1" applyFont="1" applyBorder="1" applyAlignment="1"/>
    <xf numFmtId="171" fontId="7" fillId="4" borderId="8" xfId="1" applyNumberFormat="1" applyFont="1" applyFill="1" applyBorder="1" applyAlignment="1"/>
    <xf numFmtId="171" fontId="6" fillId="0" borderId="0" xfId="1" applyNumberFormat="1" applyFont="1" applyFill="1" applyBorder="1" applyAlignment="1"/>
    <xf numFmtId="171" fontId="6" fillId="2" borderId="0" xfId="1" applyNumberFormat="1" applyFont="1" applyFill="1" applyBorder="1" applyAlignment="1"/>
    <xf numFmtId="171" fontId="18" fillId="0" borderId="0" xfId="1" applyNumberFormat="1" applyFont="1" applyBorder="1" applyAlignment="1"/>
    <xf numFmtId="171" fontId="20" fillId="4" borderId="8" xfId="1" applyNumberFormat="1" applyFont="1" applyFill="1" applyBorder="1" applyAlignment="1"/>
    <xf numFmtId="172" fontId="6" fillId="0" borderId="8" xfId="1" applyNumberFormat="1" applyFont="1" applyFill="1" applyBorder="1" applyAlignment="1">
      <alignment horizontal="left" indent="3"/>
    </xf>
    <xf numFmtId="170" fontId="2" fillId="0" borderId="0" xfId="0" applyNumberFormat="1" applyFont="1" applyBorder="1" applyAlignment="1"/>
    <xf numFmtId="170" fontId="3" fillId="4" borderId="8" xfId="0" applyNumberFormat="1" applyFont="1" applyFill="1" applyBorder="1" applyAlignment="1"/>
    <xf numFmtId="166" fontId="6" fillId="0" borderId="0" xfId="3" applyNumberFormat="1" applyFont="1" applyBorder="1" applyAlignment="1"/>
    <xf numFmtId="9" fontId="3" fillId="4" borderId="8" xfId="3" applyFont="1" applyFill="1" applyBorder="1" applyAlignment="1"/>
    <xf numFmtId="166" fontId="9" fillId="0" borderId="0" xfId="3" applyNumberFormat="1" applyFont="1" applyBorder="1" applyAlignment="1"/>
    <xf numFmtId="170" fontId="17" fillId="4" borderId="8" xfId="0" applyNumberFormat="1" applyFont="1" applyFill="1" applyBorder="1" applyAlignment="1"/>
    <xf numFmtId="9" fontId="17" fillId="4" borderId="8" xfId="3" applyFont="1" applyFill="1" applyBorder="1" applyAlignment="1"/>
    <xf numFmtId="166" fontId="18" fillId="0" borderId="0" xfId="3" applyNumberFormat="1" applyFont="1" applyBorder="1" applyAlignment="1"/>
    <xf numFmtId="170" fontId="17" fillId="0" borderId="0" xfId="0" applyNumberFormat="1" applyFont="1" applyFill="1" applyBorder="1" applyAlignment="1"/>
    <xf numFmtId="171" fontId="2" fillId="4" borderId="8" xfId="0" applyNumberFormat="1" applyFont="1" applyFill="1" applyBorder="1" applyAlignment="1"/>
    <xf numFmtId="171" fontId="29" fillId="0" borderId="0" xfId="0" applyNumberFormat="1" applyFont="1" applyBorder="1" applyAlignment="1"/>
    <xf numFmtId="171" fontId="30" fillId="0" borderId="0" xfId="0" applyNumberFormat="1" applyFont="1" applyBorder="1" applyAlignment="1"/>
    <xf numFmtId="171" fontId="2" fillId="0" borderId="20" xfId="1" applyNumberFormat="1" applyFont="1" applyFill="1" applyBorder="1" applyAlignment="1">
      <alignment horizontal="left" indent="3"/>
    </xf>
    <xf numFmtId="171" fontId="8" fillId="0" borderId="0" xfId="0" applyNumberFormat="1" applyFont="1"/>
    <xf numFmtId="171" fontId="9" fillId="0" borderId="0" xfId="0" applyNumberFormat="1" applyFont="1"/>
    <xf numFmtId="169" fontId="8" fillId="0" borderId="0" xfId="1" applyNumberFormat="1" applyFont="1" applyAlignment="1">
      <alignment horizontal="right"/>
    </xf>
    <xf numFmtId="169" fontId="8" fillId="0" borderId="0" xfId="1" applyNumberFormat="1" applyFont="1"/>
    <xf numFmtId="166" fontId="6" fillId="0" borderId="8" xfId="3" applyNumberFormat="1" applyFont="1" applyFill="1" applyBorder="1" applyAlignment="1">
      <alignment horizontal="left" indent="3"/>
    </xf>
    <xf numFmtId="169" fontId="18" fillId="0" borderId="0" xfId="1" applyNumberFormat="1" applyFont="1" applyFill="1" applyAlignment="1">
      <alignment horizontal="right"/>
    </xf>
    <xf numFmtId="166" fontId="6" fillId="0" borderId="5" xfId="3" applyNumberFormat="1" applyFont="1" applyFill="1" applyBorder="1" applyAlignment="1">
      <alignment horizontal="left" indent="1"/>
    </xf>
    <xf numFmtId="171" fontId="2" fillId="6" borderId="0" xfId="0" applyNumberFormat="1" applyFont="1" applyFill="1" applyBorder="1" applyAlignment="1"/>
    <xf numFmtId="0" fontId="6" fillId="0" borderId="23" xfId="0" applyFont="1" applyFill="1" applyBorder="1" applyAlignment="1">
      <alignment horizontal="left" indent="3"/>
    </xf>
    <xf numFmtId="167" fontId="6" fillId="0" borderId="25" xfId="3" applyNumberFormat="1" applyFont="1" applyBorder="1" applyAlignment="1"/>
    <xf numFmtId="167" fontId="7" fillId="4" borderId="23" xfId="3" applyNumberFormat="1" applyFont="1" applyFill="1" applyBorder="1" applyAlignment="1"/>
    <xf numFmtId="0" fontId="6" fillId="0" borderId="0" xfId="0" applyFont="1" applyAlignment="1">
      <alignment horizontal="left"/>
    </xf>
    <xf numFmtId="0" fontId="7" fillId="0" borderId="0" xfId="0" applyFont="1"/>
    <xf numFmtId="171" fontId="3" fillId="0" borderId="2" xfId="1" applyNumberFormat="1" applyFont="1" applyFill="1" applyBorder="1" applyAlignment="1">
      <alignment horizontal="left"/>
    </xf>
    <xf numFmtId="171" fontId="3" fillId="0" borderId="3" xfId="0" applyNumberFormat="1" applyFont="1" applyBorder="1" applyAlignment="1"/>
    <xf numFmtId="166" fontId="2" fillId="0" borderId="0" xfId="3" applyNumberFormat="1" applyFont="1" applyBorder="1" applyAlignment="1"/>
    <xf numFmtId="166" fontId="3" fillId="4" borderId="8" xfId="3" applyNumberFormat="1" applyFont="1" applyFill="1" applyBorder="1" applyAlignment="1"/>
    <xf numFmtId="167" fontId="7" fillId="4" borderId="8" xfId="3" applyNumberFormat="1" applyFont="1" applyFill="1" applyBorder="1" applyAlignment="1">
      <alignment horizontal="right"/>
    </xf>
    <xf numFmtId="167" fontId="20" fillId="0" borderId="0" xfId="3" applyNumberFormat="1" applyFont="1" applyFill="1" applyBorder="1" applyAlignment="1">
      <alignment horizontal="right"/>
    </xf>
    <xf numFmtId="175" fontId="6" fillId="0" borderId="0" xfId="0" applyNumberFormat="1" applyFont="1"/>
    <xf numFmtId="175" fontId="2" fillId="0" borderId="0" xfId="0" applyNumberFormat="1" applyFont="1" applyAlignment="1">
      <alignment horizontal="right"/>
    </xf>
    <xf numFmtId="167" fontId="6" fillId="4" borderId="8" xfId="3" applyNumberFormat="1" applyFont="1" applyFill="1" applyBorder="1" applyAlignment="1">
      <alignment horizontal="right"/>
    </xf>
    <xf numFmtId="172" fontId="3" fillId="4" borderId="31" xfId="1" applyNumberFormat="1" applyFont="1" applyFill="1" applyBorder="1" applyAlignment="1">
      <alignment horizontal="left"/>
    </xf>
    <xf numFmtId="175" fontId="3" fillId="4" borderId="32" xfId="0" applyNumberFormat="1" applyFont="1" applyFill="1" applyBorder="1" applyAlignment="1"/>
    <xf numFmtId="175" fontId="3" fillId="4" borderId="31" xfId="0" applyNumberFormat="1" applyFont="1" applyFill="1" applyBorder="1" applyAlignment="1"/>
    <xf numFmtId="175" fontId="17" fillId="0" borderId="0" xfId="0" applyNumberFormat="1" applyFont="1" applyFill="1" applyBorder="1" applyAlignment="1"/>
    <xf numFmtId="9" fontId="6" fillId="0" borderId="0" xfId="3" applyFont="1" applyAlignment="1">
      <alignment horizontal="left"/>
    </xf>
    <xf numFmtId="0" fontId="16" fillId="0" borderId="0" xfId="0" applyFont="1"/>
    <xf numFmtId="166" fontId="6" fillId="2" borderId="0" xfId="3" applyNumberFormat="1" applyFont="1" applyFill="1" applyBorder="1" applyAlignment="1">
      <alignment horizontal="right"/>
    </xf>
    <xf numFmtId="166" fontId="6" fillId="0" borderId="0" xfId="3" applyNumberFormat="1" applyFont="1" applyBorder="1" applyAlignment="1">
      <alignment horizontal="right"/>
    </xf>
    <xf numFmtId="166" fontId="2" fillId="0" borderId="0" xfId="3" applyNumberFormat="1" applyFont="1" applyBorder="1" applyAlignment="1">
      <alignment horizontal="right"/>
    </xf>
    <xf numFmtId="175" fontId="7" fillId="4" borderId="8" xfId="0" applyNumberFormat="1" applyFont="1" applyFill="1" applyBorder="1" applyAlignment="1">
      <alignment horizontal="right"/>
    </xf>
    <xf numFmtId="166" fontId="22" fillId="0" borderId="0" xfId="3" applyNumberFormat="1" applyFont="1" applyBorder="1" applyAlignment="1">
      <alignment horizontal="right"/>
    </xf>
    <xf numFmtId="175" fontId="20" fillId="4" borderId="8" xfId="0" applyNumberFormat="1" applyFont="1" applyFill="1" applyBorder="1" applyAlignment="1">
      <alignment horizontal="right"/>
    </xf>
    <xf numFmtId="175" fontId="20" fillId="0" borderId="0" xfId="0" applyNumberFormat="1" applyFont="1" applyFill="1" applyBorder="1" applyAlignment="1">
      <alignment horizontal="right"/>
    </xf>
    <xf numFmtId="172" fontId="2" fillId="0" borderId="8" xfId="1" applyNumberFormat="1" applyFont="1" applyFill="1" applyBorder="1" applyAlignment="1">
      <alignment horizontal="left"/>
    </xf>
    <xf numFmtId="170" fontId="2" fillId="0" borderId="0" xfId="0" applyNumberFormat="1" applyFont="1" applyBorder="1" applyAlignment="1">
      <alignment horizontal="right"/>
    </xf>
    <xf numFmtId="170" fontId="31" fillId="4" borderId="8" xfId="0" applyNumberFormat="1" applyFont="1" applyFill="1" applyBorder="1" applyAlignment="1">
      <alignment horizontal="right"/>
    </xf>
    <xf numFmtId="170" fontId="2" fillId="0" borderId="0" xfId="0" applyNumberFormat="1" applyFont="1" applyFill="1" applyBorder="1" applyAlignment="1">
      <alignment horizontal="right"/>
    </xf>
    <xf numFmtId="170" fontId="31" fillId="4" borderId="8" xfId="0" applyNumberFormat="1" applyFont="1" applyFill="1" applyBorder="1" applyAlignment="1"/>
    <xf numFmtId="170" fontId="2" fillId="0" borderId="0" xfId="3" applyNumberFormat="1" applyFont="1" applyFill="1" applyBorder="1" applyAlignment="1"/>
    <xf numFmtId="170" fontId="2" fillId="0" borderId="0" xfId="1" applyNumberFormat="1" applyFont="1" applyFill="1" applyBorder="1" applyAlignment="1"/>
    <xf numFmtId="170" fontId="31" fillId="0" borderId="0" xfId="0" applyNumberFormat="1" applyFont="1" applyFill="1" applyBorder="1" applyAlignment="1"/>
    <xf numFmtId="170" fontId="8" fillId="0" borderId="0" xfId="0" applyNumberFormat="1" applyFont="1" applyBorder="1" applyAlignment="1"/>
    <xf numFmtId="170" fontId="22" fillId="0" borderId="0" xfId="0" applyNumberFormat="1" applyFont="1" applyBorder="1" applyAlignment="1"/>
    <xf numFmtId="170" fontId="32" fillId="0" borderId="0" xfId="0" applyNumberFormat="1" applyFont="1" applyFill="1" applyBorder="1" applyAlignment="1"/>
    <xf numFmtId="175" fontId="2" fillId="0" borderId="0" xfId="0" applyNumberFormat="1" applyFont="1" applyBorder="1" applyAlignment="1"/>
    <xf numFmtId="175" fontId="3" fillId="4" borderId="8" xfId="0" applyNumberFormat="1" applyFont="1" applyFill="1" applyBorder="1" applyAlignment="1"/>
    <xf numFmtId="175" fontId="2" fillId="0" borderId="0" xfId="0" applyNumberFormat="1" applyFont="1" applyFill="1" applyBorder="1" applyAlignment="1"/>
    <xf numFmtId="175" fontId="29" fillId="0" borderId="0" xfId="0" applyNumberFormat="1" applyFont="1" applyBorder="1" applyAlignment="1"/>
    <xf numFmtId="175" fontId="17" fillId="4" borderId="8" xfId="0" applyNumberFormat="1" applyFont="1" applyFill="1" applyBorder="1" applyAlignment="1"/>
    <xf numFmtId="172" fontId="2" fillId="0" borderId="5" xfId="1" applyNumberFormat="1" applyFont="1" applyFill="1" applyBorder="1" applyAlignment="1">
      <alignment horizontal="left"/>
    </xf>
    <xf numFmtId="10" fontId="7" fillId="4" borderId="8" xfId="3" applyNumberFormat="1" applyFont="1" applyFill="1" applyBorder="1" applyAlignment="1">
      <alignment horizontal="right"/>
    </xf>
    <xf numFmtId="166" fontId="33" fillId="2" borderId="0" xfId="3" applyNumberFormat="1" applyFont="1" applyFill="1" applyBorder="1" applyAlignment="1">
      <alignment horizontal="right"/>
    </xf>
    <xf numFmtId="10" fontId="20" fillId="4" borderId="8" xfId="3" applyNumberFormat="1" applyFont="1" applyFill="1" applyBorder="1" applyAlignment="1">
      <alignment horizontal="right"/>
    </xf>
    <xf numFmtId="10" fontId="20" fillId="0" borderId="0" xfId="3" applyNumberFormat="1" applyFont="1" applyFill="1" applyBorder="1" applyAlignment="1">
      <alignment horizontal="right"/>
    </xf>
    <xf numFmtId="0" fontId="13" fillId="0" borderId="5" xfId="0" applyFont="1" applyFill="1" applyBorder="1" applyAlignment="1">
      <alignment horizontal="left"/>
    </xf>
    <xf numFmtId="9" fontId="3" fillId="2" borderId="0" xfId="3" applyFont="1" applyFill="1" applyBorder="1" applyAlignment="1">
      <alignment horizontal="center"/>
    </xf>
    <xf numFmtId="9" fontId="2" fillId="2" borderId="0" xfId="3" applyFont="1" applyFill="1" applyBorder="1" applyAlignment="1">
      <alignment horizontal="right"/>
    </xf>
    <xf numFmtId="9" fontId="7" fillId="4" borderId="8" xfId="3" applyFont="1" applyFill="1" applyBorder="1" applyAlignment="1">
      <alignment horizontal="right"/>
    </xf>
    <xf numFmtId="9" fontId="20" fillId="4" borderId="8" xfId="3" applyFont="1" applyFill="1" applyBorder="1" applyAlignment="1">
      <alignment horizontal="right"/>
    </xf>
    <xf numFmtId="9" fontId="10" fillId="2" borderId="0" xfId="3" applyFont="1" applyFill="1" applyBorder="1" applyAlignment="1">
      <alignment horizontal="center"/>
    </xf>
    <xf numFmtId="9" fontId="8" fillId="2" borderId="0" xfId="3" applyFont="1" applyFill="1" applyBorder="1" applyAlignment="1">
      <alignment horizontal="right"/>
    </xf>
    <xf numFmtId="9" fontId="20" fillId="0" borderId="0" xfId="3" applyFont="1" applyFill="1" applyBorder="1" applyAlignment="1">
      <alignment horizontal="right"/>
    </xf>
    <xf numFmtId="9" fontId="16" fillId="2" borderId="0" xfId="3" applyFont="1" applyFill="1" applyBorder="1" applyAlignment="1">
      <alignment horizontal="center"/>
    </xf>
    <xf numFmtId="0" fontId="13" fillId="0" borderId="8" xfId="0" applyFont="1" applyFill="1" applyBorder="1" applyAlignment="1">
      <alignment horizontal="left"/>
    </xf>
    <xf numFmtId="176" fontId="18" fillId="2" borderId="0" xfId="1" applyNumberFormat="1" applyFont="1" applyFill="1" applyBorder="1" applyAlignment="1">
      <alignment horizontal="right"/>
    </xf>
    <xf numFmtId="176" fontId="18" fillId="7" borderId="0" xfId="1" applyNumberFormat="1" applyFont="1" applyFill="1" applyBorder="1" applyAlignment="1">
      <alignment horizontal="right"/>
    </xf>
    <xf numFmtId="170" fontId="6" fillId="2" borderId="0" xfId="1" applyNumberFormat="1" applyFont="1" applyFill="1" applyBorder="1" applyAlignment="1">
      <alignment horizontal="right"/>
    </xf>
    <xf numFmtId="170" fontId="7" fillId="4" borderId="8" xfId="0" applyNumberFormat="1" applyFont="1" applyFill="1" applyBorder="1"/>
    <xf numFmtId="170" fontId="24" fillId="2" borderId="0" xfId="1" applyNumberFormat="1" applyFont="1" applyFill="1" applyBorder="1" applyAlignment="1">
      <alignment horizontal="right"/>
    </xf>
    <xf numFmtId="170" fontId="9" fillId="2" borderId="0" xfId="1" applyNumberFormat="1" applyFont="1" applyFill="1" applyBorder="1" applyAlignment="1">
      <alignment horizontal="right"/>
    </xf>
    <xf numFmtId="170" fontId="28" fillId="4" borderId="8" xfId="0" applyNumberFormat="1" applyFont="1" applyFill="1" applyBorder="1"/>
    <xf numFmtId="170" fontId="28" fillId="0" borderId="0" xfId="0" applyNumberFormat="1" applyFont="1" applyFill="1" applyBorder="1"/>
    <xf numFmtId="176" fontId="6" fillId="2" borderId="0" xfId="1" applyNumberFormat="1" applyFont="1" applyFill="1" applyBorder="1" applyAlignment="1">
      <alignment horizontal="right"/>
    </xf>
    <xf numFmtId="176" fontId="7" fillId="4" borderId="8" xfId="0" applyNumberFormat="1" applyFont="1" applyFill="1" applyBorder="1"/>
    <xf numFmtId="176" fontId="9" fillId="2" borderId="0" xfId="1" applyNumberFormat="1" applyFont="1" applyFill="1" applyBorder="1" applyAlignment="1">
      <alignment horizontal="right"/>
    </xf>
    <xf numFmtId="176" fontId="28" fillId="4" borderId="8" xfId="0" applyNumberFormat="1" applyFont="1" applyFill="1" applyBorder="1"/>
    <xf numFmtId="176" fontId="28" fillId="0" borderId="0" xfId="0" applyNumberFormat="1" applyFont="1" applyFill="1" applyBorder="1"/>
    <xf numFmtId="170" fontId="34" fillId="4" borderId="8" xfId="0" applyNumberFormat="1" applyFont="1" applyFill="1" applyBorder="1" applyAlignment="1"/>
    <xf numFmtId="170" fontId="13" fillId="0" borderId="0" xfId="0" applyNumberFormat="1" applyFont="1" applyFill="1" applyBorder="1" applyAlignment="1"/>
    <xf numFmtId="170" fontId="13" fillId="4" borderId="8" xfId="0" applyNumberFormat="1" applyFont="1" applyFill="1" applyBorder="1" applyAlignment="1"/>
    <xf numFmtId="170" fontId="34" fillId="0" borderId="0" xfId="0" applyNumberFormat="1" applyFont="1" applyFill="1" applyBorder="1" applyAlignment="1"/>
    <xf numFmtId="175" fontId="6" fillId="2" borderId="0" xfId="0" applyNumberFormat="1" applyFont="1" applyFill="1" applyBorder="1" applyAlignment="1">
      <alignment horizontal="right"/>
    </xf>
    <xf numFmtId="175" fontId="24" fillId="2" borderId="0" xfId="0" applyNumberFormat="1" applyFont="1" applyFill="1" applyBorder="1" applyAlignment="1">
      <alignment horizontal="right"/>
    </xf>
    <xf numFmtId="175" fontId="18" fillId="2" borderId="0" xfId="0" applyNumberFormat="1" applyFont="1" applyFill="1" applyBorder="1" applyAlignment="1">
      <alignment horizontal="right"/>
    </xf>
    <xf numFmtId="0" fontId="12" fillId="2" borderId="0" xfId="0" applyFont="1" applyFill="1" applyBorder="1" applyAlignment="1">
      <alignment horizontal="center"/>
    </xf>
    <xf numFmtId="0" fontId="10" fillId="2" borderId="0" xfId="0" applyFont="1" applyFill="1" applyBorder="1" applyAlignment="1">
      <alignment horizontal="right"/>
    </xf>
    <xf numFmtId="0" fontId="13" fillId="0" borderId="5" xfId="0" applyNumberFormat="1" applyFont="1" applyFill="1" applyBorder="1" applyAlignment="1">
      <alignment horizontal="left"/>
    </xf>
    <xf numFmtId="0" fontId="10" fillId="2" borderId="0" xfId="0" applyFont="1" applyFill="1" applyBorder="1" applyAlignment="1">
      <alignment horizontal="center"/>
    </xf>
    <xf numFmtId="0" fontId="13" fillId="2" borderId="0" xfId="0" applyNumberFormat="1" applyFont="1" applyFill="1" applyBorder="1" applyAlignment="1">
      <alignment horizontal="left"/>
    </xf>
    <xf numFmtId="0" fontId="10" fillId="4" borderId="8" xfId="0" applyFont="1" applyFill="1" applyBorder="1" applyAlignment="1">
      <alignment horizontal="center"/>
    </xf>
    <xf numFmtId="171" fontId="10" fillId="4" borderId="8" xfId="0" applyNumberFormat="1" applyFont="1" applyFill="1" applyBorder="1" applyAlignment="1">
      <alignment horizontal="center"/>
    </xf>
    <xf numFmtId="10" fontId="10" fillId="2" borderId="0" xfId="0" applyNumberFormat="1" applyFont="1" applyFill="1" applyBorder="1" applyAlignment="1">
      <alignment horizontal="center"/>
    </xf>
    <xf numFmtId="171" fontId="10" fillId="2" borderId="0" xfId="0" applyNumberFormat="1" applyFont="1" applyFill="1" applyBorder="1" applyAlignment="1">
      <alignment horizontal="center"/>
    </xf>
    <xf numFmtId="0" fontId="16" fillId="4" borderId="8" xfId="0" applyFont="1" applyFill="1" applyBorder="1" applyAlignment="1">
      <alignment horizontal="center"/>
    </xf>
    <xf numFmtId="0" fontId="16" fillId="2" borderId="0" xfId="0" applyFont="1" applyFill="1" applyBorder="1" applyAlignment="1">
      <alignment horizontal="center"/>
    </xf>
    <xf numFmtId="0" fontId="16" fillId="0" borderId="0" xfId="0" applyFont="1" applyFill="1" applyBorder="1" applyAlignment="1">
      <alignment horizontal="center"/>
    </xf>
    <xf numFmtId="0" fontId="28" fillId="2" borderId="0" xfId="0" applyNumberFormat="1" applyFont="1" applyFill="1" applyBorder="1" applyAlignment="1">
      <alignment horizontal="center"/>
    </xf>
    <xf numFmtId="0" fontId="14" fillId="0" borderId="5" xfId="0" applyNumberFormat="1" applyFont="1" applyFill="1" applyBorder="1" applyAlignment="1">
      <alignment horizontal="left"/>
    </xf>
    <xf numFmtId="172" fontId="2" fillId="0" borderId="5" xfId="1" applyNumberFormat="1" applyFont="1" applyFill="1" applyBorder="1" applyAlignment="1"/>
    <xf numFmtId="177" fontId="26" fillId="0" borderId="0" xfId="0" applyNumberFormat="1" applyFont="1" applyFill="1" applyBorder="1" applyAlignment="1"/>
    <xf numFmtId="170" fontId="25" fillId="4" borderId="8" xfId="0" applyNumberFormat="1" applyFont="1" applyFill="1" applyBorder="1" applyAlignment="1"/>
    <xf numFmtId="177" fontId="19" fillId="0" borderId="0" xfId="0" applyNumberFormat="1" applyFont="1" applyFill="1" applyBorder="1" applyAlignment="1"/>
    <xf numFmtId="172" fontId="3" fillId="4" borderId="1" xfId="1" applyNumberFormat="1" applyFont="1" applyFill="1" applyBorder="1" applyAlignment="1">
      <alignment horizontal="left"/>
    </xf>
    <xf numFmtId="172" fontId="3" fillId="4" borderId="3" xfId="1" applyNumberFormat="1" applyFont="1" applyFill="1" applyBorder="1" applyAlignment="1">
      <alignment horizontal="left"/>
    </xf>
    <xf numFmtId="174" fontId="3" fillId="4" borderId="3" xfId="1" applyNumberFormat="1" applyFont="1" applyFill="1" applyBorder="1" applyAlignment="1">
      <alignment horizontal="right"/>
    </xf>
    <xf numFmtId="174" fontId="3" fillId="4" borderId="2" xfId="1" applyNumberFormat="1" applyFont="1" applyFill="1" applyBorder="1" applyAlignment="1">
      <alignment horizontal="right"/>
    </xf>
    <xf numFmtId="172" fontId="3" fillId="4" borderId="33" xfId="1" applyNumberFormat="1" applyFont="1" applyFill="1" applyBorder="1" applyAlignment="1">
      <alignment horizontal="left"/>
    </xf>
    <xf numFmtId="175" fontId="2" fillId="4" borderId="34" xfId="0" applyNumberFormat="1" applyFont="1" applyFill="1" applyBorder="1" applyAlignment="1"/>
    <xf numFmtId="175" fontId="3" fillId="4" borderId="35" xfId="0" applyNumberFormat="1" applyFont="1" applyFill="1" applyBorder="1" applyAlignment="1"/>
    <xf numFmtId="0" fontId="16" fillId="0" borderId="5" xfId="0" applyFont="1" applyFill="1" applyBorder="1" applyAlignment="1">
      <alignment horizontal="center"/>
    </xf>
    <xf numFmtId="0" fontId="16" fillId="0" borderId="5" xfId="0" applyFont="1" applyFill="1" applyBorder="1" applyAlignment="1">
      <alignment horizontal="left"/>
    </xf>
    <xf numFmtId="0" fontId="8" fillId="8" borderId="5" xfId="0" applyFont="1" applyFill="1" applyBorder="1" applyAlignment="1">
      <alignment horizontal="left"/>
    </xf>
    <xf numFmtId="172" fontId="16" fillId="4" borderId="8" xfId="0" applyNumberFormat="1" applyFont="1" applyFill="1" applyBorder="1" applyAlignment="1">
      <alignment horizontal="center"/>
    </xf>
    <xf numFmtId="43" fontId="16" fillId="4" borderId="8" xfId="0" applyNumberFormat="1" applyFont="1" applyFill="1" applyBorder="1" applyAlignment="1">
      <alignment horizontal="center"/>
    </xf>
    <xf numFmtId="39" fontId="2" fillId="0" borderId="0" xfId="0" applyNumberFormat="1" applyFont="1" applyFill="1" applyBorder="1" applyAlignment="1"/>
    <xf numFmtId="10" fontId="16" fillId="2" borderId="0" xfId="3" applyNumberFormat="1" applyFont="1" applyFill="1" applyBorder="1" applyAlignment="1">
      <alignment horizontal="center"/>
    </xf>
    <xf numFmtId="9" fontId="35" fillId="2" borderId="0" xfId="3" applyFont="1" applyFill="1" applyBorder="1" applyAlignment="1">
      <alignment horizontal="center"/>
    </xf>
    <xf numFmtId="170" fontId="35" fillId="4" borderId="8" xfId="0" applyNumberFormat="1" applyFont="1" applyFill="1" applyBorder="1" applyAlignment="1">
      <alignment horizontal="center"/>
    </xf>
    <xf numFmtId="0" fontId="2" fillId="2" borderId="0" xfId="0" applyFont="1" applyFill="1" applyBorder="1" applyAlignment="1">
      <alignment horizontal="left"/>
    </xf>
    <xf numFmtId="0" fontId="3" fillId="4" borderId="8" xfId="0" applyFont="1" applyFill="1" applyBorder="1" applyAlignment="1">
      <alignment horizontal="center"/>
    </xf>
    <xf numFmtId="0" fontId="3" fillId="0" borderId="0" xfId="0" applyFont="1" applyFill="1" applyBorder="1" applyAlignment="1">
      <alignment horizontal="center"/>
    </xf>
    <xf numFmtId="0" fontId="7" fillId="2" borderId="0" xfId="0" applyFont="1" applyFill="1" applyBorder="1" applyAlignment="1">
      <alignment horizontal="center"/>
    </xf>
    <xf numFmtId="170" fontId="26" fillId="0" borderId="0" xfId="0" applyNumberFormat="1" applyFont="1" applyFill="1" applyBorder="1" applyAlignment="1"/>
    <xf numFmtId="172" fontId="25" fillId="4" borderId="8" xfId="1" applyNumberFormat="1" applyFont="1" applyFill="1" applyBorder="1" applyAlignment="1"/>
    <xf numFmtId="172" fontId="26" fillId="0" borderId="0" xfId="1" applyNumberFormat="1" applyFont="1" applyFill="1" applyBorder="1" applyAlignment="1"/>
    <xf numFmtId="172" fontId="36" fillId="0" borderId="0" xfId="1" applyNumberFormat="1" applyFont="1" applyFill="1" applyBorder="1" applyAlignment="1"/>
    <xf numFmtId="172" fontId="37" fillId="0" borderId="0" xfId="1" applyNumberFormat="1" applyFont="1" applyFill="1" applyBorder="1" applyAlignment="1"/>
    <xf numFmtId="172" fontId="19" fillId="0" borderId="0" xfId="1" applyNumberFormat="1" applyFont="1" applyFill="1" applyBorder="1" applyAlignment="1"/>
    <xf numFmtId="170" fontId="27" fillId="0" borderId="0" xfId="0" applyNumberFormat="1" applyFont="1" applyFill="1" applyBorder="1" applyAlignment="1"/>
    <xf numFmtId="172" fontId="26" fillId="6" borderId="0" xfId="1" applyNumberFormat="1" applyFont="1" applyFill="1" applyBorder="1" applyAlignment="1"/>
    <xf numFmtId="172" fontId="19" fillId="6" borderId="0" xfId="1" applyNumberFormat="1" applyFont="1" applyFill="1" applyBorder="1" applyAlignment="1"/>
    <xf numFmtId="0" fontId="6" fillId="2" borderId="0" xfId="0" quotePrefix="1" applyNumberFormat="1" applyFont="1" applyFill="1" applyBorder="1" applyAlignment="1">
      <alignment horizontal="left"/>
    </xf>
    <xf numFmtId="178" fontId="3" fillId="2" borderId="0" xfId="0" applyNumberFormat="1" applyFont="1" applyFill="1" applyBorder="1" applyAlignment="1">
      <alignment horizontal="right"/>
    </xf>
    <xf numFmtId="0" fontId="6" fillId="2" borderId="0" xfId="0" applyNumberFormat="1" applyFont="1" applyFill="1" applyBorder="1" applyAlignment="1">
      <alignment horizontal="left"/>
    </xf>
    <xf numFmtId="172" fontId="3" fillId="4" borderId="36" xfId="1" applyNumberFormat="1" applyFont="1" applyFill="1" applyBorder="1" applyAlignment="1">
      <alignment horizontal="left"/>
    </xf>
    <xf numFmtId="172" fontId="3" fillId="4" borderId="32" xfId="1" applyNumberFormat="1" applyFont="1" applyFill="1" applyBorder="1" applyAlignment="1">
      <alignment horizontal="left"/>
    </xf>
    <xf numFmtId="172" fontId="17" fillId="0" borderId="0" xfId="1" applyNumberFormat="1" applyFont="1" applyFill="1" applyBorder="1" applyAlignment="1">
      <alignment horizontal="left"/>
    </xf>
    <xf numFmtId="9" fontId="6" fillId="0" borderId="0" xfId="3" applyFont="1" applyAlignment="1">
      <alignment horizontal="center"/>
    </xf>
    <xf numFmtId="172" fontId="31" fillId="4" borderId="8" xfId="1" applyNumberFormat="1" applyFont="1" applyFill="1" applyBorder="1" applyAlignment="1"/>
    <xf numFmtId="9" fontId="26" fillId="0" borderId="0" xfId="3" applyFont="1" applyFill="1" applyBorder="1" applyAlignment="1"/>
    <xf numFmtId="9" fontId="31" fillId="4" borderId="8" xfId="3" applyFont="1" applyFill="1" applyBorder="1" applyAlignment="1"/>
    <xf numFmtId="9" fontId="38" fillId="0" borderId="0" xfId="3" applyFont="1" applyFill="1" applyBorder="1" applyAlignment="1"/>
    <xf numFmtId="172" fontId="3" fillId="4" borderId="2" xfId="1" applyNumberFormat="1" applyFont="1" applyFill="1" applyBorder="1" applyAlignment="1">
      <alignment horizontal="left"/>
    </xf>
    <xf numFmtId="0" fontId="7" fillId="2" borderId="0" xfId="0" applyNumberFormat="1" applyFont="1" applyFill="1" applyBorder="1" applyAlignment="1">
      <alignment horizontal="left"/>
    </xf>
    <xf numFmtId="170" fontId="19" fillId="0" borderId="0" xfId="0" applyNumberFormat="1" applyFont="1" applyFill="1" applyBorder="1" applyAlignment="1"/>
    <xf numFmtId="170" fontId="37" fillId="0" borderId="0" xfId="0" applyNumberFormat="1" applyFont="1" applyFill="1" applyBorder="1" applyAlignment="1"/>
    <xf numFmtId="44" fontId="6" fillId="0" borderId="0" xfId="2" applyFont="1" applyBorder="1" applyAlignment="1"/>
    <xf numFmtId="167" fontId="18" fillId="0" borderId="0" xfId="3" applyNumberFormat="1" applyFont="1" applyBorder="1" applyAlignment="1"/>
    <xf numFmtId="0" fontId="3" fillId="0" borderId="5" xfId="0" applyNumberFormat="1" applyFont="1" applyFill="1" applyBorder="1" applyAlignment="1">
      <alignment horizontal="left"/>
    </xf>
    <xf numFmtId="170" fontId="26" fillId="0" borderId="5" xfId="0" applyNumberFormat="1" applyFont="1" applyFill="1" applyBorder="1" applyAlignment="1"/>
    <xf numFmtId="170" fontId="26" fillId="4" borderId="8" xfId="0" applyNumberFormat="1" applyFont="1" applyFill="1" applyBorder="1" applyAlignment="1"/>
    <xf numFmtId="172" fontId="3" fillId="0" borderId="36" xfId="1" applyNumberFormat="1" applyFont="1" applyFill="1" applyBorder="1" applyAlignment="1">
      <alignment horizontal="left"/>
    </xf>
    <xf numFmtId="170" fontId="31" fillId="0" borderId="36" xfId="0" applyNumberFormat="1" applyFont="1" applyFill="1" applyBorder="1" applyAlignment="1"/>
    <xf numFmtId="170" fontId="31" fillId="0" borderId="32" xfId="0" applyNumberFormat="1" applyFont="1" applyFill="1" applyBorder="1" applyAlignment="1"/>
    <xf numFmtId="170" fontId="31" fillId="4" borderId="31" xfId="0" applyNumberFormat="1" applyFont="1" applyFill="1" applyBorder="1" applyAlignment="1"/>
    <xf numFmtId="0" fontId="7" fillId="0" borderId="5" xfId="4" applyFont="1" applyFill="1" applyBorder="1" applyAlignment="1">
      <alignment horizontal="left" indent="1"/>
    </xf>
    <xf numFmtId="173" fontId="25" fillId="4" borderId="8" xfId="0" applyNumberFormat="1" applyFont="1" applyFill="1" applyBorder="1" applyAlignment="1"/>
    <xf numFmtId="173" fontId="26" fillId="4" borderId="8" xfId="0" applyNumberFormat="1" applyFont="1" applyFill="1" applyBorder="1" applyAlignment="1"/>
    <xf numFmtId="173" fontId="27" fillId="0" borderId="0" xfId="0" applyNumberFormat="1" applyFont="1" applyFill="1" applyBorder="1" applyAlignment="1"/>
    <xf numFmtId="172" fontId="3" fillId="0" borderId="5" xfId="1" applyNumberFormat="1" applyFont="1" applyFill="1" applyBorder="1" applyAlignment="1">
      <alignment horizontal="left"/>
    </xf>
    <xf numFmtId="170" fontId="32" fillId="4" borderId="8" xfId="0" applyNumberFormat="1" applyFont="1" applyFill="1" applyBorder="1" applyAlignment="1"/>
    <xf numFmtId="166" fontId="39" fillId="0" borderId="0" xfId="3" applyNumberFormat="1" applyFont="1" applyFill="1" applyBorder="1" applyAlignment="1"/>
    <xf numFmtId="166" fontId="40" fillId="4" borderId="8" xfId="3" applyNumberFormat="1" applyFont="1" applyFill="1" applyBorder="1" applyAlignment="1"/>
    <xf numFmtId="166" fontId="41" fillId="0" borderId="0" xfId="3" applyNumberFormat="1" applyFont="1" applyFill="1" applyBorder="1" applyAlignment="1"/>
    <xf numFmtId="166" fontId="42" fillId="0" borderId="0" xfId="3" applyNumberFormat="1" applyFont="1" applyFill="1" applyBorder="1" applyAlignment="1"/>
    <xf numFmtId="172" fontId="3" fillId="0" borderId="1" xfId="1" applyNumberFormat="1" applyFont="1" applyFill="1" applyBorder="1" applyAlignment="1">
      <alignment horizontal="left"/>
    </xf>
    <xf numFmtId="170" fontId="26" fillId="0" borderId="3" xfId="0" applyNumberFormat="1" applyFont="1" applyFill="1" applyBorder="1" applyAlignment="1"/>
    <xf numFmtId="170" fontId="31" fillId="4" borderId="2" xfId="0" applyNumberFormat="1" applyFont="1" applyFill="1" applyBorder="1" applyAlignment="1"/>
    <xf numFmtId="170" fontId="31" fillId="0" borderId="3" xfId="0" applyNumberFormat="1" applyFont="1" applyFill="1" applyBorder="1" applyAlignment="1"/>
    <xf numFmtId="172" fontId="2" fillId="0" borderId="5" xfId="1" applyNumberFormat="1" applyFont="1" applyFill="1" applyBorder="1" applyAlignment="1">
      <alignment horizontal="left" indent="1"/>
    </xf>
    <xf numFmtId="172" fontId="2" fillId="0" borderId="24" xfId="1" applyNumberFormat="1" applyFont="1" applyFill="1" applyBorder="1" applyAlignment="1">
      <alignment horizontal="left" indent="1"/>
    </xf>
    <xf numFmtId="170" fontId="26" fillId="0" borderId="25" xfId="0" applyNumberFormat="1" applyFont="1" applyFill="1" applyBorder="1" applyAlignment="1"/>
    <xf numFmtId="0" fontId="3" fillId="4" borderId="23" xfId="0" applyFont="1" applyFill="1" applyBorder="1" applyAlignment="1">
      <alignment horizontal="center"/>
    </xf>
    <xf numFmtId="166" fontId="6" fillId="0" borderId="25" xfId="3" applyNumberFormat="1" applyFont="1" applyBorder="1" applyAlignment="1"/>
    <xf numFmtId="167" fontId="6" fillId="4" borderId="23" xfId="3" applyNumberFormat="1" applyFont="1" applyFill="1" applyBorder="1" applyAlignment="1"/>
    <xf numFmtId="0" fontId="2" fillId="2" borderId="0" xfId="0" applyNumberFormat="1" applyFont="1" applyFill="1" applyBorder="1"/>
    <xf numFmtId="0" fontId="3" fillId="2" borderId="0" xfId="0" applyNumberFormat="1" applyFont="1" applyFill="1" applyBorder="1"/>
    <xf numFmtId="172" fontId="3" fillId="2" borderId="0" xfId="1" applyNumberFormat="1" applyFont="1" applyFill="1" applyBorder="1"/>
    <xf numFmtId="172" fontId="2" fillId="2" borderId="0" xfId="0" applyNumberFormat="1" applyFont="1" applyFill="1" applyBorder="1"/>
    <xf numFmtId="172" fontId="3" fillId="0" borderId="0" xfId="1" applyNumberFormat="1" applyFont="1" applyFill="1" applyBorder="1"/>
    <xf numFmtId="0" fontId="6" fillId="2" borderId="0" xfId="0" applyNumberFormat="1" applyFont="1" applyFill="1" applyBorder="1"/>
    <xf numFmtId="171" fontId="3" fillId="2" borderId="0" xfId="0" applyNumberFormat="1" applyFont="1" applyFill="1" applyBorder="1"/>
    <xf numFmtId="43" fontId="3" fillId="2" borderId="0" xfId="0" applyNumberFormat="1" applyFont="1" applyFill="1" applyBorder="1"/>
    <xf numFmtId="172" fontId="3" fillId="2" borderId="0" xfId="0" applyNumberFormat="1" applyFont="1" applyFill="1" applyBorder="1"/>
    <xf numFmtId="179" fontId="3" fillId="2" borderId="0" xfId="0" applyNumberFormat="1" applyFont="1" applyFill="1" applyBorder="1"/>
    <xf numFmtId="43" fontId="3" fillId="0" borderId="0" xfId="0" applyNumberFormat="1" applyFont="1" applyFill="1" applyBorder="1"/>
    <xf numFmtId="0" fontId="7" fillId="2" borderId="0" xfId="0" applyNumberFormat="1" applyFont="1" applyFill="1" applyBorder="1"/>
    <xf numFmtId="9" fontId="22" fillId="0" borderId="0" xfId="3" applyFont="1" applyAlignment="1">
      <alignment horizontal="right"/>
    </xf>
    <xf numFmtId="170" fontId="3" fillId="2" borderId="0" xfId="0" applyNumberFormat="1" applyFont="1" applyFill="1" applyBorder="1" applyAlignment="1">
      <alignment horizontal="center"/>
    </xf>
    <xf numFmtId="0" fontId="3" fillId="2" borderId="9" xfId="0" applyNumberFormat="1" applyFont="1" applyFill="1" applyBorder="1" applyAlignment="1">
      <alignment horizontal="left"/>
    </xf>
    <xf numFmtId="0" fontId="4" fillId="3" borderId="5" xfId="0" applyFont="1" applyFill="1" applyBorder="1"/>
    <xf numFmtId="0" fontId="10" fillId="4" borderId="8" xfId="0" applyNumberFormat="1" applyFont="1" applyFill="1" applyBorder="1" applyAlignment="1">
      <alignment horizontal="center"/>
    </xf>
    <xf numFmtId="171" fontId="3" fillId="2" borderId="0" xfId="0" applyNumberFormat="1" applyFont="1" applyFill="1" applyBorder="1" applyAlignment="1">
      <alignment horizontal="center"/>
    </xf>
    <xf numFmtId="171" fontId="3" fillId="0" borderId="5" xfId="0" applyNumberFormat="1" applyFont="1" applyFill="1" applyBorder="1" applyAlignment="1">
      <alignment horizontal="left" indent="1"/>
    </xf>
    <xf numFmtId="171" fontId="8" fillId="0" borderId="0" xfId="0" applyNumberFormat="1" applyFont="1" applyFill="1" applyBorder="1" applyAlignment="1"/>
    <xf numFmtId="171" fontId="30" fillId="0" borderId="0" xfId="0" applyNumberFormat="1" applyFont="1" applyFill="1" applyBorder="1" applyAlignment="1"/>
    <xf numFmtId="180" fontId="17" fillId="0" borderId="0" xfId="0" applyNumberFormat="1" applyFont="1" applyFill="1" applyBorder="1" applyAlignment="1"/>
    <xf numFmtId="171" fontId="7" fillId="2" borderId="0" xfId="0" applyNumberFormat="1" applyFont="1" applyFill="1" applyBorder="1" applyAlignment="1">
      <alignment horizontal="center"/>
    </xf>
    <xf numFmtId="171" fontId="16" fillId="2" borderId="0" xfId="0" applyNumberFormat="1" applyFont="1" applyFill="1" applyBorder="1" applyAlignment="1">
      <alignment horizontal="center"/>
    </xf>
    <xf numFmtId="171" fontId="2" fillId="0" borderId="5" xfId="0" applyNumberFormat="1" applyFont="1" applyFill="1" applyBorder="1" applyAlignment="1">
      <alignment horizontal="left" indent="1"/>
    </xf>
    <xf numFmtId="171" fontId="2" fillId="0" borderId="5" xfId="0" applyNumberFormat="1" applyFont="1" applyFill="1" applyBorder="1" applyAlignment="1">
      <alignment horizontal="left" indent="2"/>
    </xf>
    <xf numFmtId="171" fontId="8" fillId="0" borderId="5" xfId="0" applyNumberFormat="1" applyFont="1" applyFill="1" applyBorder="1" applyAlignment="1"/>
    <xf numFmtId="171" fontId="22" fillId="0" borderId="0" xfId="0" applyNumberFormat="1" applyFont="1" applyFill="1" applyBorder="1" applyAlignment="1"/>
    <xf numFmtId="171" fontId="2" fillId="0" borderId="5" xfId="0" applyNumberFormat="1" applyFont="1" applyFill="1" applyBorder="1" applyAlignment="1"/>
    <xf numFmtId="171" fontId="22" fillId="0" borderId="5" xfId="0" applyNumberFormat="1" applyFont="1" applyFill="1" applyBorder="1" applyAlignment="1"/>
    <xf numFmtId="171" fontId="3" fillId="0" borderId="1" xfId="0" applyNumberFormat="1" applyFont="1" applyFill="1" applyBorder="1"/>
    <xf numFmtId="171" fontId="3" fillId="0" borderId="3" xfId="1" applyNumberFormat="1" applyFont="1" applyBorder="1" applyAlignment="1"/>
    <xf numFmtId="171" fontId="3" fillId="0" borderId="4" xfId="1" applyNumberFormat="1" applyFont="1" applyBorder="1" applyAlignment="1"/>
    <xf numFmtId="171" fontId="3" fillId="0" borderId="3" xfId="0" applyNumberFormat="1" applyFont="1" applyFill="1" applyBorder="1" applyAlignment="1"/>
    <xf numFmtId="172" fontId="3" fillId="0" borderId="3" xfId="1" applyNumberFormat="1" applyFont="1" applyFill="1" applyBorder="1" applyAlignment="1"/>
    <xf numFmtId="172" fontId="3" fillId="0" borderId="3" xfId="0" applyNumberFormat="1" applyFont="1" applyFill="1" applyBorder="1" applyAlignment="1"/>
    <xf numFmtId="171" fontId="16" fillId="0" borderId="3" xfId="0" applyNumberFormat="1" applyFont="1" applyFill="1" applyBorder="1" applyAlignment="1"/>
    <xf numFmtId="171" fontId="43" fillId="0" borderId="3" xfId="0" applyNumberFormat="1" applyFont="1" applyFill="1" applyBorder="1" applyAlignment="1"/>
    <xf numFmtId="171" fontId="15" fillId="0" borderId="5" xfId="0" applyNumberFormat="1" applyFont="1" applyFill="1" applyBorder="1"/>
    <xf numFmtId="171" fontId="34" fillId="4" borderId="8" xfId="3" applyNumberFormat="1" applyFont="1" applyFill="1" applyBorder="1" applyAlignment="1"/>
    <xf numFmtId="171" fontId="10" fillId="0" borderId="0" xfId="0" applyNumberFormat="1" applyFont="1" applyFill="1" applyBorder="1" applyAlignment="1">
      <alignment horizontal="center"/>
    </xf>
    <xf numFmtId="171" fontId="16" fillId="0" borderId="0" xfId="0" applyNumberFormat="1" applyFont="1" applyFill="1" applyBorder="1" applyAlignment="1">
      <alignment horizontal="center"/>
    </xf>
    <xf numFmtId="171" fontId="44" fillId="4" borderId="8" xfId="3" applyNumberFormat="1" applyFont="1" applyFill="1" applyBorder="1" applyAlignment="1"/>
    <xf numFmtId="171" fontId="43" fillId="0" borderId="0" xfId="0" applyNumberFormat="1" applyFont="1" applyFill="1" applyBorder="1" applyAlignment="1">
      <alignment horizontal="center"/>
    </xf>
    <xf numFmtId="171" fontId="7" fillId="2" borderId="0" xfId="0" applyNumberFormat="1" applyFont="1" applyFill="1" applyBorder="1" applyAlignment="1">
      <alignment horizontal="left"/>
    </xf>
    <xf numFmtId="171" fontId="2" fillId="0" borderId="5" xfId="0" applyNumberFormat="1" applyFont="1" applyBorder="1" applyAlignment="1"/>
    <xf numFmtId="171" fontId="3" fillId="0" borderId="1" xfId="0" applyNumberFormat="1" applyFont="1" applyBorder="1" applyAlignment="1"/>
    <xf numFmtId="171" fontId="43" fillId="0" borderId="3" xfId="0" applyNumberFormat="1" applyFont="1" applyBorder="1" applyAlignment="1"/>
    <xf numFmtId="171" fontId="8" fillId="0" borderId="0" xfId="0" applyNumberFormat="1" applyFont="1" applyBorder="1" applyAlignment="1"/>
    <xf numFmtId="171" fontId="22" fillId="0" borderId="0" xfId="0" applyNumberFormat="1" applyFont="1" applyBorder="1" applyAlignment="1"/>
    <xf numFmtId="171" fontId="16" fillId="0" borderId="3" xfId="0" applyNumberFormat="1" applyFont="1" applyBorder="1" applyAlignment="1"/>
    <xf numFmtId="171" fontId="3" fillId="0" borderId="37" xfId="0" applyNumberFormat="1" applyFont="1" applyFill="1" applyBorder="1"/>
    <xf numFmtId="171" fontId="2" fillId="0" borderId="38" xfId="0" applyNumberFormat="1" applyFont="1" applyBorder="1" applyAlignment="1"/>
    <xf numFmtId="171" fontId="3" fillId="4" borderId="39" xfId="1" applyNumberFormat="1" applyFont="1" applyFill="1" applyBorder="1" applyAlignment="1"/>
    <xf numFmtId="171" fontId="3" fillId="0" borderId="40" xfId="0" applyNumberFormat="1" applyFont="1" applyFill="1" applyBorder="1" applyAlignment="1">
      <alignment horizontal="center"/>
    </xf>
    <xf numFmtId="171" fontId="3" fillId="4" borderId="41" xfId="0" applyNumberFormat="1" applyFont="1" applyFill="1" applyBorder="1" applyAlignment="1"/>
    <xf numFmtId="171" fontId="2" fillId="2" borderId="0" xfId="0" applyNumberFormat="1" applyFont="1" applyFill="1" applyBorder="1" applyAlignment="1">
      <alignment horizontal="center"/>
    </xf>
    <xf numFmtId="171" fontId="2" fillId="0" borderId="5" xfId="0" applyNumberFormat="1" applyFont="1" applyFill="1" applyBorder="1"/>
    <xf numFmtId="171" fontId="6" fillId="2" borderId="0" xfId="0" applyNumberFormat="1" applyFont="1" applyFill="1" applyBorder="1" applyAlignment="1">
      <alignment horizontal="center"/>
    </xf>
    <xf numFmtId="43" fontId="3" fillId="0" borderId="0" xfId="0" applyNumberFormat="1" applyFont="1" applyFill="1" applyBorder="1" applyAlignment="1">
      <alignment horizontal="center"/>
    </xf>
    <xf numFmtId="43" fontId="3" fillId="2" borderId="0" xfId="1" applyFont="1" applyFill="1" applyBorder="1" applyAlignment="1">
      <alignment horizontal="center"/>
    </xf>
    <xf numFmtId="43" fontId="6" fillId="0" borderId="5" xfId="1" applyFont="1" applyFill="1" applyBorder="1" applyAlignment="1">
      <alignment horizontal="left"/>
    </xf>
    <xf numFmtId="43" fontId="6" fillId="0" borderId="0" xfId="1" applyFont="1" applyBorder="1" applyAlignment="1"/>
    <xf numFmtId="43" fontId="7" fillId="4" borderId="8" xfId="1" applyFont="1" applyFill="1" applyBorder="1" applyAlignment="1"/>
    <xf numFmtId="43" fontId="6" fillId="0" borderId="0" xfId="1" applyFont="1" applyFill="1" applyBorder="1" applyAlignment="1"/>
    <xf numFmtId="43" fontId="18" fillId="0" borderId="0" xfId="1" applyFont="1" applyBorder="1" applyAlignment="1"/>
    <xf numFmtId="43" fontId="20" fillId="4" borderId="8" xfId="1" applyFont="1" applyFill="1" applyBorder="1" applyAlignment="1"/>
    <xf numFmtId="43" fontId="7" fillId="2" borderId="0" xfId="1" applyFont="1" applyFill="1" applyBorder="1" applyAlignment="1">
      <alignment horizontal="center"/>
    </xf>
    <xf numFmtId="9" fontId="3" fillId="4" borderId="8" xfId="3" applyFont="1" applyFill="1" applyBorder="1" applyAlignment="1">
      <alignment horizontal="center"/>
    </xf>
    <xf numFmtId="9" fontId="10" fillId="4" borderId="8" xfId="3" applyFont="1" applyFill="1" applyBorder="1" applyAlignment="1">
      <alignment horizontal="center"/>
    </xf>
    <xf numFmtId="0" fontId="3" fillId="0" borderId="5" xfId="0" applyFont="1" applyFill="1" applyBorder="1"/>
    <xf numFmtId="170" fontId="3" fillId="2" borderId="0" xfId="0" applyNumberFormat="1" applyFont="1" applyFill="1" applyBorder="1"/>
    <xf numFmtId="170" fontId="3" fillId="4" borderId="8" xfId="0" applyNumberFormat="1" applyFont="1" applyFill="1" applyBorder="1"/>
    <xf numFmtId="170" fontId="3" fillId="0" borderId="0" xfId="0" applyNumberFormat="1" applyFont="1" applyFill="1" applyBorder="1"/>
    <xf numFmtId="170" fontId="17" fillId="2" borderId="0" xfId="0" applyNumberFormat="1" applyFont="1" applyFill="1" applyBorder="1"/>
    <xf numFmtId="9" fontId="3" fillId="2" borderId="0" xfId="3" applyFont="1" applyFill="1" applyBorder="1"/>
    <xf numFmtId="9" fontId="3" fillId="4" borderId="8" xfId="3" applyFont="1" applyFill="1" applyBorder="1"/>
    <xf numFmtId="9" fontId="3" fillId="0" borderId="0" xfId="3" applyFont="1" applyFill="1" applyBorder="1"/>
    <xf numFmtId="9" fontId="17" fillId="2" borderId="0" xfId="3" applyFont="1" applyFill="1" applyBorder="1"/>
    <xf numFmtId="181" fontId="2" fillId="0" borderId="0" xfId="0" applyNumberFormat="1" applyFont="1" applyBorder="1" applyAlignment="1"/>
    <xf numFmtId="170" fontId="2" fillId="2" borderId="0" xfId="0" applyNumberFormat="1" applyFont="1" applyFill="1" applyBorder="1"/>
    <xf numFmtId="170" fontId="2" fillId="0" borderId="0" xfId="0" applyNumberFormat="1" applyFont="1" applyFill="1" applyBorder="1"/>
    <xf numFmtId="170" fontId="22" fillId="2" borderId="0" xfId="0" applyNumberFormat="1" applyFont="1" applyFill="1" applyBorder="1"/>
    <xf numFmtId="170" fontId="17" fillId="4" borderId="8" xfId="0" applyNumberFormat="1" applyFont="1" applyFill="1" applyBorder="1"/>
    <xf numFmtId="7" fontId="3" fillId="4" borderId="8" xfId="0" applyNumberFormat="1" applyFont="1" applyFill="1" applyBorder="1"/>
    <xf numFmtId="7" fontId="17" fillId="4" borderId="8" xfId="0" applyNumberFormat="1" applyFont="1" applyFill="1" applyBorder="1"/>
    <xf numFmtId="0" fontId="6" fillId="0" borderId="5" xfId="0" applyFont="1" applyFill="1" applyBorder="1" applyAlignment="1">
      <alignment horizontal="left" indent="1"/>
    </xf>
    <xf numFmtId="166" fontId="6" fillId="2" borderId="0" xfId="3" applyNumberFormat="1" applyFont="1" applyFill="1" applyBorder="1"/>
    <xf numFmtId="166" fontId="7" fillId="4" borderId="8" xfId="3" applyNumberFormat="1" applyFont="1" applyFill="1" applyBorder="1"/>
    <xf numFmtId="166" fontId="6" fillId="0" borderId="0" xfId="3" applyNumberFormat="1" applyFont="1" applyFill="1" applyBorder="1"/>
    <xf numFmtId="166" fontId="18" fillId="2" borderId="0" xfId="3" applyNumberFormat="1" applyFont="1" applyFill="1" applyBorder="1"/>
    <xf numFmtId="166" fontId="20" fillId="4" borderId="8" xfId="3" applyNumberFormat="1" applyFont="1" applyFill="1" applyBorder="1"/>
    <xf numFmtId="0" fontId="6" fillId="0" borderId="24" xfId="0" applyFont="1" applyFill="1" applyBorder="1" applyAlignment="1">
      <alignment horizontal="left" indent="1"/>
    </xf>
    <xf numFmtId="166" fontId="6" fillId="2" borderId="25" xfId="3" applyNumberFormat="1" applyFont="1" applyFill="1" applyBorder="1"/>
    <xf numFmtId="166" fontId="7" fillId="4" borderId="23" xfId="3" applyNumberFormat="1" applyFont="1" applyFill="1" applyBorder="1"/>
    <xf numFmtId="166" fontId="6" fillId="0" borderId="25" xfId="3" applyNumberFormat="1" applyFont="1" applyFill="1" applyBorder="1"/>
    <xf numFmtId="166" fontId="18" fillId="2" borderId="25" xfId="3" applyNumberFormat="1" applyFont="1" applyFill="1" applyBorder="1"/>
    <xf numFmtId="166" fontId="20" fillId="4" borderId="23" xfId="3" applyNumberFormat="1" applyFont="1" applyFill="1" applyBorder="1"/>
    <xf numFmtId="0" fontId="2" fillId="2" borderId="0" xfId="0" applyNumberFormat="1" applyFont="1" applyFill="1" applyBorder="1" applyAlignment="1">
      <alignment horizontal="left"/>
    </xf>
    <xf numFmtId="170" fontId="22" fillId="0" borderId="0" xfId="0" applyNumberFormat="1" applyFont="1" applyAlignment="1">
      <alignment horizontal="right"/>
    </xf>
    <xf numFmtId="0" fontId="3" fillId="2" borderId="0" xfId="0" applyFont="1" applyFill="1" applyBorder="1" applyAlignment="1">
      <alignment horizontal="center"/>
    </xf>
    <xf numFmtId="0" fontId="16" fillId="2" borderId="0" xfId="0" applyNumberFormat="1" applyFont="1" applyFill="1" applyBorder="1"/>
    <xf numFmtId="170" fontId="10" fillId="2" borderId="0" xfId="0" applyNumberFormat="1" applyFont="1" applyFill="1" applyBorder="1"/>
    <xf numFmtId="170" fontId="16" fillId="2" borderId="0" xfId="0" applyNumberFormat="1" applyFont="1" applyFill="1" applyBorder="1"/>
    <xf numFmtId="0" fontId="3" fillId="2" borderId="25" xfId="0" applyNumberFormat="1" applyFont="1" applyFill="1" applyBorder="1" applyAlignment="1">
      <alignment horizontal="left"/>
    </xf>
    <xf numFmtId="0" fontId="3" fillId="0" borderId="9" xfId="0" applyNumberFormat="1" applyFont="1" applyFill="1" applyBorder="1" applyAlignment="1">
      <alignment horizontal="left"/>
    </xf>
    <xf numFmtId="0" fontId="2" fillId="0" borderId="0" xfId="0" applyNumberFormat="1" applyFont="1" applyFill="1" applyBorder="1" applyAlignment="1">
      <alignment horizontal="center"/>
    </xf>
    <xf numFmtId="182" fontId="2" fillId="0" borderId="5" xfId="2" applyNumberFormat="1" applyFont="1" applyFill="1" applyBorder="1" applyAlignment="1" applyProtection="1">
      <alignment horizontal="left" indent="1"/>
    </xf>
    <xf numFmtId="172" fontId="2" fillId="0" borderId="0" xfId="0" applyNumberFormat="1" applyFont="1" applyBorder="1" applyAlignment="1"/>
    <xf numFmtId="172" fontId="3" fillId="4" borderId="8" xfId="0" applyNumberFormat="1" applyFont="1" applyFill="1" applyBorder="1" applyAlignment="1"/>
    <xf numFmtId="172" fontId="2" fillId="0" borderId="0" xfId="0" applyNumberFormat="1" applyFont="1" applyFill="1" applyBorder="1" applyAlignment="1"/>
    <xf numFmtId="172" fontId="8" fillId="0" borderId="0" xfId="0" applyNumberFormat="1" applyFont="1" applyFill="1" applyBorder="1" applyAlignment="1"/>
    <xf numFmtId="0" fontId="6" fillId="0" borderId="0" xfId="0" applyNumberFormat="1" applyFont="1" applyFill="1" applyBorder="1" applyAlignment="1">
      <alignment horizontal="left"/>
    </xf>
    <xf numFmtId="172" fontId="22" fillId="0" borderId="0" xfId="0" applyNumberFormat="1" applyFont="1" applyFill="1" applyBorder="1" applyAlignment="1"/>
    <xf numFmtId="182" fontId="2" fillId="0" borderId="24" xfId="2" applyNumberFormat="1" applyFont="1" applyFill="1" applyBorder="1" applyAlignment="1" applyProtection="1">
      <alignment horizontal="left" indent="1"/>
    </xf>
    <xf numFmtId="172" fontId="2" fillId="0" borderId="25" xfId="0" applyNumberFormat="1" applyFont="1" applyBorder="1" applyAlignment="1"/>
    <xf numFmtId="172" fontId="3" fillId="4" borderId="23" xfId="0" applyNumberFormat="1" applyFont="1" applyFill="1" applyBorder="1" applyAlignment="1"/>
    <xf numFmtId="172" fontId="2" fillId="0" borderId="25" xfId="0" applyNumberFormat="1" applyFont="1" applyFill="1" applyBorder="1" applyAlignment="1"/>
    <xf numFmtId="172" fontId="8" fillId="0" borderId="25" xfId="0" applyNumberFormat="1" applyFont="1" applyFill="1" applyBorder="1" applyAlignment="1"/>
    <xf numFmtId="172" fontId="22" fillId="0" borderId="25" xfId="0" applyNumberFormat="1" applyFont="1" applyFill="1" applyBorder="1" applyAlignment="1"/>
    <xf numFmtId="0" fontId="3" fillId="0" borderId="5" xfId="0" applyNumberFormat="1" applyFont="1" applyFill="1" applyBorder="1" applyAlignment="1">
      <alignment horizontal="left" vertical="center"/>
    </xf>
    <xf numFmtId="172" fontId="3" fillId="0" borderId="0" xfId="0" applyNumberFormat="1" applyFont="1" applyBorder="1" applyAlignment="1"/>
    <xf numFmtId="172" fontId="3" fillId="0" borderId="0" xfId="0" applyNumberFormat="1" applyFont="1" applyFill="1" applyBorder="1" applyAlignment="1"/>
    <xf numFmtId="172" fontId="16" fillId="0" borderId="0" xfId="0" applyNumberFormat="1" applyFont="1" applyFill="1" applyBorder="1" applyAlignment="1"/>
    <xf numFmtId="169" fontId="2" fillId="0" borderId="5" xfId="1" applyNumberFormat="1" applyFont="1" applyFill="1" applyBorder="1" applyAlignment="1" applyProtection="1">
      <alignment horizontal="left" indent="1"/>
    </xf>
    <xf numFmtId="0" fontId="3" fillId="0" borderId="37" xfId="0" applyNumberFormat="1" applyFont="1" applyFill="1" applyBorder="1" applyAlignment="1">
      <alignment horizontal="left" vertical="center"/>
    </xf>
    <xf numFmtId="171" fontId="3" fillId="0" borderId="38" xfId="0" applyNumberFormat="1" applyFont="1" applyBorder="1" applyAlignment="1"/>
    <xf numFmtId="171" fontId="3" fillId="4" borderId="39" xfId="0" applyNumberFormat="1" applyFont="1" applyFill="1" applyBorder="1" applyAlignment="1"/>
    <xf numFmtId="171" fontId="3" fillId="0" borderId="38" xfId="0" applyNumberFormat="1" applyFont="1" applyFill="1" applyBorder="1" applyAlignment="1"/>
    <xf numFmtId="171" fontId="16" fillId="0" borderId="38" xfId="0" applyNumberFormat="1" applyFont="1" applyFill="1" applyBorder="1" applyAlignment="1"/>
    <xf numFmtId="0" fontId="2" fillId="0" borderId="5" xfId="0" applyFont="1" applyFill="1" applyBorder="1"/>
    <xf numFmtId="0" fontId="3" fillId="4" borderId="8" xfId="0" applyFont="1" applyFill="1" applyBorder="1" applyAlignment="1"/>
    <xf numFmtId="0" fontId="17" fillId="4" borderId="8" xfId="0" applyFont="1" applyFill="1" applyBorder="1" applyAlignment="1"/>
    <xf numFmtId="172" fontId="30" fillId="0" borderId="0" xfId="0" applyNumberFormat="1" applyFont="1" applyFill="1" applyBorder="1" applyAlignment="1"/>
    <xf numFmtId="0" fontId="6" fillId="0" borderId="0" xfId="0" applyNumberFormat="1" applyFont="1" applyFill="1" applyBorder="1" applyAlignment="1">
      <alignment horizontal="center"/>
    </xf>
    <xf numFmtId="172" fontId="30" fillId="0" borderId="25" xfId="0" applyNumberFormat="1" applyFont="1" applyFill="1" applyBorder="1" applyAlignment="1"/>
    <xf numFmtId="169" fontId="3" fillId="0" borderId="9" xfId="1" applyNumberFormat="1" applyFont="1" applyFill="1" applyBorder="1" applyAlignment="1" applyProtection="1">
      <alignment horizontal="left"/>
    </xf>
    <xf numFmtId="172" fontId="3" fillId="0" borderId="10" xfId="1" applyNumberFormat="1" applyFont="1" applyBorder="1" applyAlignment="1"/>
    <xf numFmtId="172" fontId="3" fillId="4" borderId="6" xfId="1" applyNumberFormat="1" applyFont="1" applyFill="1" applyBorder="1" applyAlignment="1"/>
    <xf numFmtId="172" fontId="3" fillId="0" borderId="10" xfId="1" applyNumberFormat="1" applyFont="1" applyFill="1" applyBorder="1" applyAlignment="1"/>
    <xf numFmtId="172" fontId="16" fillId="0" borderId="10" xfId="1" applyNumberFormat="1" applyFont="1" applyFill="1" applyBorder="1" applyAlignment="1"/>
    <xf numFmtId="172" fontId="43" fillId="0" borderId="10" xfId="1" applyNumberFormat="1" applyFont="1" applyFill="1" applyBorder="1" applyAlignment="1"/>
    <xf numFmtId="169" fontId="3" fillId="0" borderId="5" xfId="1" applyNumberFormat="1" applyFont="1" applyFill="1" applyBorder="1" applyAlignment="1" applyProtection="1">
      <alignment horizontal="left"/>
    </xf>
    <xf numFmtId="172" fontId="3" fillId="0" borderId="0" xfId="1" applyNumberFormat="1" applyFont="1" applyBorder="1" applyAlignment="1"/>
    <xf numFmtId="172" fontId="3" fillId="4" borderId="8" xfId="1" applyNumberFormat="1" applyFont="1" applyFill="1" applyBorder="1" applyAlignment="1"/>
    <xf numFmtId="172" fontId="3" fillId="0" borderId="0" xfId="1" applyNumberFormat="1" applyFont="1" applyFill="1" applyBorder="1" applyAlignment="1"/>
    <xf numFmtId="172" fontId="17" fillId="0" borderId="0" xfId="1" applyNumberFormat="1" applyFont="1" applyFill="1" applyBorder="1" applyAlignment="1"/>
    <xf numFmtId="172" fontId="2" fillId="0" borderId="0" xfId="1" applyNumberFormat="1" applyFont="1" applyBorder="1" applyAlignment="1"/>
    <xf numFmtId="172" fontId="2" fillId="0" borderId="0" xfId="1" applyNumberFormat="1" applyFont="1" applyFill="1" applyBorder="1" applyAlignment="1"/>
    <xf numFmtId="172" fontId="8" fillId="0" borderId="0" xfId="1" applyNumberFormat="1" applyFont="1" applyFill="1" applyBorder="1" applyAlignment="1"/>
    <xf numFmtId="172" fontId="30" fillId="0" borderId="0" xfId="1" applyNumberFormat="1" applyFont="1" applyFill="1" applyBorder="1" applyAlignment="1"/>
    <xf numFmtId="172" fontId="22" fillId="0" borderId="0" xfId="1" applyNumberFormat="1" applyFont="1" applyFill="1" applyBorder="1" applyAlignment="1"/>
    <xf numFmtId="172" fontId="16" fillId="0" borderId="10" xfId="1" applyNumberFormat="1" applyFont="1" applyBorder="1" applyAlignment="1"/>
    <xf numFmtId="172" fontId="43" fillId="0" borderId="10" xfId="1" applyNumberFormat="1" applyFont="1" applyBorder="1" applyAlignment="1"/>
    <xf numFmtId="169" fontId="3" fillId="0" borderId="33" xfId="1" applyNumberFormat="1" applyFont="1" applyFill="1" applyBorder="1" applyAlignment="1" applyProtection="1">
      <alignment horizontal="left"/>
    </xf>
    <xf numFmtId="172" fontId="3" fillId="0" borderId="34" xfId="1" applyNumberFormat="1" applyFont="1" applyBorder="1" applyAlignment="1"/>
    <xf numFmtId="172" fontId="3" fillId="4" borderId="35" xfId="1" applyNumberFormat="1" applyFont="1" applyFill="1" applyBorder="1" applyAlignment="1"/>
    <xf numFmtId="172" fontId="16" fillId="0" borderId="34" xfId="1" applyNumberFormat="1" applyFont="1" applyBorder="1" applyAlignment="1"/>
    <xf numFmtId="172" fontId="43" fillId="0" borderId="34" xfId="1" applyNumberFormat="1" applyFont="1" applyBorder="1" applyAlignment="1"/>
    <xf numFmtId="0" fontId="3" fillId="0" borderId="42" xfId="0" applyNumberFormat="1" applyFont="1" applyFill="1" applyBorder="1" applyAlignment="1">
      <alignment horizontal="left" vertical="center"/>
    </xf>
    <xf numFmtId="172" fontId="3" fillId="0" borderId="43" xfId="1" applyNumberFormat="1" applyFont="1" applyBorder="1" applyAlignment="1"/>
    <xf numFmtId="172" fontId="3" fillId="4" borderId="44" xfId="1" applyNumberFormat="1" applyFont="1" applyFill="1" applyBorder="1" applyAlignment="1"/>
    <xf numFmtId="172" fontId="16" fillId="0" borderId="43" xfId="1" applyNumberFormat="1" applyFont="1" applyBorder="1" applyAlignment="1"/>
    <xf numFmtId="172" fontId="43" fillId="0" borderId="43" xfId="1" applyNumberFormat="1" applyFont="1" applyBorder="1" applyAlignment="1"/>
    <xf numFmtId="172" fontId="6" fillId="2" borderId="0" xfId="1" applyNumberFormat="1" applyFont="1" applyFill="1"/>
    <xf numFmtId="169" fontId="16" fillId="0" borderId="0" xfId="1" applyNumberFormat="1" applyFont="1" applyFill="1" applyBorder="1" applyAlignment="1" applyProtection="1">
      <alignment horizontal="right"/>
    </xf>
    <xf numFmtId="179" fontId="16" fillId="0" borderId="0" xfId="1" applyNumberFormat="1" applyFont="1" applyFill="1" applyBorder="1" applyAlignment="1" applyProtection="1">
      <alignment horizontal="right"/>
    </xf>
    <xf numFmtId="172" fontId="16" fillId="0" borderId="0" xfId="1" applyNumberFormat="1" applyFont="1" applyFill="1" applyBorder="1" applyAlignment="1" applyProtection="1">
      <alignment horizontal="right"/>
    </xf>
    <xf numFmtId="43" fontId="20" fillId="0" borderId="0" xfId="1" applyNumberFormat="1" applyFont="1" applyFill="1" applyBorder="1" applyAlignment="1">
      <alignment horizontal="center"/>
    </xf>
    <xf numFmtId="0" fontId="3" fillId="4" borderId="9" xfId="0" applyFont="1" applyFill="1" applyBorder="1"/>
    <xf numFmtId="0" fontId="3" fillId="4" borderId="10" xfId="0" applyFont="1" applyFill="1" applyBorder="1"/>
    <xf numFmtId="0" fontId="3" fillId="4" borderId="6" xfId="0" applyFont="1" applyFill="1" applyBorder="1"/>
    <xf numFmtId="43" fontId="3" fillId="4" borderId="10" xfId="0" applyNumberFormat="1" applyFont="1" applyFill="1" applyBorder="1"/>
    <xf numFmtId="172" fontId="3" fillId="4" borderId="6" xfId="0" applyNumberFormat="1" applyFont="1" applyFill="1" applyBorder="1"/>
    <xf numFmtId="0" fontId="35" fillId="4" borderId="10" xfId="0" applyFont="1" applyFill="1" applyBorder="1"/>
    <xf numFmtId="0" fontId="10" fillId="4" borderId="10" xfId="0" applyFont="1" applyFill="1" applyBorder="1"/>
    <xf numFmtId="0" fontId="10" fillId="4" borderId="6" xfId="0" applyFont="1" applyFill="1" applyBorder="1"/>
    <xf numFmtId="0" fontId="10" fillId="0" borderId="0" xfId="0" applyFont="1" applyFill="1" applyBorder="1"/>
    <xf numFmtId="0" fontId="2" fillId="2" borderId="5" xfId="0" applyNumberFormat="1" applyFont="1" applyFill="1" applyBorder="1" applyAlignment="1">
      <alignment horizontal="left" indent="1"/>
    </xf>
    <xf numFmtId="37" fontId="2" fillId="0" borderId="0" xfId="3" applyNumberFormat="1" applyFont="1" applyBorder="1" applyAlignment="1"/>
    <xf numFmtId="37" fontId="3" fillId="4" borderId="8" xfId="3" applyNumberFormat="1" applyFont="1" applyFill="1" applyBorder="1" applyAlignment="1"/>
    <xf numFmtId="37" fontId="17" fillId="0" borderId="0" xfId="3" applyNumberFormat="1" applyFont="1" applyFill="1" applyBorder="1" applyAlignment="1"/>
    <xf numFmtId="166" fontId="3" fillId="4" borderId="8" xfId="3" applyNumberFormat="1" applyFont="1" applyFill="1" applyBorder="1" applyAlignment="1">
      <alignment horizontal="right"/>
    </xf>
    <xf numFmtId="166" fontId="3" fillId="0" borderId="0" xfId="3" applyNumberFormat="1" applyFont="1" applyFill="1" applyBorder="1" applyAlignment="1">
      <alignment horizontal="right"/>
    </xf>
    <xf numFmtId="183" fontId="2" fillId="0" borderId="0" xfId="3" applyNumberFormat="1" applyFont="1" applyBorder="1" applyAlignment="1">
      <alignment horizontal="right"/>
    </xf>
    <xf numFmtId="183" fontId="3" fillId="4" borderId="8" xfId="3" applyNumberFormat="1" applyFont="1" applyFill="1" applyBorder="1" applyAlignment="1">
      <alignment horizontal="right"/>
    </xf>
    <xf numFmtId="183" fontId="17" fillId="0" borderId="0" xfId="3" applyNumberFormat="1" applyFont="1" applyFill="1" applyBorder="1" applyAlignment="1">
      <alignment horizontal="right"/>
    </xf>
    <xf numFmtId="9" fontId="2" fillId="0" borderId="0" xfId="3" applyFont="1" applyBorder="1" applyAlignment="1"/>
    <xf numFmtId="9" fontId="2" fillId="0" borderId="0" xfId="3" applyNumberFormat="1" applyFont="1" applyBorder="1" applyAlignment="1"/>
    <xf numFmtId="9" fontId="3" fillId="4" borderId="8" xfId="3" applyNumberFormat="1" applyFont="1" applyFill="1" applyBorder="1" applyAlignment="1"/>
    <xf numFmtId="9" fontId="17" fillId="0" borderId="0" xfId="3" applyNumberFormat="1" applyFont="1" applyFill="1" applyBorder="1" applyAlignment="1"/>
    <xf numFmtId="9" fontId="22" fillId="0" borderId="0" xfId="3" applyNumberFormat="1" applyFont="1" applyBorder="1" applyAlignment="1"/>
    <xf numFmtId="9" fontId="17" fillId="4" borderId="8" xfId="3" applyNumberFormat="1" applyFont="1" applyFill="1" applyBorder="1" applyAlignment="1"/>
    <xf numFmtId="174" fontId="2" fillId="0" borderId="0" xfId="3" applyNumberFormat="1" applyFont="1" applyBorder="1" applyAlignment="1"/>
    <xf numFmtId="174" fontId="3" fillId="4" borderId="8" xfId="3" applyNumberFormat="1" applyFont="1" applyFill="1" applyBorder="1" applyAlignment="1"/>
    <xf numFmtId="171" fontId="2" fillId="0" borderId="0" xfId="3" applyNumberFormat="1" applyFont="1" applyBorder="1" applyAlignment="1"/>
    <xf numFmtId="171" fontId="3" fillId="4" borderId="8" xfId="3" applyNumberFormat="1" applyFont="1" applyFill="1" applyBorder="1" applyAlignment="1"/>
    <xf numFmtId="171" fontId="17" fillId="4" borderId="8" xfId="3" applyNumberFormat="1" applyFont="1" applyFill="1" applyBorder="1" applyAlignment="1"/>
    <xf numFmtId="4" fontId="17" fillId="4" borderId="8" xfId="3" applyNumberFormat="1" applyFont="1" applyFill="1" applyBorder="1" applyAlignment="1"/>
    <xf numFmtId="171" fontId="22" fillId="0" borderId="0" xfId="3" applyNumberFormat="1" applyFont="1" applyBorder="1" applyAlignment="1"/>
    <xf numFmtId="171" fontId="17" fillId="0" borderId="0" xfId="3" applyNumberFormat="1" applyFont="1" applyFill="1" applyBorder="1" applyAlignment="1"/>
    <xf numFmtId="166" fontId="2" fillId="2" borderId="0" xfId="3" applyNumberFormat="1" applyFont="1" applyFill="1" applyBorder="1" applyAlignment="1"/>
    <xf numFmtId="166" fontId="17" fillId="4" borderId="8" xfId="3" applyNumberFormat="1" applyFont="1" applyFill="1" applyBorder="1" applyAlignment="1"/>
    <xf numFmtId="166" fontId="22" fillId="2" borderId="0" xfId="3" applyNumberFormat="1" applyFont="1" applyFill="1" applyBorder="1" applyAlignment="1"/>
    <xf numFmtId="166" fontId="17" fillId="0" borderId="0" xfId="3" applyNumberFormat="1" applyFont="1" applyFill="1" applyBorder="1" applyAlignment="1"/>
    <xf numFmtId="0" fontId="2" fillId="2" borderId="24" xfId="0" applyNumberFormat="1" applyFont="1" applyFill="1" applyBorder="1" applyAlignment="1">
      <alignment horizontal="left" indent="1"/>
    </xf>
    <xf numFmtId="166" fontId="2" fillId="2" borderId="25" xfId="3" applyNumberFormat="1" applyFont="1" applyFill="1" applyBorder="1" applyAlignment="1"/>
    <xf numFmtId="166" fontId="3" fillId="4" borderId="23" xfId="3" applyNumberFormat="1" applyFont="1" applyFill="1" applyBorder="1" applyAlignment="1"/>
    <xf numFmtId="166" fontId="22" fillId="2" borderId="25" xfId="3" applyNumberFormat="1" applyFont="1" applyFill="1" applyBorder="1" applyAlignment="1"/>
    <xf numFmtId="0" fontId="45" fillId="2" borderId="0" xfId="0" applyNumberFormat="1" applyFont="1" applyFill="1" applyBorder="1" applyAlignment="1">
      <alignment horizontal="left"/>
    </xf>
    <xf numFmtId="0" fontId="2" fillId="2" borderId="0" xfId="0" applyNumberFormat="1" applyFont="1" applyFill="1" applyBorder="1" applyAlignment="1">
      <alignment horizontal="left" indent="1"/>
    </xf>
    <xf numFmtId="169" fontId="3" fillId="2" borderId="0" xfId="1" applyNumberFormat="1" applyFont="1" applyFill="1" applyBorder="1" applyAlignment="1" applyProtection="1">
      <alignment horizontal="right"/>
    </xf>
    <xf numFmtId="166" fontId="3" fillId="2" borderId="0" xfId="3" applyNumberFormat="1" applyFont="1" applyFill="1" applyBorder="1" applyAlignment="1"/>
    <xf numFmtId="169" fontId="16" fillId="2" borderId="0" xfId="1" applyNumberFormat="1" applyFont="1" applyFill="1" applyBorder="1" applyAlignment="1" applyProtection="1">
      <alignment horizontal="right"/>
    </xf>
    <xf numFmtId="169" fontId="6" fillId="2" borderId="0" xfId="1" applyNumberFormat="1" applyFont="1" applyFill="1" applyBorder="1"/>
    <xf numFmtId="169" fontId="2" fillId="2" borderId="0" xfId="1" applyNumberFormat="1" applyFont="1" applyFill="1" applyBorder="1"/>
    <xf numFmtId="0" fontId="3" fillId="4" borderId="45" xfId="0" applyNumberFormat="1" applyFont="1" applyFill="1" applyBorder="1" applyAlignment="1">
      <alignment horizontal="left" indent="1"/>
    </xf>
    <xf numFmtId="169" fontId="3" fillId="4" borderId="30" xfId="1" applyNumberFormat="1" applyFont="1" applyFill="1" applyBorder="1" applyAlignment="1" applyProtection="1">
      <alignment horizontal="right"/>
    </xf>
    <xf numFmtId="166" fontId="2" fillId="4" borderId="30" xfId="3" applyNumberFormat="1" applyFont="1" applyFill="1" applyBorder="1" applyAlignment="1"/>
    <xf numFmtId="166" fontId="3" fillId="4" borderId="30" xfId="3" applyNumberFormat="1" applyFont="1" applyFill="1" applyBorder="1" applyAlignment="1"/>
    <xf numFmtId="169" fontId="16" fillId="4" borderId="30" xfId="1" applyNumberFormat="1" applyFont="1" applyFill="1" applyBorder="1" applyAlignment="1" applyProtection="1">
      <alignment horizontal="right"/>
    </xf>
    <xf numFmtId="169" fontId="16" fillId="4" borderId="46" xfId="1" applyNumberFormat="1" applyFont="1" applyFill="1" applyBorder="1" applyAlignment="1" applyProtection="1">
      <alignment horizontal="right"/>
    </xf>
    <xf numFmtId="169" fontId="6" fillId="0" borderId="0" xfId="1" applyNumberFormat="1" applyFont="1" applyFill="1" applyBorder="1"/>
    <xf numFmtId="169" fontId="2" fillId="0" borderId="0" xfId="1" applyNumberFormat="1" applyFont="1" applyFill="1" applyBorder="1"/>
    <xf numFmtId="169" fontId="2" fillId="2" borderId="0" xfId="1" applyNumberFormat="1" applyFont="1" applyFill="1" applyBorder="1" applyAlignment="1" applyProtection="1">
      <alignment horizontal="right"/>
    </xf>
    <xf numFmtId="169" fontId="17" fillId="2" borderId="0" xfId="1" applyNumberFormat="1" applyFont="1" applyFill="1" applyBorder="1" applyAlignment="1" applyProtection="1">
      <alignment horizontal="right"/>
    </xf>
    <xf numFmtId="169" fontId="16" fillId="2" borderId="11" xfId="1" applyNumberFormat="1" applyFont="1" applyFill="1" applyBorder="1" applyAlignment="1" applyProtection="1">
      <alignment horizontal="right"/>
    </xf>
    <xf numFmtId="0" fontId="46" fillId="2" borderId="5" xfId="0" applyNumberFormat="1" applyFont="1" applyFill="1" applyBorder="1" applyAlignment="1">
      <alignment horizontal="left" indent="3"/>
    </xf>
    <xf numFmtId="10" fontId="13" fillId="2" borderId="0" xfId="3" applyNumberFormat="1" applyFont="1" applyFill="1" applyBorder="1" applyAlignment="1"/>
    <xf numFmtId="10" fontId="46" fillId="2" borderId="0" xfId="3" applyNumberFormat="1" applyFont="1" applyFill="1" applyBorder="1" applyAlignment="1"/>
    <xf numFmtId="10" fontId="47" fillId="2" borderId="0" xfId="3" applyNumberFormat="1" applyFont="1" applyFill="1" applyBorder="1" applyAlignment="1"/>
    <xf numFmtId="169" fontId="17" fillId="2" borderId="11" xfId="1" applyNumberFormat="1" applyFont="1" applyFill="1" applyBorder="1" applyAlignment="1" applyProtection="1">
      <alignment horizontal="right"/>
    </xf>
    <xf numFmtId="0" fontId="3" fillId="2" borderId="16" xfId="0" applyNumberFormat="1" applyFont="1" applyFill="1" applyBorder="1" applyAlignment="1">
      <alignment horizontal="left" indent="1"/>
    </xf>
    <xf numFmtId="169" fontId="3" fillId="2" borderId="17" xfId="1" applyNumberFormat="1" applyFont="1" applyFill="1" applyBorder="1" applyAlignment="1" applyProtection="1">
      <alignment horizontal="right"/>
    </xf>
    <xf numFmtId="166" fontId="2" fillId="2" borderId="17" xfId="3" applyNumberFormat="1" applyFont="1" applyFill="1" applyBorder="1" applyAlignment="1"/>
    <xf numFmtId="166" fontId="3" fillId="2" borderId="17" xfId="3" applyNumberFormat="1" applyFont="1" applyFill="1" applyBorder="1" applyAlignment="1"/>
    <xf numFmtId="169" fontId="2" fillId="2" borderId="17" xfId="1" applyNumberFormat="1" applyFont="1" applyFill="1" applyBorder="1" applyAlignment="1" applyProtection="1">
      <alignment horizontal="right"/>
    </xf>
    <xf numFmtId="169" fontId="17" fillId="2" borderId="17" xfId="1" applyNumberFormat="1" applyFont="1" applyFill="1" applyBorder="1" applyAlignment="1" applyProtection="1">
      <alignment horizontal="right"/>
    </xf>
    <xf numFmtId="169" fontId="17" fillId="2" borderId="18" xfId="1" applyNumberFormat="1" applyFont="1" applyFill="1" applyBorder="1" applyAlignment="1" applyProtection="1">
      <alignment horizontal="right"/>
    </xf>
    <xf numFmtId="0" fontId="46" fillId="2" borderId="24" xfId="0" applyNumberFormat="1" applyFont="1" applyFill="1" applyBorder="1" applyAlignment="1">
      <alignment horizontal="left" indent="3"/>
    </xf>
    <xf numFmtId="169" fontId="3" fillId="2" borderId="25" xfId="1" applyNumberFormat="1" applyFont="1" applyFill="1" applyBorder="1" applyAlignment="1" applyProtection="1">
      <alignment horizontal="right"/>
    </xf>
    <xf numFmtId="166" fontId="3" fillId="2" borderId="25" xfId="3" applyNumberFormat="1" applyFont="1" applyFill="1" applyBorder="1" applyAlignment="1"/>
    <xf numFmtId="10" fontId="13" fillId="2" borderId="25" xfId="3" applyNumberFormat="1" applyFont="1" applyFill="1" applyBorder="1" applyAlignment="1"/>
    <xf numFmtId="10" fontId="34" fillId="2" borderId="25" xfId="3" applyNumberFormat="1" applyFont="1" applyFill="1" applyBorder="1" applyAlignment="1"/>
    <xf numFmtId="10" fontId="44" fillId="2" borderId="25" xfId="3" applyNumberFormat="1" applyFont="1" applyFill="1" applyBorder="1" applyAlignment="1"/>
    <xf numFmtId="10" fontId="44" fillId="2" borderId="26" xfId="3" applyNumberFormat="1" applyFont="1" applyFill="1" applyBorder="1" applyAlignment="1"/>
    <xf numFmtId="10" fontId="44" fillId="0" borderId="0" xfId="3" applyNumberFormat="1" applyFont="1" applyFill="1" applyBorder="1" applyAlignment="1"/>
    <xf numFmtId="43" fontId="2" fillId="2" borderId="0" xfId="0" applyNumberFormat="1" applyFont="1" applyFill="1" applyBorder="1"/>
    <xf numFmtId="169" fontId="2" fillId="2" borderId="0" xfId="0" applyNumberFormat="1" applyFont="1" applyFill="1" applyBorder="1"/>
    <xf numFmtId="0" fontId="3" fillId="0" borderId="0" xfId="0" applyNumberFormat="1" applyFont="1" applyFill="1" applyBorder="1"/>
    <xf numFmtId="0" fontId="2" fillId="0" borderId="0" xfId="0" applyNumberFormat="1" applyFont="1" applyFill="1" applyBorder="1"/>
    <xf numFmtId="169" fontId="2" fillId="0" borderId="0" xfId="0" applyNumberFormat="1" applyFont="1" applyFill="1" applyBorder="1"/>
    <xf numFmtId="169" fontId="3" fillId="0" borderId="0" xfId="0" applyNumberFormat="1" applyFont="1" applyFill="1" applyBorder="1"/>
    <xf numFmtId="0" fontId="6" fillId="0" borderId="0" xfId="0" applyNumberFormat="1" applyFont="1" applyFill="1" applyBorder="1"/>
    <xf numFmtId="9" fontId="2" fillId="2" borderId="0" xfId="0" applyNumberFormat="1" applyFont="1" applyFill="1" applyBorder="1"/>
    <xf numFmtId="9" fontId="2" fillId="2" borderId="0" xfId="3" applyFont="1" applyFill="1" applyBorder="1"/>
    <xf numFmtId="0" fontId="48" fillId="2" borderId="0" xfId="0" applyNumberFormat="1" applyFont="1" applyFill="1" applyBorder="1"/>
    <xf numFmtId="169" fontId="2" fillId="2" borderId="0" xfId="0" applyNumberFormat="1" applyFont="1" applyFill="1" applyBorder="1" applyAlignment="1">
      <alignment horizontal="right"/>
    </xf>
    <xf numFmtId="169" fontId="3" fillId="2" borderId="0" xfId="0" applyNumberFormat="1" applyFont="1" applyFill="1" applyBorder="1" applyAlignment="1">
      <alignment horizontal="right"/>
    </xf>
    <xf numFmtId="169" fontId="3" fillId="0" borderId="0" xfId="0" applyNumberFormat="1" applyFont="1" applyFill="1" applyBorder="1" applyAlignment="1">
      <alignment horizontal="right"/>
    </xf>
    <xf numFmtId="169" fontId="3" fillId="2" borderId="0" xfId="0" applyNumberFormat="1" applyFont="1" applyFill="1" applyBorder="1"/>
    <xf numFmtId="0" fontId="48" fillId="0" borderId="0" xfId="0" applyNumberFormat="1" applyFont="1" applyBorder="1"/>
    <xf numFmtId="0" fontId="2" fillId="0" borderId="0" xfId="0" applyNumberFormat="1" applyFont="1" applyFill="1" applyBorder="1" applyAlignment="1">
      <alignment horizontal="left"/>
    </xf>
    <xf numFmtId="0" fontId="5" fillId="0" borderId="0" xfId="0" applyFont="1" applyFill="1"/>
    <xf numFmtId="2" fontId="3" fillId="0" borderId="0" xfId="0" applyNumberFormat="1" applyFont="1" applyFill="1" applyBorder="1"/>
    <xf numFmtId="180" fontId="3" fillId="2" borderId="0" xfId="0" applyNumberFormat="1" applyFont="1" applyFill="1" applyBorder="1" applyAlignment="1">
      <alignment horizontal="center"/>
    </xf>
    <xf numFmtId="10" fontId="3" fillId="2" borderId="0" xfId="3" applyNumberFormat="1" applyFont="1" applyFill="1" applyBorder="1" applyAlignment="1">
      <alignment horizontal="center"/>
    </xf>
    <xf numFmtId="169" fontId="3" fillId="2" borderId="0" xfId="3" applyNumberFormat="1" applyFont="1" applyFill="1" applyBorder="1" applyAlignment="1">
      <alignment horizontal="center"/>
    </xf>
    <xf numFmtId="175" fontId="3" fillId="2" borderId="0" xfId="0" applyNumberFormat="1" applyFont="1" applyFill="1" applyBorder="1" applyAlignment="1">
      <alignment horizontal="center"/>
    </xf>
    <xf numFmtId="169" fontId="3" fillId="2" borderId="0" xfId="0" applyNumberFormat="1" applyFont="1" applyFill="1" applyBorder="1" applyAlignment="1">
      <alignment horizontal="center"/>
    </xf>
    <xf numFmtId="169" fontId="2" fillId="0" borderId="0" xfId="1" applyNumberFormat="1" applyFont="1" applyBorder="1" applyAlignment="1"/>
    <xf numFmtId="180" fontId="2" fillId="0" borderId="0" xfId="1" applyNumberFormat="1" applyFont="1" applyBorder="1" applyAlignment="1"/>
    <xf numFmtId="175" fontId="3" fillId="2" borderId="0" xfId="0" applyNumberFormat="1" applyFont="1" applyFill="1" applyBorder="1"/>
    <xf numFmtId="10" fontId="3" fillId="2" borderId="0" xfId="3" applyNumberFormat="1" applyFont="1" applyFill="1" applyBorder="1"/>
    <xf numFmtId="166" fontId="9" fillId="0" borderId="0" xfId="3" applyNumberFormat="1" applyFont="1" applyFill="1" applyBorder="1" applyAlignment="1">
      <alignment horizontal="left"/>
    </xf>
    <xf numFmtId="9" fontId="3" fillId="0" borderId="0" xfId="3" applyFont="1" applyFill="1" applyBorder="1" applyAlignment="1">
      <alignment horizontal="center"/>
    </xf>
    <xf numFmtId="166" fontId="43" fillId="0" borderId="0" xfId="3" applyNumberFormat="1" applyFont="1" applyFill="1" applyBorder="1" applyAlignment="1">
      <alignment horizontal="center"/>
    </xf>
    <xf numFmtId="10" fontId="3" fillId="2" borderId="0" xfId="0" applyNumberFormat="1" applyFont="1" applyFill="1" applyBorder="1" applyAlignment="1">
      <alignment horizontal="center"/>
    </xf>
    <xf numFmtId="172" fontId="3" fillId="3" borderId="9" xfId="1" applyNumberFormat="1" applyFont="1" applyFill="1" applyBorder="1"/>
    <xf numFmtId="0" fontId="10" fillId="0" borderId="10" xfId="0" applyFont="1" applyFill="1" applyBorder="1" applyAlignment="1">
      <alignment horizontal="center"/>
    </xf>
    <xf numFmtId="0" fontId="10" fillId="4" borderId="6" xfId="0" applyFont="1" applyFill="1" applyBorder="1" applyAlignment="1">
      <alignment horizontal="center"/>
    </xf>
    <xf numFmtId="166" fontId="10" fillId="0" borderId="10" xfId="3" applyNumberFormat="1" applyFont="1" applyFill="1" applyBorder="1" applyAlignment="1">
      <alignment horizontal="center"/>
    </xf>
    <xf numFmtId="184" fontId="3" fillId="0" borderId="10" xfId="0" applyNumberFormat="1" applyFont="1" applyFill="1" applyBorder="1" applyAlignment="1">
      <alignment horizontal="center"/>
    </xf>
    <xf numFmtId="172" fontId="3" fillId="0" borderId="5" xfId="1" applyNumberFormat="1" applyFont="1" applyFill="1" applyBorder="1" applyAlignment="1">
      <alignment horizontal="left" indent="1"/>
    </xf>
    <xf numFmtId="172" fontId="2" fillId="4" borderId="8" xfId="1" applyNumberFormat="1" applyFont="1" applyFill="1" applyBorder="1" applyAlignment="1"/>
    <xf numFmtId="0" fontId="6" fillId="0" borderId="5" xfId="0" applyFont="1" applyFill="1" applyBorder="1" applyAlignment="1">
      <alignment horizontal="left" indent="4"/>
    </xf>
    <xf numFmtId="166" fontId="18" fillId="0" borderId="0" xfId="3" applyNumberFormat="1" applyFont="1" applyFill="1" applyBorder="1" applyAlignment="1">
      <alignment horizontal="right"/>
    </xf>
    <xf numFmtId="0" fontId="2" fillId="0" borderId="5" xfId="0" applyNumberFormat="1" applyFont="1" applyFill="1" applyBorder="1" applyAlignment="1">
      <alignment horizontal="left" indent="2"/>
    </xf>
    <xf numFmtId="169" fontId="2" fillId="0" borderId="0" xfId="1" applyNumberFormat="1" applyFont="1" applyFill="1" applyBorder="1" applyAlignment="1"/>
    <xf numFmtId="169" fontId="2" fillId="4" borderId="8" xfId="1" applyNumberFormat="1" applyFont="1" applyFill="1" applyBorder="1" applyAlignment="1"/>
    <xf numFmtId="169" fontId="22" fillId="0" borderId="0" xfId="1" applyNumberFormat="1" applyFont="1" applyFill="1" applyBorder="1" applyAlignment="1"/>
    <xf numFmtId="166" fontId="18" fillId="0" borderId="0" xfId="3" applyNumberFormat="1" applyFont="1" applyBorder="1" applyAlignment="1">
      <alignment horizontal="right"/>
    </xf>
    <xf numFmtId="166" fontId="18" fillId="4" borderId="8" xfId="3" applyNumberFormat="1" applyFont="1" applyFill="1" applyBorder="1" applyAlignment="1">
      <alignment horizontal="right"/>
    </xf>
    <xf numFmtId="166" fontId="18" fillId="6" borderId="0" xfId="3" applyNumberFormat="1" applyFont="1" applyFill="1" applyBorder="1" applyAlignment="1">
      <alignment horizontal="right"/>
    </xf>
    <xf numFmtId="166" fontId="18" fillId="5" borderId="0" xfId="3" applyNumberFormat="1" applyFont="1" applyFill="1" applyBorder="1" applyAlignment="1">
      <alignment horizontal="right"/>
    </xf>
    <xf numFmtId="0" fontId="18" fillId="0" borderId="0" xfId="0" applyFont="1"/>
    <xf numFmtId="0" fontId="18" fillId="0" borderId="5" xfId="0" applyFont="1" applyFill="1" applyBorder="1" applyAlignment="1">
      <alignment horizontal="left" indent="4"/>
    </xf>
    <xf numFmtId="170" fontId="9" fillId="0" borderId="0" xfId="0" applyNumberFormat="1" applyFont="1" applyBorder="1" applyAlignment="1"/>
    <xf numFmtId="170" fontId="20" fillId="4" borderId="8" xfId="0" applyNumberFormat="1" applyFont="1" applyFill="1" applyBorder="1" applyAlignment="1"/>
    <xf numFmtId="170" fontId="20" fillId="0" borderId="0" xfId="0" applyNumberFormat="1" applyFont="1" applyFill="1" applyBorder="1" applyAlignment="1"/>
    <xf numFmtId="170" fontId="6" fillId="0" borderId="0" xfId="0" applyNumberFormat="1" applyFont="1" applyBorder="1" applyAlignment="1"/>
    <xf numFmtId="170" fontId="7" fillId="4" borderId="8" xfId="0" applyNumberFormat="1" applyFont="1" applyFill="1" applyBorder="1" applyAlignment="1"/>
    <xf numFmtId="178" fontId="6" fillId="0" borderId="0" xfId="0" applyNumberFormat="1" applyFont="1" applyBorder="1" applyAlignment="1"/>
    <xf numFmtId="9" fontId="7" fillId="4" borderId="8" xfId="3" applyFont="1" applyFill="1" applyBorder="1" applyAlignment="1"/>
    <xf numFmtId="170" fontId="6" fillId="0" borderId="0" xfId="0" applyNumberFormat="1" applyFont="1" applyBorder="1" applyAlignment="1">
      <alignment horizontal="centerContinuous"/>
    </xf>
    <xf numFmtId="170" fontId="9" fillId="0" borderId="0" xfId="0" applyNumberFormat="1" applyFont="1" applyBorder="1" applyAlignment="1">
      <alignment horizontal="centerContinuous"/>
    </xf>
    <xf numFmtId="178" fontId="7" fillId="4" borderId="8" xfId="0" applyNumberFormat="1" applyFont="1" applyFill="1" applyBorder="1" applyAlignment="1"/>
    <xf numFmtId="178" fontId="20" fillId="0" borderId="0" xfId="0" applyNumberFormat="1" applyFont="1" applyFill="1" applyBorder="1" applyAlignment="1"/>
    <xf numFmtId="167" fontId="18" fillId="0" borderId="0" xfId="3" applyNumberFormat="1" applyFont="1" applyFill="1" applyBorder="1" applyAlignment="1"/>
    <xf numFmtId="167" fontId="18" fillId="4" borderId="8" xfId="3" applyNumberFormat="1" applyFont="1" applyFill="1" applyBorder="1" applyAlignment="1"/>
    <xf numFmtId="0" fontId="2" fillId="0" borderId="0" xfId="0" applyFont="1" applyBorder="1"/>
    <xf numFmtId="0" fontId="6" fillId="0" borderId="0" xfId="0" applyFont="1" applyBorder="1"/>
    <xf numFmtId="166" fontId="18" fillId="0" borderId="47" xfId="3" applyNumberFormat="1" applyFont="1" applyBorder="1" applyAlignment="1">
      <alignment horizontal="right"/>
    </xf>
    <xf numFmtId="166" fontId="20" fillId="4" borderId="19" xfId="3" applyNumberFormat="1" applyFont="1" applyFill="1" applyBorder="1" applyAlignment="1">
      <alignment horizontal="right"/>
    </xf>
    <xf numFmtId="172" fontId="3" fillId="3" borderId="16" xfId="1" applyNumberFormat="1" applyFont="1" applyFill="1" applyBorder="1"/>
    <xf numFmtId="9" fontId="29" fillId="2" borderId="0" xfId="0" applyNumberFormat="1" applyFont="1" applyFill="1" applyBorder="1"/>
    <xf numFmtId="170" fontId="9" fillId="0" borderId="0" xfId="0" applyNumberFormat="1" applyFont="1" applyFill="1" applyBorder="1" applyAlignment="1"/>
    <xf numFmtId="172" fontId="4" fillId="4" borderId="1" xfId="1" applyNumberFormat="1" applyFont="1" applyFill="1" applyBorder="1" applyAlignment="1">
      <alignment horizontal="left"/>
    </xf>
    <xf numFmtId="0" fontId="2" fillId="0" borderId="3" xfId="0" applyFont="1" applyBorder="1"/>
    <xf numFmtId="166" fontId="20" fillId="4" borderId="2" xfId="3" applyNumberFormat="1" applyFont="1" applyFill="1" applyBorder="1" applyAlignment="1">
      <alignment horizontal="right"/>
    </xf>
    <xf numFmtId="166" fontId="2" fillId="0" borderId="0" xfId="0" applyNumberFormat="1" applyFont="1"/>
    <xf numFmtId="169" fontId="3" fillId="4" borderId="8" xfId="1" applyNumberFormat="1" applyFont="1" applyFill="1" applyBorder="1" applyAlignment="1"/>
    <xf numFmtId="169" fontId="17" fillId="0" borderId="0" xfId="1" applyNumberFormat="1" applyFont="1" applyFill="1" applyBorder="1" applyAlignment="1"/>
    <xf numFmtId="9" fontId="13" fillId="4" borderId="8" xfId="3" applyNumberFormat="1" applyFont="1" applyFill="1" applyBorder="1" applyAlignment="1"/>
    <xf numFmtId="166" fontId="13" fillId="0" borderId="0" xfId="0" applyNumberFormat="1" applyFont="1" applyBorder="1"/>
    <xf numFmtId="178" fontId="6" fillId="4" borderId="8" xfId="0" applyNumberFormat="1" applyFont="1" applyFill="1" applyBorder="1" applyAlignment="1"/>
    <xf numFmtId="0" fontId="6" fillId="0" borderId="24" xfId="0" applyFont="1" applyFill="1" applyBorder="1" applyAlignment="1">
      <alignment horizontal="left" indent="4"/>
    </xf>
    <xf numFmtId="0" fontId="2" fillId="0" borderId="25" xfId="0" applyFont="1" applyBorder="1"/>
    <xf numFmtId="166" fontId="7" fillId="4" borderId="23" xfId="3" applyNumberFormat="1" applyFont="1" applyFill="1" applyBorder="1" applyAlignment="1">
      <alignment horizontal="right"/>
    </xf>
    <xf numFmtId="166" fontId="6" fillId="0" borderId="25" xfId="3" applyNumberFormat="1" applyFont="1" applyBorder="1" applyAlignment="1">
      <alignment horizontal="right"/>
    </xf>
    <xf numFmtId="0" fontId="3" fillId="0" borderId="0" xfId="0" applyFont="1" applyFill="1"/>
    <xf numFmtId="172" fontId="4" fillId="4" borderId="9" xfId="1" applyNumberFormat="1" applyFont="1" applyFill="1" applyBorder="1" applyAlignment="1">
      <alignment horizontal="left"/>
    </xf>
    <xf numFmtId="0" fontId="2" fillId="0" borderId="10" xfId="0" applyFont="1" applyBorder="1"/>
    <xf numFmtId="9" fontId="2" fillId="0" borderId="0" xfId="3" applyFont="1" applyBorder="1"/>
    <xf numFmtId="9" fontId="2" fillId="4" borderId="8" xfId="3" applyFont="1" applyFill="1" applyBorder="1"/>
    <xf numFmtId="9" fontId="22" fillId="0" borderId="0" xfId="3" applyFont="1" applyFill="1" applyBorder="1"/>
    <xf numFmtId="172" fontId="4" fillId="4" borderId="5" xfId="1" applyNumberFormat="1" applyFont="1" applyFill="1" applyBorder="1" applyAlignment="1">
      <alignment horizontal="left"/>
    </xf>
    <xf numFmtId="0" fontId="3" fillId="4" borderId="8" xfId="0" applyFont="1" applyFill="1" applyBorder="1"/>
    <xf numFmtId="0" fontId="17" fillId="0" borderId="0" xfId="0" applyFont="1" applyFill="1" applyBorder="1"/>
    <xf numFmtId="0" fontId="2" fillId="0" borderId="24" xfId="0" applyFont="1" applyFill="1" applyBorder="1"/>
    <xf numFmtId="9" fontId="2" fillId="0" borderId="25" xfId="3" applyFont="1" applyBorder="1"/>
    <xf numFmtId="9" fontId="2" fillId="4" borderId="23" xfId="3" applyFont="1" applyFill="1" applyBorder="1"/>
    <xf numFmtId="0" fontId="3" fillId="0" borderId="0" xfId="0" applyFont="1"/>
    <xf numFmtId="0" fontId="2" fillId="0" borderId="14" xfId="0" applyFont="1" applyBorder="1"/>
    <xf numFmtId="0" fontId="2" fillId="0" borderId="14" xfId="0" applyFont="1" applyFill="1" applyBorder="1" applyAlignment="1">
      <alignment horizontal="centerContinuous" vertical="center" wrapText="1"/>
    </xf>
    <xf numFmtId="0" fontId="3" fillId="0" borderId="14" xfId="0" applyFont="1" applyBorder="1"/>
    <xf numFmtId="170" fontId="2" fillId="0" borderId="14" xfId="0" applyNumberFormat="1" applyFont="1" applyBorder="1"/>
    <xf numFmtId="0" fontId="2" fillId="0" borderId="48" xfId="0" applyFont="1" applyFill="1" applyBorder="1" applyAlignment="1">
      <alignment horizontal="centerContinuous" vertical="center" wrapText="1"/>
    </xf>
    <xf numFmtId="0" fontId="3" fillId="0" borderId="14" xfId="0" applyFont="1" applyFill="1" applyBorder="1"/>
    <xf numFmtId="170" fontId="2" fillId="0" borderId="0" xfId="0" applyNumberFormat="1" applyFont="1"/>
    <xf numFmtId="9" fontId="2" fillId="0" borderId="0" xfId="3" applyFont="1"/>
    <xf numFmtId="166" fontId="3" fillId="0" borderId="0" xfId="0" applyNumberFormat="1" applyFont="1"/>
    <xf numFmtId="166" fontId="2" fillId="0" borderId="0" xfId="3" applyNumberFormat="1" applyFont="1"/>
    <xf numFmtId="9" fontId="2" fillId="0" borderId="0" xfId="3" applyNumberFormat="1" applyFont="1"/>
    <xf numFmtId="0" fontId="0" fillId="2" borderId="0" xfId="0" applyFill="1" applyBorder="1" applyAlignment="1">
      <alignment horizontal="right"/>
    </xf>
    <xf numFmtId="0" fontId="3" fillId="2" borderId="0" xfId="0" applyFont="1" applyFill="1" applyBorder="1" applyAlignment="1">
      <alignment horizontal="right"/>
    </xf>
    <xf numFmtId="0" fontId="0" fillId="2" borderId="49" xfId="0" applyFill="1" applyBorder="1"/>
    <xf numFmtId="0" fontId="2" fillId="2" borderId="0" xfId="4" applyFont="1" applyFill="1" applyAlignment="1"/>
    <xf numFmtId="0" fontId="10" fillId="9" borderId="51" xfId="0" applyFont="1" applyFill="1" applyBorder="1" applyAlignment="1">
      <alignment horizontal="right"/>
    </xf>
    <xf numFmtId="0" fontId="10" fillId="9" borderId="52" xfId="0" quotePrefix="1" applyFont="1" applyFill="1" applyBorder="1" applyAlignment="1">
      <alignment horizontal="right"/>
    </xf>
    <xf numFmtId="0" fontId="10" fillId="9" borderId="25" xfId="0" applyFont="1" applyFill="1" applyBorder="1" applyAlignment="1">
      <alignment horizontal="right"/>
    </xf>
    <xf numFmtId="0" fontId="10" fillId="9" borderId="53" xfId="0" applyFont="1" applyFill="1" applyBorder="1" applyAlignment="1">
      <alignment horizontal="right"/>
    </xf>
    <xf numFmtId="0" fontId="2" fillId="0" borderId="0" xfId="4" applyFont="1" applyFill="1" applyAlignment="1"/>
    <xf numFmtId="0" fontId="0" fillId="0" borderId="5" xfId="0" applyFill="1" applyBorder="1" applyAlignment="1">
      <alignment vertical="top" wrapText="1"/>
    </xf>
    <xf numFmtId="0" fontId="10" fillId="0" borderId="0" xfId="0" applyFont="1" applyFill="1" applyBorder="1" applyAlignment="1">
      <alignment horizontal="right"/>
    </xf>
    <xf numFmtId="171" fontId="3" fillId="4" borderId="9" xfId="0" applyNumberFormat="1" applyFont="1" applyFill="1" applyBorder="1"/>
    <xf numFmtId="37" fontId="3" fillId="4" borderId="9" xfId="0" applyNumberFormat="1" applyFont="1" applyFill="1" applyBorder="1" applyAlignment="1">
      <alignment horizontal="right"/>
    </xf>
    <xf numFmtId="37" fontId="3" fillId="4" borderId="10" xfId="0" applyNumberFormat="1" applyFont="1" applyFill="1" applyBorder="1" applyAlignment="1">
      <alignment horizontal="right"/>
    </xf>
    <xf numFmtId="37" fontId="3" fillId="4" borderId="7" xfId="0" applyNumberFormat="1" applyFont="1" applyFill="1" applyBorder="1" applyAlignment="1">
      <alignment horizontal="right"/>
    </xf>
    <xf numFmtId="37" fontId="3" fillId="4" borderId="6" xfId="0" applyNumberFormat="1" applyFont="1" applyFill="1" applyBorder="1" applyAlignment="1">
      <alignment horizontal="right"/>
    </xf>
    <xf numFmtId="37" fontId="3" fillId="4" borderId="54" xfId="0" applyNumberFormat="1" applyFont="1" applyFill="1" applyBorder="1" applyAlignment="1">
      <alignment horizontal="right"/>
    </xf>
    <xf numFmtId="166" fontId="7" fillId="4" borderId="24" xfId="3" applyNumberFormat="1" applyFont="1" applyFill="1" applyBorder="1" applyAlignment="1">
      <alignment horizontal="left" indent="1"/>
    </xf>
    <xf numFmtId="166" fontId="7" fillId="4" borderId="24" xfId="3" applyNumberFormat="1" applyFont="1" applyFill="1" applyBorder="1" applyAlignment="1">
      <alignment horizontal="right"/>
    </xf>
    <xf numFmtId="166" fontId="7" fillId="4" borderId="25" xfId="3" applyNumberFormat="1" applyFont="1" applyFill="1" applyBorder="1" applyAlignment="1">
      <alignment horizontal="right"/>
    </xf>
    <xf numFmtId="166" fontId="7" fillId="4" borderId="26" xfId="3" applyNumberFormat="1" applyFont="1" applyFill="1" applyBorder="1" applyAlignment="1">
      <alignment horizontal="right"/>
    </xf>
    <xf numFmtId="166" fontId="7" fillId="4" borderId="55" xfId="3" applyNumberFormat="1" applyFont="1" applyFill="1" applyBorder="1" applyAlignment="1">
      <alignment horizontal="right"/>
    </xf>
    <xf numFmtId="0" fontId="3" fillId="2" borderId="5" xfId="0" applyFont="1" applyFill="1" applyBorder="1" applyAlignment="1">
      <alignment horizontal="right"/>
    </xf>
    <xf numFmtId="0" fontId="3" fillId="2" borderId="11" xfId="0" applyFont="1" applyFill="1" applyBorder="1" applyAlignment="1">
      <alignment horizontal="right"/>
    </xf>
    <xf numFmtId="0" fontId="3" fillId="2" borderId="8" xfId="0" applyFont="1" applyFill="1" applyBorder="1" applyAlignment="1">
      <alignment horizontal="right"/>
    </xf>
    <xf numFmtId="0" fontId="3" fillId="2" borderId="56" xfId="0" applyFont="1" applyFill="1" applyBorder="1" applyAlignment="1">
      <alignment horizontal="right"/>
    </xf>
    <xf numFmtId="171" fontId="2" fillId="2" borderId="5" xfId="0" applyNumberFormat="1" applyFont="1" applyFill="1" applyBorder="1"/>
    <xf numFmtId="37" fontId="3" fillId="2" borderId="5" xfId="0" applyNumberFormat="1" applyFont="1" applyFill="1" applyBorder="1" applyAlignment="1">
      <alignment horizontal="right"/>
    </xf>
    <xf numFmtId="37" fontId="3" fillId="2" borderId="0" xfId="0" applyNumberFormat="1" applyFont="1" applyFill="1" applyBorder="1" applyAlignment="1">
      <alignment horizontal="right"/>
    </xf>
    <xf numFmtId="37" fontId="3" fillId="2" borderId="11" xfId="0" applyNumberFormat="1" applyFont="1" applyFill="1" applyBorder="1" applyAlignment="1">
      <alignment horizontal="right"/>
    </xf>
    <xf numFmtId="37" fontId="3" fillId="2" borderId="8" xfId="0" applyNumberFormat="1" applyFont="1" applyFill="1" applyBorder="1" applyAlignment="1">
      <alignment horizontal="right"/>
    </xf>
    <xf numFmtId="37" fontId="2" fillId="2" borderId="5" xfId="0" applyNumberFormat="1" applyFont="1" applyFill="1" applyBorder="1" applyAlignment="1">
      <alignment horizontal="right"/>
    </xf>
    <xf numFmtId="37" fontId="2" fillId="2" borderId="0" xfId="0" applyNumberFormat="1" applyFont="1" applyFill="1" applyBorder="1" applyAlignment="1">
      <alignment horizontal="right"/>
    </xf>
    <xf numFmtId="37" fontId="2" fillId="2" borderId="11" xfId="0" applyNumberFormat="1" applyFont="1" applyFill="1" applyBorder="1" applyAlignment="1">
      <alignment horizontal="right"/>
    </xf>
    <xf numFmtId="37" fontId="3" fillId="2" borderId="56" xfId="0" applyNumberFormat="1" applyFont="1" applyFill="1" applyBorder="1" applyAlignment="1">
      <alignment horizontal="right"/>
    </xf>
    <xf numFmtId="166" fontId="6" fillId="2" borderId="5" xfId="3" applyNumberFormat="1" applyFont="1" applyFill="1" applyBorder="1" applyAlignment="1">
      <alignment horizontal="left" indent="1"/>
    </xf>
    <xf numFmtId="166" fontId="7" fillId="2" borderId="5" xfId="3" applyNumberFormat="1" applyFont="1" applyFill="1" applyBorder="1" applyAlignment="1">
      <alignment horizontal="right"/>
    </xf>
    <xf numFmtId="166" fontId="7" fillId="2" borderId="0" xfId="3" applyNumberFormat="1" applyFont="1" applyFill="1" applyBorder="1" applyAlignment="1">
      <alignment horizontal="right"/>
    </xf>
    <xf numFmtId="166" fontId="7" fillId="2" borderId="11" xfId="3" applyNumberFormat="1" applyFont="1" applyFill="1" applyBorder="1" applyAlignment="1">
      <alignment horizontal="right"/>
    </xf>
    <xf numFmtId="166" fontId="7" fillId="2" borderId="8" xfId="3" applyNumberFormat="1" applyFont="1" applyFill="1" applyBorder="1" applyAlignment="1">
      <alignment horizontal="right"/>
    </xf>
    <xf numFmtId="166" fontId="6" fillId="2" borderId="5" xfId="3" applyNumberFormat="1" applyFont="1" applyFill="1" applyBorder="1" applyAlignment="1">
      <alignment horizontal="right"/>
    </xf>
    <xf numFmtId="166" fontId="6" fillId="2" borderId="11" xfId="3" applyNumberFormat="1" applyFont="1" applyFill="1" applyBorder="1" applyAlignment="1">
      <alignment horizontal="right"/>
    </xf>
    <xf numFmtId="166" fontId="7" fillId="2" borderId="56" xfId="3" applyNumberFormat="1" applyFont="1" applyFill="1" applyBorder="1" applyAlignment="1">
      <alignment horizontal="right"/>
    </xf>
    <xf numFmtId="166" fontId="2" fillId="2" borderId="5" xfId="3" applyNumberFormat="1" applyFont="1" applyFill="1" applyBorder="1"/>
    <xf numFmtId="166" fontId="3" fillId="2" borderId="5" xfId="3" applyNumberFormat="1" applyFont="1" applyFill="1" applyBorder="1" applyAlignment="1">
      <alignment horizontal="right"/>
    </xf>
    <xf numFmtId="166" fontId="3" fillId="2" borderId="0" xfId="3" applyNumberFormat="1" applyFont="1" applyFill="1" applyBorder="1" applyAlignment="1">
      <alignment horizontal="right"/>
    </xf>
    <xf numFmtId="166" fontId="3" fillId="2" borderId="11" xfId="3" applyNumberFormat="1" applyFont="1" applyFill="1" applyBorder="1" applyAlignment="1">
      <alignment horizontal="right"/>
    </xf>
    <xf numFmtId="166" fontId="3" fillId="2" borderId="8" xfId="3" applyNumberFormat="1" applyFont="1" applyFill="1" applyBorder="1" applyAlignment="1">
      <alignment horizontal="right"/>
    </xf>
    <xf numFmtId="166" fontId="3" fillId="2" borderId="56" xfId="3" applyNumberFormat="1" applyFont="1" applyFill="1" applyBorder="1" applyAlignment="1">
      <alignment horizontal="right"/>
    </xf>
    <xf numFmtId="166" fontId="6" fillId="4" borderId="5" xfId="3" applyNumberFormat="1" applyFont="1" applyFill="1" applyBorder="1" applyAlignment="1">
      <alignment horizontal="left" indent="1"/>
    </xf>
    <xf numFmtId="166" fontId="7" fillId="4" borderId="5" xfId="3" applyNumberFormat="1" applyFont="1" applyFill="1" applyBorder="1" applyAlignment="1">
      <alignment horizontal="right"/>
    </xf>
    <xf numFmtId="166" fontId="7" fillId="4" borderId="0" xfId="3" applyNumberFormat="1" applyFont="1" applyFill="1" applyBorder="1" applyAlignment="1">
      <alignment horizontal="right"/>
    </xf>
    <xf numFmtId="166" fontId="7" fillId="4" borderId="11" xfId="3" applyNumberFormat="1" applyFont="1" applyFill="1" applyBorder="1" applyAlignment="1">
      <alignment horizontal="right"/>
    </xf>
    <xf numFmtId="166" fontId="7" fillId="4" borderId="56" xfId="3" applyNumberFormat="1" applyFont="1" applyFill="1" applyBorder="1" applyAlignment="1">
      <alignment horizontal="right"/>
    </xf>
    <xf numFmtId="0" fontId="13" fillId="2" borderId="0" xfId="4" applyFont="1" applyFill="1" applyAlignment="1"/>
    <xf numFmtId="166" fontId="2" fillId="4" borderId="5" xfId="3" applyNumberFormat="1" applyFont="1" applyFill="1" applyBorder="1" applyAlignment="1">
      <alignment horizontal="left"/>
    </xf>
    <xf numFmtId="166" fontId="13" fillId="4" borderId="5" xfId="3" applyNumberFormat="1" applyFont="1" applyFill="1" applyBorder="1" applyAlignment="1">
      <alignment horizontal="right"/>
    </xf>
    <xf numFmtId="166" fontId="13" fillId="4" borderId="0" xfId="3" applyNumberFormat="1" applyFont="1" applyFill="1" applyBorder="1" applyAlignment="1">
      <alignment horizontal="right"/>
    </xf>
    <xf numFmtId="166" fontId="13" fillId="4" borderId="11" xfId="3" applyNumberFormat="1" applyFont="1" applyFill="1" applyBorder="1" applyAlignment="1">
      <alignment horizontal="right"/>
    </xf>
    <xf numFmtId="166" fontId="34" fillId="4" borderId="8" xfId="3" applyNumberFormat="1" applyFont="1" applyFill="1" applyBorder="1" applyAlignment="1">
      <alignment horizontal="right"/>
    </xf>
    <xf numFmtId="166" fontId="34" fillId="4" borderId="56" xfId="3" applyNumberFormat="1" applyFont="1" applyFill="1" applyBorder="1" applyAlignment="1">
      <alignment horizontal="right"/>
    </xf>
    <xf numFmtId="0" fontId="6" fillId="4" borderId="5" xfId="0" applyFont="1" applyFill="1" applyBorder="1" applyAlignment="1">
      <alignment horizontal="left" indent="1"/>
    </xf>
    <xf numFmtId="37" fontId="7" fillId="4" borderId="5" xfId="0" applyNumberFormat="1" applyFont="1" applyFill="1" applyBorder="1" applyAlignment="1">
      <alignment horizontal="right"/>
    </xf>
    <xf numFmtId="37" fontId="7" fillId="4" borderId="0" xfId="0" applyNumberFormat="1" applyFont="1" applyFill="1" applyBorder="1" applyAlignment="1">
      <alignment horizontal="right"/>
    </xf>
    <xf numFmtId="37" fontId="7" fillId="4" borderId="11" xfId="0" applyNumberFormat="1" applyFont="1" applyFill="1" applyBorder="1" applyAlignment="1">
      <alignment horizontal="right"/>
    </xf>
    <xf numFmtId="37" fontId="7" fillId="4" borderId="8" xfId="0" applyNumberFormat="1" applyFont="1" applyFill="1" applyBorder="1" applyAlignment="1">
      <alignment horizontal="right"/>
    </xf>
    <xf numFmtId="37" fontId="6" fillId="4" borderId="5" xfId="0" applyNumberFormat="1" applyFont="1" applyFill="1" applyBorder="1" applyAlignment="1">
      <alignment horizontal="right"/>
    </xf>
    <xf numFmtId="37" fontId="6" fillId="4" borderId="0" xfId="0" applyNumberFormat="1" applyFont="1" applyFill="1" applyBorder="1" applyAlignment="1">
      <alignment horizontal="right"/>
    </xf>
    <xf numFmtId="37" fontId="6" fillId="4" borderId="11" xfId="0" applyNumberFormat="1" applyFont="1" applyFill="1" applyBorder="1" applyAlignment="1">
      <alignment horizontal="right"/>
    </xf>
    <xf numFmtId="37" fontId="7" fillId="4" borderId="56" xfId="0" applyNumberFormat="1" applyFont="1" applyFill="1" applyBorder="1" applyAlignment="1">
      <alignment horizontal="right"/>
    </xf>
    <xf numFmtId="171" fontId="3" fillId="4" borderId="8" xfId="0" applyNumberFormat="1" applyFont="1" applyFill="1" applyBorder="1"/>
    <xf numFmtId="37" fontId="3" fillId="4" borderId="5" xfId="0" applyNumberFormat="1" applyFont="1" applyFill="1" applyBorder="1" applyAlignment="1">
      <alignment horizontal="right"/>
    </xf>
    <xf numFmtId="37" fontId="3" fillId="4" borderId="0" xfId="0" applyNumberFormat="1" applyFont="1" applyFill="1" applyBorder="1" applyAlignment="1">
      <alignment horizontal="right"/>
    </xf>
    <xf numFmtId="37" fontId="3" fillId="4" borderId="11" xfId="0" applyNumberFormat="1" applyFont="1" applyFill="1" applyBorder="1" applyAlignment="1">
      <alignment horizontal="right"/>
    </xf>
    <xf numFmtId="37" fontId="3" fillId="4" borderId="56" xfId="0" applyNumberFormat="1" applyFont="1" applyFill="1" applyBorder="1" applyAlignment="1">
      <alignment horizontal="right"/>
    </xf>
    <xf numFmtId="0" fontId="6" fillId="4" borderId="24" xfId="0" applyFont="1" applyFill="1" applyBorder="1" applyAlignment="1">
      <alignment horizontal="left" indent="1"/>
    </xf>
    <xf numFmtId="37" fontId="7" fillId="4" borderId="24" xfId="0" applyNumberFormat="1" applyFont="1" applyFill="1" applyBorder="1" applyAlignment="1">
      <alignment horizontal="right"/>
    </xf>
    <xf numFmtId="37" fontId="7" fillId="4" borderId="25" xfId="0" applyNumberFormat="1" applyFont="1" applyFill="1" applyBorder="1" applyAlignment="1">
      <alignment horizontal="right"/>
    </xf>
    <xf numFmtId="37" fontId="7" fillId="4" borderId="26" xfId="0" applyNumberFormat="1" applyFont="1" applyFill="1" applyBorder="1" applyAlignment="1">
      <alignment horizontal="right"/>
    </xf>
    <xf numFmtId="37" fontId="7" fillId="4" borderId="23" xfId="0" applyNumberFormat="1" applyFont="1" applyFill="1" applyBorder="1" applyAlignment="1">
      <alignment horizontal="right"/>
    </xf>
    <xf numFmtId="37" fontId="7" fillId="4" borderId="55" xfId="0" applyNumberFormat="1" applyFont="1" applyFill="1" applyBorder="1" applyAlignment="1">
      <alignment horizontal="right"/>
    </xf>
    <xf numFmtId="37" fontId="2" fillId="2" borderId="56" xfId="0" applyNumberFormat="1" applyFont="1" applyFill="1" applyBorder="1" applyAlignment="1">
      <alignment horizontal="right"/>
    </xf>
    <xf numFmtId="166" fontId="3" fillId="4" borderId="9" xfId="3" applyNumberFormat="1" applyFont="1" applyFill="1" applyBorder="1" applyAlignment="1">
      <alignment horizontal="left"/>
    </xf>
    <xf numFmtId="166" fontId="6" fillId="4" borderId="5" xfId="3" applyNumberFormat="1" applyFont="1" applyFill="1" applyBorder="1" applyAlignment="1">
      <alignment horizontal="right"/>
    </xf>
    <xf numFmtId="166" fontId="6" fillId="4" borderId="0" xfId="3" applyNumberFormat="1" applyFont="1" applyFill="1" applyBorder="1" applyAlignment="1">
      <alignment horizontal="right"/>
    </xf>
    <xf numFmtId="166" fontId="6" fillId="4" borderId="11" xfId="3" applyNumberFormat="1" applyFont="1" applyFill="1" applyBorder="1" applyAlignment="1">
      <alignment horizontal="right"/>
    </xf>
    <xf numFmtId="166" fontId="3" fillId="4" borderId="5" xfId="3" applyNumberFormat="1" applyFont="1" applyFill="1" applyBorder="1" applyAlignment="1">
      <alignment horizontal="left"/>
    </xf>
    <xf numFmtId="166" fontId="3" fillId="4" borderId="5" xfId="3" applyNumberFormat="1" applyFont="1" applyFill="1" applyBorder="1" applyAlignment="1">
      <alignment horizontal="right"/>
    </xf>
    <xf numFmtId="166" fontId="3" fillId="4" borderId="0" xfId="3" applyNumberFormat="1" applyFont="1" applyFill="1" applyBorder="1" applyAlignment="1">
      <alignment horizontal="right"/>
    </xf>
    <xf numFmtId="166" fontId="3" fillId="4" borderId="11" xfId="3" applyNumberFormat="1" applyFont="1" applyFill="1" applyBorder="1" applyAlignment="1">
      <alignment horizontal="right"/>
    </xf>
    <xf numFmtId="166" fontId="3" fillId="4" borderId="56" xfId="3" applyNumberFormat="1" applyFont="1" applyFill="1" applyBorder="1" applyAlignment="1">
      <alignment horizontal="right"/>
    </xf>
    <xf numFmtId="37" fontId="6" fillId="4" borderId="24" xfId="0" applyNumberFormat="1" applyFont="1" applyFill="1" applyBorder="1" applyAlignment="1">
      <alignment horizontal="right"/>
    </xf>
    <xf numFmtId="37" fontId="6" fillId="4" borderId="25" xfId="0" applyNumberFormat="1" applyFont="1" applyFill="1" applyBorder="1" applyAlignment="1">
      <alignment horizontal="right"/>
    </xf>
    <xf numFmtId="37" fontId="6" fillId="4" borderId="26" xfId="0" applyNumberFormat="1" applyFont="1" applyFill="1" applyBorder="1" applyAlignment="1">
      <alignment horizontal="right"/>
    </xf>
    <xf numFmtId="171" fontId="3" fillId="2" borderId="5" xfId="0" applyNumberFormat="1" applyFont="1" applyFill="1" applyBorder="1" applyAlignment="1">
      <alignment horizontal="right"/>
    </xf>
    <xf numFmtId="171" fontId="3" fillId="2" borderId="0" xfId="0" applyNumberFormat="1" applyFont="1" applyFill="1" applyBorder="1" applyAlignment="1">
      <alignment horizontal="right"/>
    </xf>
    <xf numFmtId="171" fontId="3" fillId="2" borderId="11" xfId="0" applyNumberFormat="1" applyFont="1" applyFill="1" applyBorder="1" applyAlignment="1">
      <alignment horizontal="right"/>
    </xf>
    <xf numFmtId="171" fontId="3" fillId="2" borderId="8" xfId="0" applyNumberFormat="1" applyFont="1" applyFill="1" applyBorder="1" applyAlignment="1">
      <alignment horizontal="right"/>
    </xf>
    <xf numFmtId="171" fontId="3" fillId="2" borderId="56" xfId="0" applyNumberFormat="1" applyFont="1" applyFill="1" applyBorder="1" applyAlignment="1">
      <alignment horizontal="right"/>
    </xf>
    <xf numFmtId="171" fontId="2" fillId="2" borderId="27" xfId="0" applyNumberFormat="1" applyFont="1" applyFill="1" applyBorder="1"/>
    <xf numFmtId="37" fontId="3" fillId="2" borderId="27" xfId="0" applyNumberFormat="1" applyFont="1" applyFill="1" applyBorder="1" applyAlignment="1">
      <alignment horizontal="right"/>
    </xf>
    <xf numFmtId="37" fontId="3" fillId="2" borderId="47" xfId="0" applyNumberFormat="1" applyFont="1" applyFill="1" applyBorder="1" applyAlignment="1">
      <alignment horizontal="right"/>
    </xf>
    <xf numFmtId="37" fontId="3" fillId="2" borderId="28" xfId="0" applyNumberFormat="1" applyFont="1" applyFill="1" applyBorder="1" applyAlignment="1">
      <alignment horizontal="right"/>
    </xf>
    <xf numFmtId="37" fontId="3" fillId="2" borderId="19" xfId="0" applyNumberFormat="1" applyFont="1" applyFill="1" applyBorder="1" applyAlignment="1">
      <alignment horizontal="right"/>
    </xf>
    <xf numFmtId="37" fontId="2" fillId="2" borderId="27" xfId="0" applyNumberFormat="1" applyFont="1" applyFill="1" applyBorder="1" applyAlignment="1">
      <alignment horizontal="right"/>
    </xf>
    <xf numFmtId="37" fontId="2" fillId="2" borderId="47" xfId="0" applyNumberFormat="1" applyFont="1" applyFill="1" applyBorder="1" applyAlignment="1">
      <alignment horizontal="right"/>
    </xf>
    <xf numFmtId="37" fontId="2" fillId="2" borderId="28" xfId="0" applyNumberFormat="1" applyFont="1" applyFill="1" applyBorder="1" applyAlignment="1">
      <alignment horizontal="right"/>
    </xf>
    <xf numFmtId="37" fontId="3" fillId="2" borderId="57" xfId="0" applyNumberFormat="1" applyFont="1" applyFill="1" applyBorder="1" applyAlignment="1">
      <alignment horizontal="right"/>
    </xf>
    <xf numFmtId="166" fontId="7" fillId="2" borderId="5" xfId="3" applyNumberFormat="1" applyFont="1" applyFill="1" applyBorder="1" applyAlignment="1">
      <alignment horizontal="left" indent="1"/>
    </xf>
    <xf numFmtId="37" fontId="2" fillId="2" borderId="8" xfId="0" applyNumberFormat="1" applyFont="1" applyFill="1" applyBorder="1" applyAlignment="1">
      <alignment horizontal="right"/>
    </xf>
    <xf numFmtId="0" fontId="2" fillId="0" borderId="11" xfId="4" applyFont="1" applyFill="1" applyBorder="1" applyAlignment="1"/>
    <xf numFmtId="7" fontId="3" fillId="4" borderId="9" xfId="0" applyNumberFormat="1" applyFont="1" applyFill="1" applyBorder="1" applyAlignment="1">
      <alignment horizontal="right"/>
    </xf>
    <xf numFmtId="7" fontId="3" fillId="4" borderId="10" xfId="0" applyNumberFormat="1" applyFont="1" applyFill="1" applyBorder="1" applyAlignment="1">
      <alignment horizontal="right"/>
    </xf>
    <xf numFmtId="7" fontId="3" fillId="4" borderId="7" xfId="0" applyNumberFormat="1" applyFont="1" applyFill="1" applyBorder="1" applyAlignment="1">
      <alignment horizontal="right"/>
    </xf>
    <xf numFmtId="7" fontId="3" fillId="4" borderId="6" xfId="0" applyNumberFormat="1" applyFont="1" applyFill="1" applyBorder="1" applyAlignment="1">
      <alignment horizontal="right"/>
    </xf>
    <xf numFmtId="7" fontId="3" fillId="4" borderId="54" xfId="0" applyNumberFormat="1" applyFont="1" applyFill="1" applyBorder="1" applyAlignment="1">
      <alignment horizontal="right"/>
    </xf>
    <xf numFmtId="0" fontId="2" fillId="2" borderId="0" xfId="4" applyFont="1" applyFill="1" applyBorder="1" applyAlignment="1"/>
    <xf numFmtId="0" fontId="2" fillId="2" borderId="11" xfId="4" applyFont="1" applyFill="1" applyBorder="1" applyAlignment="1"/>
    <xf numFmtId="0" fontId="2" fillId="2" borderId="24" xfId="0" applyFont="1" applyFill="1" applyBorder="1"/>
    <xf numFmtId="7" fontId="2" fillId="2" borderId="24" xfId="0" applyNumberFormat="1" applyFont="1" applyFill="1" applyBorder="1" applyAlignment="1">
      <alignment horizontal="right"/>
    </xf>
    <xf numFmtId="7" fontId="2" fillId="2" borderId="25" xfId="0" applyNumberFormat="1" applyFont="1" applyFill="1" applyBorder="1" applyAlignment="1">
      <alignment horizontal="right"/>
    </xf>
    <xf numFmtId="7" fontId="2" fillId="2" borderId="26" xfId="0" applyNumberFormat="1" applyFont="1" applyFill="1" applyBorder="1" applyAlignment="1">
      <alignment horizontal="right"/>
    </xf>
    <xf numFmtId="7" fontId="2" fillId="2" borderId="23" xfId="0" applyNumberFormat="1" applyFont="1" applyFill="1" applyBorder="1" applyAlignment="1">
      <alignment horizontal="right"/>
    </xf>
    <xf numFmtId="7" fontId="3" fillId="2" borderId="23" xfId="0" applyNumberFormat="1" applyFont="1" applyFill="1" applyBorder="1" applyAlignment="1">
      <alignment horizontal="right"/>
    </xf>
    <xf numFmtId="7" fontId="3" fillId="2" borderId="55" xfId="0" applyNumberFormat="1" applyFont="1" applyFill="1" applyBorder="1" applyAlignment="1">
      <alignment horizontal="right"/>
    </xf>
    <xf numFmtId="7" fontId="3" fillId="2" borderId="0" xfId="0" applyNumberFormat="1" applyFont="1" applyFill="1" applyBorder="1" applyAlignment="1">
      <alignment horizontal="right"/>
    </xf>
    <xf numFmtId="0" fontId="2" fillId="2" borderId="5" xfId="4" applyFont="1" applyFill="1" applyBorder="1" applyAlignment="1"/>
    <xf numFmtId="0" fontId="3" fillId="0" borderId="5" xfId="0" applyFont="1" applyBorder="1"/>
    <xf numFmtId="1" fontId="2" fillId="2" borderId="0" xfId="0" applyNumberFormat="1" applyFont="1" applyFill="1" applyBorder="1" applyAlignment="1">
      <alignment horizontal="right"/>
    </xf>
    <xf numFmtId="0" fontId="3" fillId="0" borderId="8" xfId="0" applyFont="1" applyBorder="1"/>
    <xf numFmtId="1" fontId="3" fillId="0" borderId="8" xfId="0" applyNumberFormat="1" applyFont="1" applyBorder="1"/>
    <xf numFmtId="0" fontId="3" fillId="2" borderId="8" xfId="4" applyFont="1" applyFill="1" applyBorder="1" applyAlignment="1"/>
    <xf numFmtId="1" fontId="3" fillId="2" borderId="8" xfId="4" applyNumberFormat="1" applyFont="1" applyFill="1" applyBorder="1" applyAlignment="1"/>
    <xf numFmtId="0" fontId="2" fillId="2" borderId="0" xfId="0" applyFont="1" applyFill="1"/>
    <xf numFmtId="0" fontId="2" fillId="0" borderId="5" xfId="0" applyFont="1" applyBorder="1"/>
    <xf numFmtId="172" fontId="3" fillId="4" borderId="1" xfId="1" applyNumberFormat="1" applyFont="1" applyFill="1" applyBorder="1"/>
    <xf numFmtId="1" fontId="3" fillId="4" borderId="3" xfId="1" applyNumberFormat="1" applyFont="1" applyFill="1" applyBorder="1" applyAlignment="1">
      <alignment horizontal="right"/>
    </xf>
    <xf numFmtId="172" fontId="3" fillId="4" borderId="2" xfId="1" applyNumberFormat="1" applyFont="1" applyFill="1" applyBorder="1"/>
    <xf numFmtId="169" fontId="3" fillId="4" borderId="2" xfId="1" applyNumberFormat="1" applyFont="1" applyFill="1" applyBorder="1"/>
    <xf numFmtId="0" fontId="3" fillId="2" borderId="5" xfId="4" applyFont="1" applyFill="1" applyBorder="1" applyAlignment="1"/>
    <xf numFmtId="37" fontId="2" fillId="2" borderId="0" xfId="3" applyNumberFormat="1" applyFont="1" applyFill="1" applyBorder="1" applyAlignment="1">
      <alignment horizontal="right"/>
    </xf>
    <xf numFmtId="37" fontId="3" fillId="4" borderId="3" xfId="1" applyNumberFormat="1" applyFont="1" applyFill="1" applyBorder="1" applyAlignment="1">
      <alignment horizontal="right"/>
    </xf>
    <xf numFmtId="0" fontId="2" fillId="2" borderId="9" xfId="4" applyFont="1" applyFill="1" applyBorder="1" applyAlignment="1"/>
    <xf numFmtId="171" fontId="2" fillId="2" borderId="5" xfId="0" applyNumberFormat="1" applyFont="1" applyFill="1" applyBorder="1" applyAlignment="1">
      <alignment horizontal="left" indent="2"/>
    </xf>
    <xf numFmtId="1" fontId="3" fillId="2" borderId="8" xfId="0" applyNumberFormat="1" applyFont="1" applyFill="1" applyBorder="1" applyAlignment="1">
      <alignment horizontal="right"/>
    </xf>
    <xf numFmtId="1" fontId="3" fillId="4" borderId="2" xfId="1" applyNumberFormat="1" applyFont="1" applyFill="1" applyBorder="1" applyAlignment="1">
      <alignment horizontal="right"/>
    </xf>
    <xf numFmtId="0" fontId="2" fillId="2" borderId="10" xfId="0" applyFont="1" applyFill="1" applyBorder="1"/>
    <xf numFmtId="0" fontId="0" fillId="2" borderId="0" xfId="0" applyFill="1" applyAlignment="1">
      <alignment horizontal="right"/>
    </xf>
    <xf numFmtId="0" fontId="3" fillId="2" borderId="0" xfId="0" applyFont="1" applyFill="1" applyAlignment="1">
      <alignment horizontal="right"/>
    </xf>
    <xf numFmtId="0" fontId="3" fillId="2" borderId="10" xfId="0" applyFont="1" applyFill="1" applyBorder="1" applyAlignment="1">
      <alignment horizontal="right"/>
    </xf>
    <xf numFmtId="0" fontId="2" fillId="2" borderId="58" xfId="4" applyFont="1" applyFill="1" applyBorder="1" applyAlignment="1"/>
    <xf numFmtId="37" fontId="3" fillId="2" borderId="8" xfId="3" applyNumberFormat="1" applyFont="1" applyFill="1" applyBorder="1" applyAlignment="1">
      <alignment horizontal="right"/>
    </xf>
    <xf numFmtId="172" fontId="3" fillId="4" borderId="59" xfId="1" applyNumberFormat="1" applyFont="1" applyFill="1" applyBorder="1"/>
    <xf numFmtId="37" fontId="3" fillId="4" borderId="60" xfId="1" applyNumberFormat="1" applyFont="1" applyFill="1" applyBorder="1" applyAlignment="1">
      <alignment horizontal="right"/>
    </xf>
    <xf numFmtId="37" fontId="3" fillId="4" borderId="61" xfId="1" applyNumberFormat="1" applyFont="1" applyFill="1" applyBorder="1" applyAlignment="1">
      <alignment horizontal="right"/>
    </xf>
    <xf numFmtId="172" fontId="3" fillId="4" borderId="62" xfId="1" applyNumberFormat="1" applyFont="1" applyFill="1" applyBorder="1"/>
    <xf numFmtId="37" fontId="3" fillId="4" borderId="63" xfId="1" applyNumberFormat="1" applyFont="1" applyFill="1" applyBorder="1" applyAlignment="1">
      <alignment horizontal="right"/>
    </xf>
    <xf numFmtId="37" fontId="3" fillId="4" borderId="64" xfId="1" applyNumberFormat="1" applyFont="1" applyFill="1" applyBorder="1" applyAlignment="1">
      <alignment horizontal="right"/>
    </xf>
    <xf numFmtId="172" fontId="3" fillId="4" borderId="65" xfId="1" applyNumberFormat="1" applyFont="1" applyFill="1" applyBorder="1"/>
    <xf numFmtId="37" fontId="3" fillId="4" borderId="10" xfId="1" applyNumberFormat="1" applyFont="1" applyFill="1" applyBorder="1" applyAlignment="1">
      <alignment horizontal="right"/>
    </xf>
    <xf numFmtId="37" fontId="3" fillId="4" borderId="6" xfId="1" applyNumberFormat="1" applyFont="1" applyFill="1" applyBorder="1" applyAlignment="1">
      <alignment horizontal="right"/>
    </xf>
    <xf numFmtId="5" fontId="3" fillId="2" borderId="0" xfId="0" applyNumberFormat="1" applyFont="1" applyFill="1" applyBorder="1"/>
    <xf numFmtId="185" fontId="3" fillId="2" borderId="0" xfId="0" applyNumberFormat="1" applyFont="1" applyFill="1" applyBorder="1"/>
    <xf numFmtId="0" fontId="43" fillId="2" borderId="0" xfId="0" applyNumberFormat="1" applyFont="1" applyFill="1" applyBorder="1"/>
    <xf numFmtId="2" fontId="53" fillId="0" borderId="0" xfId="0" applyNumberFormat="1" applyFont="1" applyFill="1" applyBorder="1" applyAlignment="1">
      <alignment horizontal="center"/>
    </xf>
    <xf numFmtId="0" fontId="53" fillId="0" borderId="0" xfId="0" applyNumberFormat="1" applyFont="1" applyFill="1" applyBorder="1" applyAlignment="1">
      <alignment horizontal="center"/>
    </xf>
    <xf numFmtId="0" fontId="53" fillId="2" borderId="0" xfId="0" quotePrefix="1" applyNumberFormat="1" applyFont="1" applyFill="1" applyBorder="1" applyAlignment="1">
      <alignment horizontal="center"/>
    </xf>
    <xf numFmtId="0" fontId="10" fillId="2" borderId="0" xfId="0" applyNumberFormat="1" applyFont="1" applyFill="1" applyBorder="1" applyAlignment="1">
      <alignment horizontal="left"/>
    </xf>
    <xf numFmtId="0" fontId="3" fillId="0" borderId="0" xfId="4" applyNumberFormat="1" applyFont="1" applyFill="1" applyBorder="1" applyAlignment="1">
      <alignment horizontal="left"/>
    </xf>
    <xf numFmtId="0" fontId="53" fillId="0" borderId="11" xfId="0" quotePrefix="1" applyNumberFormat="1" applyFont="1" applyFill="1" applyBorder="1" applyAlignment="1">
      <alignment horizontal="center"/>
    </xf>
    <xf numFmtId="38" fontId="3" fillId="5" borderId="9" xfId="0" applyNumberFormat="1" applyFont="1" applyFill="1" applyBorder="1"/>
    <xf numFmtId="172" fontId="54" fillId="0" borderId="0" xfId="1" applyNumberFormat="1" applyFont="1"/>
    <xf numFmtId="172" fontId="3" fillId="0" borderId="0" xfId="1" applyNumberFormat="1" applyFont="1"/>
    <xf numFmtId="0" fontId="17" fillId="5" borderId="2" xfId="4" applyNumberFormat="1" applyFont="1" applyFill="1" applyBorder="1" applyAlignment="1">
      <alignment horizontal="center"/>
    </xf>
    <xf numFmtId="0" fontId="53" fillId="2" borderId="11" xfId="0" quotePrefix="1" applyNumberFormat="1" applyFont="1" applyFill="1" applyBorder="1" applyAlignment="1">
      <alignment horizontal="center"/>
    </xf>
    <xf numFmtId="0" fontId="7" fillId="5" borderId="5" xfId="0" applyFont="1" applyFill="1" applyBorder="1" applyAlignment="1">
      <alignment horizontal="left" indent="2"/>
    </xf>
    <xf numFmtId="166" fontId="18" fillId="0" borderId="0" xfId="3" applyNumberFormat="1" applyFont="1"/>
    <xf numFmtId="0" fontId="3" fillId="0" borderId="0" xfId="0" applyNumberFormat="1" applyFont="1" applyFill="1" applyBorder="1" applyAlignment="1">
      <alignment horizontal="left"/>
    </xf>
    <xf numFmtId="0" fontId="53" fillId="2" borderId="11" xfId="0" quotePrefix="1" applyNumberFormat="1" applyFont="1" applyFill="1" applyBorder="1" applyAlignment="1">
      <alignment horizontal="right"/>
    </xf>
    <xf numFmtId="0" fontId="6" fillId="5" borderId="5" xfId="0" applyFont="1" applyFill="1" applyBorder="1" applyAlignment="1">
      <alignment horizontal="left" indent="2"/>
    </xf>
    <xf numFmtId="166" fontId="24" fillId="0" borderId="0" xfId="3" applyNumberFormat="1" applyFont="1"/>
    <xf numFmtId="0" fontId="2" fillId="0" borderId="11" xfId="0" applyFont="1" applyBorder="1"/>
    <xf numFmtId="171" fontId="2" fillId="5" borderId="5" xfId="1" applyNumberFormat="1" applyFont="1" applyFill="1" applyBorder="1" applyAlignment="1"/>
    <xf numFmtId="172" fontId="55" fillId="0" borderId="0" xfId="1" applyNumberFormat="1" applyFont="1"/>
    <xf numFmtId="172" fontId="2" fillId="0" borderId="0" xfId="1" applyNumberFormat="1" applyFont="1"/>
    <xf numFmtId="38" fontId="6" fillId="5" borderId="5" xfId="0" applyNumberFormat="1" applyFont="1" applyFill="1" applyBorder="1" applyAlignment="1">
      <alignment horizontal="left" indent="2"/>
    </xf>
    <xf numFmtId="166" fontId="18" fillId="0" borderId="0" xfId="3" applyNumberFormat="1" applyFont="1" applyFill="1"/>
    <xf numFmtId="10" fontId="24" fillId="0" borderId="0" xfId="3" applyNumberFormat="1" applyFont="1"/>
    <xf numFmtId="38" fontId="2" fillId="5" borderId="9" xfId="0" applyNumberFormat="1" applyFont="1" applyFill="1" applyBorder="1"/>
    <xf numFmtId="172" fontId="2" fillId="0" borderId="10" xfId="1" applyNumberFormat="1" applyFont="1" applyBorder="1"/>
    <xf numFmtId="172" fontId="2" fillId="0" borderId="7" xfId="1" applyNumberFormat="1" applyFont="1" applyBorder="1"/>
    <xf numFmtId="166" fontId="6" fillId="0" borderId="0" xfId="3" applyNumberFormat="1" applyFont="1" applyBorder="1"/>
    <xf numFmtId="166" fontId="6" fillId="0" borderId="11" xfId="3" applyNumberFormat="1" applyFont="1" applyBorder="1"/>
    <xf numFmtId="0" fontId="7" fillId="5" borderId="24" xfId="0" applyFont="1" applyFill="1" applyBorder="1" applyAlignment="1">
      <alignment horizontal="left" indent="2"/>
    </xf>
    <xf numFmtId="169" fontId="7" fillId="0" borderId="25" xfId="1" applyNumberFormat="1" applyFont="1" applyBorder="1"/>
    <xf numFmtId="1" fontId="7" fillId="0" borderId="25" xfId="1" applyNumberFormat="1" applyFont="1" applyBorder="1"/>
    <xf numFmtId="1" fontId="7" fillId="0" borderId="26" xfId="1" applyNumberFormat="1" applyFont="1" applyBorder="1"/>
    <xf numFmtId="166" fontId="18" fillId="0" borderId="0" xfId="3" applyNumberFormat="1" applyFont="1" applyBorder="1"/>
    <xf numFmtId="172" fontId="2" fillId="5" borderId="5" xfId="1" applyNumberFormat="1" applyFont="1" applyFill="1" applyBorder="1" applyAlignment="1"/>
    <xf numFmtId="172" fontId="2" fillId="0" borderId="0" xfId="1" applyNumberFormat="1" applyFont="1" applyBorder="1"/>
    <xf numFmtId="166" fontId="24" fillId="0" borderId="0" xfId="3" applyNumberFormat="1" applyFont="1" applyBorder="1"/>
    <xf numFmtId="37" fontId="3" fillId="5" borderId="9" xfId="0" applyNumberFormat="1" applyFont="1" applyFill="1" applyBorder="1"/>
    <xf numFmtId="172" fontId="3" fillId="0" borderId="10" xfId="1" applyNumberFormat="1" applyFont="1" applyBorder="1"/>
    <xf numFmtId="172" fontId="3" fillId="0" borderId="7" xfId="1" applyNumberFormat="1" applyFont="1" applyBorder="1"/>
    <xf numFmtId="166" fontId="7" fillId="0" borderId="0" xfId="3" applyNumberFormat="1" applyFont="1" applyBorder="1"/>
    <xf numFmtId="166" fontId="7" fillId="0" borderId="11" xfId="3" applyNumberFormat="1" applyFont="1" applyBorder="1"/>
    <xf numFmtId="38" fontId="2" fillId="5" borderId="5" xfId="0" applyNumberFormat="1" applyFont="1" applyFill="1" applyBorder="1"/>
    <xf numFmtId="166" fontId="56" fillId="0" borderId="0" xfId="3" applyNumberFormat="1" applyFont="1"/>
    <xf numFmtId="37" fontId="2" fillId="5" borderId="5" xfId="0" applyNumberFormat="1" applyFont="1" applyFill="1" applyBorder="1"/>
    <xf numFmtId="38" fontId="6" fillId="5" borderId="27" xfId="0" applyNumberFormat="1" applyFont="1" applyFill="1" applyBorder="1" applyAlignment="1">
      <alignment horizontal="left" indent="2"/>
    </xf>
    <xf numFmtId="166" fontId="6" fillId="0" borderId="47" xfId="3" applyNumberFormat="1" applyFont="1" applyBorder="1"/>
    <xf numFmtId="166" fontId="18" fillId="0" borderId="47" xfId="3" applyNumberFormat="1" applyFont="1" applyBorder="1"/>
    <xf numFmtId="37" fontId="22" fillId="0" borderId="0" xfId="0" applyNumberFormat="1" applyFont="1"/>
    <xf numFmtId="37" fontId="2" fillId="0" borderId="0" xfId="0" applyNumberFormat="1" applyFont="1"/>
    <xf numFmtId="0" fontId="6" fillId="5" borderId="24" xfId="0" applyFont="1" applyFill="1" applyBorder="1" applyAlignment="1">
      <alignment horizontal="left" indent="2"/>
    </xf>
    <xf numFmtId="166" fontId="6" fillId="0" borderId="25" xfId="3" applyNumberFormat="1" applyFont="1" applyBorder="1"/>
    <xf numFmtId="166" fontId="18" fillId="0" borderId="25" xfId="3" applyNumberFormat="1" applyFont="1" applyFill="1" applyBorder="1"/>
    <xf numFmtId="0" fontId="3" fillId="5" borderId="5" xfId="0" applyFont="1" applyFill="1" applyBorder="1"/>
    <xf numFmtId="169" fontId="22" fillId="0" borderId="0" xfId="0" applyNumberFormat="1" applyFont="1"/>
    <xf numFmtId="38" fontId="6" fillId="5" borderId="5" xfId="0" applyNumberFormat="1" applyFont="1" applyFill="1" applyBorder="1"/>
    <xf numFmtId="169" fontId="6" fillId="0" borderId="0" xfId="1" applyNumberFormat="1" applyFont="1" applyFill="1"/>
    <xf numFmtId="169" fontId="18" fillId="0" borderId="0" xfId="0" applyNumberFormat="1" applyFont="1"/>
    <xf numFmtId="38" fontId="14" fillId="5" borderId="5" xfId="0" applyNumberFormat="1" applyFont="1" applyFill="1" applyBorder="1"/>
    <xf numFmtId="0" fontId="2" fillId="5" borderId="5" xfId="0" applyFont="1" applyFill="1" applyBorder="1"/>
    <xf numFmtId="9" fontId="6" fillId="5" borderId="5" xfId="0" applyNumberFormat="1" applyFont="1" applyFill="1" applyBorder="1" applyAlignment="1">
      <alignment horizontal="left" indent="2"/>
    </xf>
    <xf numFmtId="9" fontId="2" fillId="5" borderId="24" xfId="0" applyNumberFormat="1" applyFont="1" applyFill="1" applyBorder="1" applyAlignment="1">
      <alignment horizontal="left"/>
    </xf>
    <xf numFmtId="172" fontId="6" fillId="0" borderId="25" xfId="1" applyNumberFormat="1" applyFont="1" applyBorder="1"/>
    <xf numFmtId="172" fontId="2" fillId="0" borderId="25" xfId="1" applyNumberFormat="1" applyFont="1" applyBorder="1"/>
    <xf numFmtId="37" fontId="17" fillId="0" borderId="0" xfId="0" applyNumberFormat="1" applyFont="1"/>
    <xf numFmtId="169" fontId="18" fillId="0" borderId="0" xfId="1" applyNumberFormat="1" applyFont="1"/>
    <xf numFmtId="4" fontId="6" fillId="0" borderId="0" xfId="3" applyNumberFormat="1" applyFont="1"/>
    <xf numFmtId="0" fontId="3" fillId="5" borderId="1" xfId="0" applyFont="1" applyFill="1" applyBorder="1"/>
    <xf numFmtId="172" fontId="3" fillId="0" borderId="3" xfId="1" applyNumberFormat="1" applyFont="1" applyBorder="1"/>
    <xf numFmtId="9" fontId="2" fillId="0" borderId="3" xfId="3" applyFont="1" applyBorder="1"/>
    <xf numFmtId="172" fontId="3" fillId="2" borderId="3" xfId="1" applyNumberFormat="1" applyFont="1" applyFill="1" applyBorder="1"/>
    <xf numFmtId="169" fontId="17" fillId="2" borderId="0" xfId="1" applyNumberFormat="1" applyFont="1" applyFill="1"/>
    <xf numFmtId="169" fontId="22" fillId="0" borderId="0" xfId="1" applyNumberFormat="1" applyFont="1"/>
    <xf numFmtId="0" fontId="14" fillId="4" borderId="9" xfId="0" applyFont="1" applyFill="1" applyBorder="1"/>
    <xf numFmtId="166" fontId="22" fillId="4" borderId="7" xfId="3" applyNumberFormat="1" applyFont="1" applyFill="1" applyBorder="1" applyAlignment="1">
      <alignment horizontal="center"/>
    </xf>
    <xf numFmtId="0" fontId="14" fillId="4" borderId="9" xfId="6" applyFont="1" applyFill="1" applyBorder="1"/>
    <xf numFmtId="0" fontId="2" fillId="4" borderId="10" xfId="0" applyFont="1" applyFill="1" applyBorder="1"/>
    <xf numFmtId="0" fontId="2" fillId="4" borderId="7" xfId="0" applyFont="1" applyFill="1" applyBorder="1"/>
    <xf numFmtId="0" fontId="3" fillId="4" borderId="10" xfId="0" applyFont="1" applyFill="1" applyBorder="1" applyAlignment="1">
      <alignment horizontal="center"/>
    </xf>
    <xf numFmtId="0" fontId="3" fillId="4" borderId="10" xfId="0" applyFont="1" applyFill="1" applyBorder="1" applyAlignment="1">
      <alignment horizontal="left"/>
    </xf>
    <xf numFmtId="0" fontId="3" fillId="4" borderId="7" xfId="0" applyFont="1" applyFill="1" applyBorder="1" applyAlignment="1">
      <alignment horizontal="left"/>
    </xf>
    <xf numFmtId="0" fontId="2" fillId="4" borderId="5" xfId="0" applyFont="1" applyFill="1" applyBorder="1"/>
    <xf numFmtId="166" fontId="2" fillId="4" borderId="11" xfId="3" applyNumberFormat="1" applyFont="1" applyFill="1" applyBorder="1" applyAlignment="1">
      <alignment horizontal="center"/>
    </xf>
    <xf numFmtId="0" fontId="2" fillId="4" borderId="5" xfId="6" applyFont="1" applyFill="1" applyBorder="1"/>
    <xf numFmtId="0" fontId="2" fillId="4" borderId="0" xfId="0" applyFont="1" applyFill="1" applyBorder="1"/>
    <xf numFmtId="37" fontId="2" fillId="4" borderId="11" xfId="0" applyNumberFormat="1" applyFont="1" applyFill="1" applyBorder="1"/>
    <xf numFmtId="0" fontId="14" fillId="4" borderId="5" xfId="0" applyFont="1" applyFill="1" applyBorder="1"/>
    <xf numFmtId="0" fontId="3" fillId="4" borderId="0" xfId="0" applyFont="1" applyFill="1" applyBorder="1" applyAlignment="1">
      <alignment horizontal="center"/>
    </xf>
    <xf numFmtId="0" fontId="3" fillId="4" borderId="0" xfId="0" applyFont="1" applyFill="1" applyBorder="1" applyAlignment="1">
      <alignment horizontal="left"/>
    </xf>
    <xf numFmtId="0" fontId="3" fillId="4" borderId="11" xfId="0" applyFont="1" applyFill="1" applyBorder="1" applyAlignment="1">
      <alignment horizontal="left"/>
    </xf>
    <xf numFmtId="0" fontId="3" fillId="4" borderId="11" xfId="0" applyFont="1" applyFill="1" applyBorder="1" applyAlignment="1"/>
    <xf numFmtId="175" fontId="57" fillId="4" borderId="0" xfId="0" applyNumberFormat="1" applyFont="1" applyFill="1" applyBorder="1" applyAlignment="1"/>
    <xf numFmtId="166" fontId="3" fillId="4" borderId="1" xfId="0" applyNumberFormat="1" applyFont="1" applyFill="1" applyBorder="1" applyAlignment="1">
      <alignment horizontal="center"/>
    </xf>
    <xf numFmtId="166" fontId="3" fillId="4" borderId="3" xfId="0" applyNumberFormat="1" applyFont="1" applyFill="1" applyBorder="1" applyAlignment="1">
      <alignment horizontal="center"/>
    </xf>
    <xf numFmtId="166" fontId="3" fillId="4" borderId="3" xfId="3" applyNumberFormat="1" applyFont="1" applyFill="1" applyBorder="1" applyAlignment="1">
      <alignment horizontal="center"/>
    </xf>
    <xf numFmtId="166" fontId="3" fillId="4" borderId="4" xfId="0" applyNumberFormat="1" applyFont="1" applyFill="1" applyBorder="1" applyAlignment="1">
      <alignment horizontal="center"/>
    </xf>
    <xf numFmtId="0" fontId="2" fillId="4" borderId="11" xfId="0" applyFont="1" applyFill="1" applyBorder="1" applyAlignment="1"/>
    <xf numFmtId="183" fontId="2" fillId="4" borderId="11" xfId="1" applyNumberFormat="1" applyFont="1" applyFill="1" applyBorder="1" applyAlignment="1">
      <alignment horizontal="center"/>
    </xf>
    <xf numFmtId="0" fontId="3" fillId="4" borderId="9" xfId="6" applyFont="1" applyFill="1" applyBorder="1"/>
    <xf numFmtId="9" fontId="3" fillId="4" borderId="10" xfId="3" applyFont="1" applyFill="1" applyBorder="1"/>
    <xf numFmtId="37" fontId="3" fillId="4" borderId="7" xfId="0" applyNumberFormat="1" applyFont="1" applyFill="1" applyBorder="1"/>
    <xf numFmtId="166" fontId="3" fillId="4" borderId="6" xfId="3" applyNumberFormat="1" applyFont="1" applyFill="1" applyBorder="1" applyAlignment="1">
      <alignment horizontal="center"/>
    </xf>
    <xf numFmtId="5" fontId="2" fillId="0" borderId="9" xfId="2" applyNumberFormat="1" applyFont="1" applyFill="1" applyBorder="1" applyAlignment="1">
      <alignment horizontal="center"/>
    </xf>
    <xf numFmtId="5" fontId="2" fillId="0" borderId="10" xfId="2" applyNumberFormat="1" applyFont="1" applyFill="1" applyBorder="1" applyAlignment="1">
      <alignment horizontal="center"/>
    </xf>
    <xf numFmtId="5" fontId="2" fillId="0" borderId="0" xfId="2" applyNumberFormat="1" applyFont="1" applyFill="1" applyBorder="1" applyAlignment="1">
      <alignment horizontal="center"/>
    </xf>
    <xf numFmtId="5" fontId="2" fillId="0" borderId="7" xfId="2" applyNumberFormat="1" applyFont="1" applyFill="1" applyBorder="1" applyAlignment="1">
      <alignment horizontal="center"/>
    </xf>
    <xf numFmtId="0" fontId="55" fillId="4" borderId="5" xfId="6" applyFont="1" applyFill="1" applyBorder="1"/>
    <xf numFmtId="37" fontId="55" fillId="4" borderId="11" xfId="0" applyNumberFormat="1" applyFont="1" applyFill="1" applyBorder="1"/>
    <xf numFmtId="0" fontId="3" fillId="4" borderId="5" xfId="0" applyFont="1" applyFill="1" applyBorder="1" applyAlignment="1">
      <alignment horizontal="center"/>
    </xf>
    <xf numFmtId="166" fontId="3" fillId="4" borderId="8" xfId="3" applyNumberFormat="1" applyFont="1" applyFill="1" applyBorder="1" applyAlignment="1">
      <alignment horizontal="center"/>
    </xf>
    <xf numFmtId="5" fontId="2" fillId="0" borderId="5" xfId="2" applyNumberFormat="1" applyFont="1" applyFill="1" applyBorder="1" applyAlignment="1">
      <alignment horizontal="center"/>
    </xf>
    <xf numFmtId="5" fontId="2" fillId="0" borderId="11" xfId="2" applyNumberFormat="1" applyFont="1" applyFill="1" applyBorder="1" applyAlignment="1">
      <alignment horizontal="center"/>
    </xf>
    <xf numFmtId="169" fontId="55" fillId="4" borderId="11" xfId="1" applyNumberFormat="1" applyFont="1" applyFill="1" applyBorder="1"/>
    <xf numFmtId="5" fontId="3" fillId="0" borderId="2" xfId="2" applyNumberFormat="1" applyFont="1" applyFill="1" applyBorder="1" applyAlignment="1">
      <alignment horizontal="center"/>
    </xf>
    <xf numFmtId="10" fontId="18" fillId="5" borderId="11" xfId="3" applyNumberFormat="1" applyFont="1" applyFill="1" applyBorder="1" applyAlignment="1">
      <alignment horizontal="center"/>
    </xf>
    <xf numFmtId="171" fontId="55" fillId="4" borderId="11" xfId="0" applyNumberFormat="1" applyFont="1" applyFill="1" applyBorder="1"/>
    <xf numFmtId="166" fontId="3" fillId="4" borderId="23" xfId="3" applyNumberFormat="1" applyFont="1" applyFill="1" applyBorder="1" applyAlignment="1">
      <alignment horizontal="center"/>
    </xf>
    <xf numFmtId="5" fontId="2" fillId="0" borderId="24" xfId="2" applyNumberFormat="1" applyFont="1" applyFill="1" applyBorder="1" applyAlignment="1">
      <alignment horizontal="center"/>
    </xf>
    <xf numFmtId="5" fontId="2" fillId="0" borderId="25" xfId="2" applyNumberFormat="1" applyFont="1" applyFill="1" applyBorder="1" applyAlignment="1">
      <alignment horizontal="center"/>
    </xf>
    <xf numFmtId="5" fontId="2" fillId="0" borderId="26" xfId="2" applyNumberFormat="1" applyFont="1" applyFill="1" applyBorder="1" applyAlignment="1">
      <alignment horizontal="center"/>
    </xf>
    <xf numFmtId="10" fontId="18" fillId="5" borderId="26" xfId="3" applyNumberFormat="1" applyFont="1" applyFill="1" applyBorder="1" applyAlignment="1">
      <alignment horizontal="center"/>
    </xf>
    <xf numFmtId="0" fontId="3" fillId="4" borderId="1" xfId="6" applyFont="1" applyFill="1" applyBorder="1"/>
    <xf numFmtId="0" fontId="3" fillId="4" borderId="3" xfId="0" applyFont="1" applyFill="1" applyBorder="1"/>
    <xf numFmtId="186" fontId="3" fillId="4" borderId="4" xfId="1" applyNumberFormat="1" applyFont="1" applyFill="1" applyBorder="1"/>
    <xf numFmtId="0" fontId="2" fillId="4" borderId="24" xfId="0" applyFont="1" applyFill="1" applyBorder="1"/>
    <xf numFmtId="0" fontId="3" fillId="4" borderId="25" xfId="0" applyFont="1" applyFill="1" applyBorder="1" applyAlignment="1">
      <alignment horizontal="center"/>
    </xf>
    <xf numFmtId="0" fontId="35" fillId="4" borderId="25" xfId="0" applyFont="1" applyFill="1" applyBorder="1" applyAlignment="1">
      <alignment horizontal="center"/>
    </xf>
    <xf numFmtId="0" fontId="3" fillId="4" borderId="26" xfId="0" applyFont="1" applyFill="1" applyBorder="1" applyAlignment="1">
      <alignment horizontal="center"/>
    </xf>
    <xf numFmtId="0" fontId="6" fillId="4" borderId="7" xfId="0" applyFont="1" applyFill="1" applyBorder="1"/>
    <xf numFmtId="0" fontId="2" fillId="4" borderId="5" xfId="0" applyFont="1" applyFill="1" applyBorder="1" applyAlignment="1">
      <alignment horizontal="left"/>
    </xf>
    <xf numFmtId="0" fontId="6" fillId="4" borderId="11" xfId="0" applyFont="1" applyFill="1" applyBorder="1"/>
    <xf numFmtId="0" fontId="2" fillId="4" borderId="11" xfId="0" applyFont="1" applyFill="1" applyBorder="1"/>
    <xf numFmtId="0" fontId="2" fillId="4" borderId="11" xfId="0" applyFont="1" applyFill="1" applyBorder="1" applyAlignment="1">
      <alignment horizontal="center"/>
    </xf>
    <xf numFmtId="5" fontId="2" fillId="0" borderId="0" xfId="0" applyNumberFormat="1" applyFont="1"/>
    <xf numFmtId="0" fontId="2" fillId="4" borderId="0" xfId="0" applyFont="1" applyFill="1" applyBorder="1" applyAlignment="1">
      <alignment horizontal="right"/>
    </xf>
    <xf numFmtId="0" fontId="2" fillId="4" borderId="0" xfId="0" applyFont="1" applyFill="1" applyBorder="1" applyAlignment="1">
      <alignment horizontal="center"/>
    </xf>
    <xf numFmtId="0" fontId="54" fillId="4" borderId="9" xfId="0" applyFont="1" applyFill="1" applyBorder="1"/>
    <xf numFmtId="37" fontId="55" fillId="4" borderId="10" xfId="1" applyNumberFormat="1" applyFont="1" applyFill="1" applyBorder="1"/>
    <xf numFmtId="9" fontId="2" fillId="4" borderId="10" xfId="1" applyNumberFormat="1" applyFont="1" applyFill="1" applyBorder="1"/>
    <xf numFmtId="10" fontId="2" fillId="4" borderId="10" xfId="0" applyNumberFormat="1" applyFont="1" applyFill="1" applyBorder="1"/>
    <xf numFmtId="10" fontId="2" fillId="4" borderId="7" xfId="0" applyNumberFormat="1" applyFont="1" applyFill="1" applyBorder="1"/>
    <xf numFmtId="0" fontId="54" fillId="4" borderId="24" xfId="0" applyFont="1" applyFill="1" applyBorder="1"/>
    <xf numFmtId="37" fontId="55" fillId="4" borderId="25" xfId="1" applyNumberFormat="1" applyFont="1" applyFill="1" applyBorder="1"/>
    <xf numFmtId="9" fontId="2" fillId="4" borderId="25" xfId="0" applyNumberFormat="1" applyFont="1" applyFill="1" applyBorder="1"/>
    <xf numFmtId="10" fontId="22" fillId="4" borderId="25" xfId="0" applyNumberFormat="1" applyFont="1" applyFill="1" applyBorder="1" applyAlignment="1">
      <alignment horizontal="right"/>
    </xf>
    <xf numFmtId="10" fontId="2" fillId="4" borderId="26" xfId="0" applyNumberFormat="1" applyFont="1" applyFill="1" applyBorder="1"/>
    <xf numFmtId="0" fontId="3" fillId="4" borderId="5" xfId="0" applyFont="1" applyFill="1" applyBorder="1"/>
    <xf numFmtId="37" fontId="3" fillId="4" borderId="0" xfId="1" applyNumberFormat="1" applyFont="1" applyFill="1" applyBorder="1"/>
    <xf numFmtId="9" fontId="3" fillId="4" borderId="0" xfId="0" applyNumberFormat="1" applyFont="1" applyFill="1" applyBorder="1"/>
    <xf numFmtId="10" fontId="17" fillId="4" borderId="0" xfId="0" applyNumberFormat="1" applyFont="1" applyFill="1" applyBorder="1"/>
    <xf numFmtId="10" fontId="3" fillId="4" borderId="11" xfId="0" applyNumberFormat="1" applyFont="1" applyFill="1" applyBorder="1"/>
    <xf numFmtId="166" fontId="2" fillId="4" borderId="0" xfId="0" applyNumberFormat="1" applyFont="1" applyFill="1" applyBorder="1"/>
    <xf numFmtId="10" fontId="22" fillId="4" borderId="0" xfId="0" applyNumberFormat="1" applyFont="1" applyFill="1" applyBorder="1"/>
    <xf numFmtId="0" fontId="6" fillId="4" borderId="0" xfId="0" applyFont="1" applyFill="1" applyBorder="1"/>
    <xf numFmtId="0" fontId="2" fillId="4" borderId="5" xfId="0" applyFont="1" applyFill="1" applyBorder="1" applyAlignment="1">
      <alignment horizontal="left" indent="1"/>
    </xf>
    <xf numFmtId="2" fontId="2" fillId="4" borderId="0" xfId="0" applyNumberFormat="1" applyFont="1" applyFill="1" applyBorder="1"/>
    <xf numFmtId="43" fontId="22" fillId="4" borderId="0" xfId="1" applyFont="1" applyFill="1" applyBorder="1"/>
    <xf numFmtId="0" fontId="2" fillId="4" borderId="5" xfId="0" quotePrefix="1" applyFont="1" applyFill="1" applyBorder="1"/>
    <xf numFmtId="10" fontId="2" fillId="4" borderId="0" xfId="0" applyNumberFormat="1" applyFont="1" applyFill="1" applyBorder="1"/>
    <xf numFmtId="166" fontId="6" fillId="4" borderId="0" xfId="0" applyNumberFormat="1" applyFont="1" applyFill="1" applyBorder="1"/>
    <xf numFmtId="10" fontId="17" fillId="4" borderId="10" xfId="3" applyNumberFormat="1" applyFont="1" applyFill="1" applyBorder="1"/>
    <xf numFmtId="0" fontId="2" fillId="0" borderId="0" xfId="0" applyFont="1" applyFill="1" applyBorder="1" applyAlignment="1">
      <alignment horizontal="right"/>
    </xf>
    <xf numFmtId="0" fontId="2" fillId="4" borderId="24" xfId="0" quotePrefix="1" applyFont="1" applyFill="1" applyBorder="1" applyAlignment="1">
      <alignment horizontal="left" indent="1"/>
    </xf>
    <xf numFmtId="10" fontId="22" fillId="4" borderId="25" xfId="3" applyNumberFormat="1" applyFont="1" applyFill="1" applyBorder="1"/>
    <xf numFmtId="0" fontId="3" fillId="0" borderId="0" xfId="0" applyFont="1" applyFill="1" applyBorder="1" applyAlignment="1">
      <alignment wrapText="1"/>
    </xf>
    <xf numFmtId="0" fontId="13" fillId="0" borderId="0" xfId="0" applyFont="1" applyFill="1" applyBorder="1" applyAlignment="1" applyProtection="1">
      <alignment horizontal="right"/>
    </xf>
    <xf numFmtId="10" fontId="3" fillId="4" borderId="0" xfId="3" applyNumberFormat="1" applyFont="1" applyFill="1" applyBorder="1"/>
    <xf numFmtId="0" fontId="34" fillId="0" borderId="0" xfId="0" applyFont="1" applyFill="1" applyBorder="1" applyAlignment="1" applyProtection="1">
      <alignment horizontal="right"/>
    </xf>
    <xf numFmtId="2" fontId="13" fillId="0" borderId="0" xfId="0" applyNumberFormat="1" applyFont="1" applyFill="1" applyBorder="1" applyAlignment="1" applyProtection="1">
      <alignment horizontal="right"/>
    </xf>
    <xf numFmtId="0" fontId="2" fillId="0" borderId="0" xfId="0" applyNumberFormat="1" applyFont="1" applyBorder="1"/>
    <xf numFmtId="0" fontId="4" fillId="2" borderId="0" xfId="0" applyNumberFormat="1" applyFont="1" applyFill="1" applyBorder="1" applyAlignment="1">
      <alignment horizontal="left"/>
    </xf>
    <xf numFmtId="0" fontId="3" fillId="2" borderId="0" xfId="0" applyNumberFormat="1" applyFont="1" applyFill="1" applyBorder="1" applyAlignment="1">
      <alignment horizontal="left" vertical="center"/>
    </xf>
    <xf numFmtId="5" fontId="22" fillId="2" borderId="0" xfId="0" applyNumberFormat="1" applyFont="1" applyFill="1" applyBorder="1" applyAlignment="1">
      <alignment horizontal="center"/>
    </xf>
    <xf numFmtId="0" fontId="3" fillId="3" borderId="1" xfId="0" applyNumberFormat="1" applyFont="1" applyFill="1" applyBorder="1"/>
    <xf numFmtId="0" fontId="2" fillId="2" borderId="1" xfId="0" applyNumberFormat="1" applyFont="1" applyFill="1" applyBorder="1"/>
    <xf numFmtId="0" fontId="3" fillId="2" borderId="3" xfId="0" applyNumberFormat="1" applyFont="1" applyFill="1" applyBorder="1" applyAlignment="1">
      <alignment horizontal="center"/>
    </xf>
    <xf numFmtId="0" fontId="3" fillId="2" borderId="4" xfId="0" applyNumberFormat="1" applyFont="1" applyFill="1" applyBorder="1" applyAlignment="1">
      <alignment horizontal="center"/>
    </xf>
    <xf numFmtId="0" fontId="55" fillId="2" borderId="5" xfId="0" applyNumberFormat="1" applyFont="1" applyFill="1" applyBorder="1"/>
    <xf numFmtId="5" fontId="55" fillId="2" borderId="0" xfId="0" applyNumberFormat="1" applyFont="1" applyFill="1" applyBorder="1" applyAlignment="1">
      <alignment horizontal="center"/>
    </xf>
    <xf numFmtId="9" fontId="22" fillId="2" borderId="11" xfId="3" applyFont="1" applyFill="1" applyBorder="1" applyAlignment="1">
      <alignment horizontal="center"/>
    </xf>
    <xf numFmtId="0" fontId="2" fillId="2" borderId="5" xfId="0" applyNumberFormat="1" applyFont="1" applyFill="1" applyBorder="1"/>
    <xf numFmtId="5" fontId="2" fillId="2" borderId="0" xfId="0" applyNumberFormat="1" applyFont="1" applyFill="1" applyBorder="1" applyAlignment="1">
      <alignment horizontal="center"/>
    </xf>
    <xf numFmtId="9" fontId="2" fillId="2" borderId="11" xfId="3" applyFont="1" applyFill="1" applyBorder="1" applyAlignment="1">
      <alignment horizontal="center"/>
    </xf>
    <xf numFmtId="0" fontId="3" fillId="4" borderId="1" xfId="0" applyNumberFormat="1" applyFont="1" applyFill="1" applyBorder="1"/>
    <xf numFmtId="5" fontId="3" fillId="4" borderId="3" xfId="0" applyNumberFormat="1" applyFont="1" applyFill="1" applyBorder="1" applyAlignment="1">
      <alignment horizontal="center"/>
    </xf>
    <xf numFmtId="0" fontId="2" fillId="4" borderId="4" xfId="0" applyNumberFormat="1" applyFont="1" applyFill="1" applyBorder="1" applyAlignment="1">
      <alignment horizontal="center"/>
    </xf>
    <xf numFmtId="7" fontId="2" fillId="2" borderId="0" xfId="0" applyNumberFormat="1" applyFont="1" applyFill="1" applyBorder="1"/>
    <xf numFmtId="0" fontId="3" fillId="3" borderId="9" xfId="0" applyNumberFormat="1" applyFont="1" applyFill="1" applyBorder="1"/>
    <xf numFmtId="0" fontId="3" fillId="3" borderId="7" xfId="0" applyNumberFormat="1" applyFont="1" applyFill="1" applyBorder="1" applyAlignment="1">
      <alignment horizontal="right"/>
    </xf>
    <xf numFmtId="0" fontId="55" fillId="2" borderId="9" xfId="0" applyNumberFormat="1" applyFont="1" applyFill="1" applyBorder="1"/>
    <xf numFmtId="43" fontId="55" fillId="2" borderId="7" xfId="0" applyNumberFormat="1" applyFont="1" applyFill="1" applyBorder="1"/>
    <xf numFmtId="183" fontId="2" fillId="2" borderId="11" xfId="0" applyNumberFormat="1" applyFont="1" applyFill="1" applyBorder="1"/>
    <xf numFmtId="0" fontId="58" fillId="5" borderId="5" xfId="4" applyNumberFormat="1" applyFont="1" applyFill="1" applyBorder="1" applyAlignment="1">
      <alignment horizontal="left" indent="1"/>
    </xf>
    <xf numFmtId="183" fontId="58" fillId="5" borderId="11" xfId="4" applyNumberFormat="1" applyFont="1" applyFill="1" applyBorder="1" applyAlignment="1"/>
    <xf numFmtId="0" fontId="58" fillId="5" borderId="24" xfId="4" applyNumberFormat="1" applyFont="1" applyFill="1" applyBorder="1" applyAlignment="1">
      <alignment horizontal="left" indent="1"/>
    </xf>
    <xf numFmtId="183" fontId="58" fillId="5" borderId="26" xfId="4" applyNumberFormat="1" applyFont="1" applyFill="1" applyBorder="1" applyAlignment="1"/>
    <xf numFmtId="5" fontId="3" fillId="4" borderId="4" xfId="0" applyNumberFormat="1" applyFont="1" applyFill="1" applyBorder="1"/>
    <xf numFmtId="0" fontId="2" fillId="2" borderId="9" xfId="0" applyNumberFormat="1" applyFont="1" applyFill="1" applyBorder="1"/>
    <xf numFmtId="171" fontId="2" fillId="2" borderId="7" xfId="0" applyNumberFormat="1" applyFont="1" applyFill="1" applyBorder="1"/>
    <xf numFmtId="171" fontId="2" fillId="2" borderId="11" xfId="0" applyNumberFormat="1" applyFont="1" applyFill="1" applyBorder="1"/>
    <xf numFmtId="0" fontId="2" fillId="2" borderId="24" xfId="0" applyNumberFormat="1" applyFont="1" applyFill="1" applyBorder="1"/>
    <xf numFmtId="171" fontId="2" fillId="2" borderId="26" xfId="0" applyNumberFormat="1" applyFont="1" applyFill="1" applyBorder="1"/>
    <xf numFmtId="7" fontId="22" fillId="0" borderId="7" xfId="0" applyNumberFormat="1" applyFont="1" applyFill="1" applyBorder="1"/>
    <xf numFmtId="5" fontId="2" fillId="2" borderId="26" xfId="0" applyNumberFormat="1" applyFont="1" applyFill="1" applyBorder="1"/>
    <xf numFmtId="0" fontId="3" fillId="4" borderId="24" xfId="0" applyNumberFormat="1" applyFont="1" applyFill="1" applyBorder="1"/>
    <xf numFmtId="166" fontId="3" fillId="4" borderId="26" xfId="3" applyNumberFormat="1" applyFont="1" applyFill="1" applyBorder="1"/>
    <xf numFmtId="178" fontId="2" fillId="2" borderId="0" xfId="0" applyNumberFormat="1" applyFont="1" applyFill="1" applyBorder="1"/>
    <xf numFmtId="1" fontId="0" fillId="0" borderId="0" xfId="0" applyNumberFormat="1"/>
    <xf numFmtId="166" fontId="0" fillId="0" borderId="0" xfId="0" applyNumberFormat="1"/>
    <xf numFmtId="0" fontId="3" fillId="2" borderId="6" xfId="0" applyFont="1" applyFill="1" applyBorder="1" applyAlignment="1">
      <alignment horizontal="right"/>
    </xf>
    <xf numFmtId="166" fontId="6" fillId="0" borderId="0" xfId="3" applyNumberFormat="1" applyFont="1" applyAlignment="1">
      <alignment horizontal="right"/>
    </xf>
    <xf numFmtId="39" fontId="27" fillId="0" borderId="0" xfId="0" applyNumberFormat="1" applyFont="1" applyFill="1" applyBorder="1" applyAlignment="1"/>
    <xf numFmtId="9" fontId="10" fillId="0" borderId="0" xfId="3" applyFont="1" applyFill="1" applyBorder="1" applyAlignment="1">
      <alignment horizontal="center"/>
    </xf>
    <xf numFmtId="166" fontId="0" fillId="0" borderId="0" xfId="3" applyNumberFormat="1" applyFont="1"/>
    <xf numFmtId="2" fontId="0" fillId="0" borderId="0" xfId="0" applyNumberFormat="1"/>
    <xf numFmtId="9" fontId="0" fillId="0" borderId="0" xfId="3" applyFont="1"/>
    <xf numFmtId="37" fontId="0" fillId="0" borderId="0" xfId="0" applyNumberFormat="1"/>
    <xf numFmtId="9" fontId="2" fillId="0" borderId="0" xfId="3" applyFont="1" applyFill="1"/>
    <xf numFmtId="166" fontId="3" fillId="0" borderId="0" xfId="3" applyNumberFormat="1" applyFont="1" applyFill="1" applyBorder="1" applyAlignment="1">
      <alignment horizontal="center"/>
    </xf>
    <xf numFmtId="0" fontId="59" fillId="0" borderId="0" xfId="0" applyNumberFormat="1" applyFont="1" applyFill="1" applyBorder="1" applyAlignment="1">
      <alignment horizontal="center"/>
    </xf>
    <xf numFmtId="166" fontId="67" fillId="2" borderId="0" xfId="3" applyNumberFormat="1" applyFont="1" applyFill="1" applyBorder="1" applyAlignment="1">
      <alignment horizontal="right"/>
    </xf>
    <xf numFmtId="171" fontId="0" fillId="0" borderId="0" xfId="0" applyNumberFormat="1" applyFont="1" applyBorder="1" applyAlignment="1"/>
    <xf numFmtId="170" fontId="0" fillId="0" borderId="0" xfId="0" applyNumberFormat="1" applyFont="1" applyBorder="1" applyAlignment="1"/>
    <xf numFmtId="172" fontId="0" fillId="0" borderId="0" xfId="0" applyNumberFormat="1" applyFont="1" applyFill="1" applyBorder="1" applyAlignment="1"/>
    <xf numFmtId="172" fontId="0" fillId="0" borderId="25" xfId="0" applyNumberFormat="1" applyFont="1" applyFill="1" applyBorder="1" applyAlignment="1"/>
    <xf numFmtId="172" fontId="0" fillId="0" borderId="0" xfId="1" applyNumberFormat="1" applyFont="1" applyFill="1" applyBorder="1" applyAlignment="1"/>
    <xf numFmtId="49" fontId="0" fillId="0" borderId="0" xfId="0" applyNumberFormat="1"/>
    <xf numFmtId="171" fontId="0" fillId="0" borderId="0" xfId="0" applyNumberFormat="1" applyFont="1" applyFill="1" applyBorder="1" applyAlignment="1"/>
    <xf numFmtId="9" fontId="59" fillId="0" borderId="0" xfId="3" applyFont="1" applyFill="1" applyBorder="1" applyAlignment="1">
      <alignment horizontal="center"/>
    </xf>
    <xf numFmtId="0" fontId="18" fillId="5" borderId="8" xfId="0" applyFont="1" applyFill="1" applyBorder="1" applyAlignment="1">
      <alignment horizontal="left" indent="2"/>
    </xf>
    <xf numFmtId="171" fontId="27" fillId="0" borderId="0" xfId="0" applyNumberFormat="1" applyFont="1" applyFill="1" applyBorder="1" applyAlignment="1"/>
    <xf numFmtId="0" fontId="10" fillId="2" borderId="0" xfId="0" applyFont="1" applyFill="1" applyBorder="1" applyAlignment="1">
      <alignment horizontal="center"/>
    </xf>
    <xf numFmtId="43" fontId="3" fillId="0" borderId="0" xfId="0" applyNumberFormat="1" applyFont="1" applyFill="1"/>
    <xf numFmtId="170" fontId="30" fillId="0" borderId="0" xfId="0" applyNumberFormat="1" applyFont="1" applyBorder="1" applyAlignment="1"/>
    <xf numFmtId="171" fontId="43" fillId="4" borderId="8" xfId="0" applyNumberFormat="1" applyFont="1" applyFill="1" applyBorder="1" applyAlignment="1"/>
    <xf numFmtId="172" fontId="43" fillId="0" borderId="0" xfId="0" applyNumberFormat="1" applyFont="1" applyFill="1" applyBorder="1" applyAlignment="1"/>
    <xf numFmtId="39" fontId="20" fillId="0" borderId="0" xfId="1" applyNumberFormat="1" applyFont="1" applyFill="1" applyBorder="1" applyAlignment="1"/>
    <xf numFmtId="167" fontId="3" fillId="0" borderId="0" xfId="0" applyNumberFormat="1" applyFont="1" applyFill="1" applyBorder="1" applyAlignment="1">
      <alignment horizontal="center"/>
    </xf>
    <xf numFmtId="10" fontId="33" fillId="2" borderId="0" xfId="3" applyNumberFormat="1" applyFont="1" applyFill="1" applyBorder="1" applyAlignment="1">
      <alignment horizontal="right"/>
    </xf>
    <xf numFmtId="9" fontId="43" fillId="2" borderId="0" xfId="3" applyFont="1" applyFill="1" applyBorder="1" applyAlignment="1">
      <alignment horizontal="center"/>
    </xf>
    <xf numFmtId="2" fontId="43" fillId="0" borderId="0" xfId="0" applyNumberFormat="1" applyFont="1" applyFill="1" applyBorder="1" applyAlignment="1">
      <alignment horizontal="center"/>
    </xf>
    <xf numFmtId="0" fontId="0" fillId="2" borderId="23" xfId="0" applyFill="1" applyBorder="1"/>
    <xf numFmtId="0" fontId="0" fillId="2" borderId="0" xfId="5" applyFont="1" applyFill="1" applyAlignment="1">
      <alignment horizontal="right"/>
    </xf>
    <xf numFmtId="0" fontId="0" fillId="0" borderId="0" xfId="0" applyFont="1"/>
    <xf numFmtId="9" fontId="3" fillId="0" borderId="0" xfId="0" applyNumberFormat="1" applyFont="1"/>
    <xf numFmtId="176" fontId="18" fillId="0" borderId="0" xfId="1" applyNumberFormat="1" applyFont="1" applyFill="1" applyBorder="1" applyAlignment="1">
      <alignment horizontal="right"/>
    </xf>
    <xf numFmtId="39" fontId="17" fillId="0" borderId="0" xfId="0" applyNumberFormat="1" applyFont="1" applyFill="1" applyBorder="1" applyAlignment="1"/>
    <xf numFmtId="166" fontId="18" fillId="7" borderId="0" xfId="3" applyNumberFormat="1" applyFont="1" applyFill="1" applyBorder="1" applyAlignment="1"/>
    <xf numFmtId="10" fontId="43" fillId="0" borderId="0" xfId="3" applyNumberFormat="1" applyFont="1" applyFill="1" applyBorder="1" applyAlignment="1">
      <alignment horizontal="center"/>
    </xf>
    <xf numFmtId="1" fontId="2" fillId="2" borderId="0" xfId="0" applyNumberFormat="1" applyFont="1" applyFill="1" applyBorder="1"/>
    <xf numFmtId="171" fontId="43" fillId="0" borderId="38" xfId="0" applyNumberFormat="1" applyFont="1" applyFill="1" applyBorder="1" applyAlignment="1"/>
    <xf numFmtId="171" fontId="30" fillId="0" borderId="5" xfId="0" applyNumberFormat="1" applyFont="1" applyFill="1" applyBorder="1" applyAlignment="1"/>
    <xf numFmtId="0" fontId="3" fillId="4" borderId="25" xfId="0" applyFont="1" applyFill="1" applyBorder="1" applyAlignment="1">
      <alignment horizontal="center"/>
    </xf>
    <xf numFmtId="166" fontId="3" fillId="0" borderId="0" xfId="3" applyNumberFormat="1" applyFont="1" applyFill="1" applyBorder="1"/>
    <xf numFmtId="2" fontId="3" fillId="0" borderId="0" xfId="0" applyNumberFormat="1" applyFont="1" applyFill="1"/>
    <xf numFmtId="166" fontId="3" fillId="0" borderId="0" xfId="3" applyNumberFormat="1" applyFont="1" applyFill="1"/>
    <xf numFmtId="175" fontId="0" fillId="0" borderId="0" xfId="0" applyNumberFormat="1" applyFont="1" applyAlignment="1">
      <alignment horizontal="right"/>
    </xf>
    <xf numFmtId="175" fontId="2" fillId="0" borderId="0" xfId="0" applyNumberFormat="1" applyFont="1"/>
    <xf numFmtId="0" fontId="59" fillId="2" borderId="0" xfId="0" applyNumberFormat="1" applyFont="1" applyFill="1" applyBorder="1"/>
    <xf numFmtId="0" fontId="59" fillId="2" borderId="0" xfId="0" applyNumberFormat="1" applyFont="1" applyFill="1" applyBorder="1" applyAlignment="1">
      <alignment horizontal="right"/>
    </xf>
    <xf numFmtId="10" fontId="59" fillId="2" borderId="0" xfId="3" applyNumberFormat="1" applyFont="1" applyFill="1" applyBorder="1"/>
    <xf numFmtId="2" fontId="59" fillId="0" borderId="0" xfId="0" applyNumberFormat="1" applyFont="1" applyFill="1" applyBorder="1" applyAlignment="1">
      <alignment horizontal="center"/>
    </xf>
    <xf numFmtId="169" fontId="0" fillId="0" borderId="0" xfId="0" applyNumberFormat="1"/>
    <xf numFmtId="172" fontId="6" fillId="0" borderId="0" xfId="1" applyNumberFormat="1" applyFont="1" applyAlignment="1">
      <alignment horizontal="right"/>
    </xf>
    <xf numFmtId="172" fontId="0" fillId="0" borderId="0" xfId="0" applyNumberFormat="1"/>
    <xf numFmtId="43" fontId="7" fillId="0" borderId="0" xfId="0" applyNumberFormat="1" applyFont="1"/>
    <xf numFmtId="170" fontId="16" fillId="0" borderId="0" xfId="0" applyNumberFormat="1" applyFont="1" applyFill="1" applyBorder="1" applyAlignment="1">
      <alignment horizontal="center"/>
    </xf>
    <xf numFmtId="181" fontId="3" fillId="0" borderId="25" xfId="0" applyNumberFormat="1" applyFont="1" applyFill="1" applyBorder="1" applyAlignment="1">
      <alignment horizontal="center"/>
    </xf>
    <xf numFmtId="43" fontId="18" fillId="0" borderId="0" xfId="1" applyNumberFormat="1" applyFont="1" applyBorder="1" applyAlignment="1"/>
    <xf numFmtId="167" fontId="6" fillId="0" borderId="0" xfId="3" applyNumberFormat="1" applyFont="1" applyFill="1" applyBorder="1" applyAlignment="1"/>
    <xf numFmtId="169" fontId="69" fillId="2" borderId="0" xfId="1" applyNumberFormat="1" applyFont="1" applyFill="1" applyBorder="1" applyAlignment="1" applyProtection="1">
      <alignment horizontal="right"/>
    </xf>
    <xf numFmtId="43" fontId="16" fillId="0" borderId="0" xfId="1" applyFont="1" applyFill="1" applyBorder="1" applyAlignment="1">
      <alignment horizontal="center"/>
    </xf>
    <xf numFmtId="170" fontId="24" fillId="0" borderId="0" xfId="1" applyNumberFormat="1" applyFont="1" applyFill="1" applyBorder="1" applyAlignment="1">
      <alignment horizontal="right"/>
    </xf>
    <xf numFmtId="176" fontId="68" fillId="0" borderId="0" xfId="1" applyNumberFormat="1" applyFont="1" applyFill="1" applyBorder="1" applyAlignment="1">
      <alignment horizontal="right"/>
    </xf>
    <xf numFmtId="175" fontId="24" fillId="0" borderId="0" xfId="0" applyNumberFormat="1" applyFont="1" applyFill="1" applyBorder="1" applyAlignment="1">
      <alignment horizontal="right"/>
    </xf>
    <xf numFmtId="10" fontId="59" fillId="0" borderId="0" xfId="3" applyNumberFormat="1" applyFont="1" applyFill="1" applyBorder="1" applyAlignment="1">
      <alignment horizontal="center"/>
    </xf>
    <xf numFmtId="172" fontId="7" fillId="4" borderId="8" xfId="1" applyNumberFormat="1" applyFont="1" applyFill="1" applyBorder="1" applyAlignment="1"/>
    <xf numFmtId="43" fontId="3" fillId="0" borderId="0" xfId="1" applyFont="1" applyFill="1" applyBorder="1" applyAlignment="1">
      <alignment horizontal="center"/>
    </xf>
    <xf numFmtId="181" fontId="3" fillId="0" borderId="0" xfId="0" applyNumberFormat="1" applyFont="1" applyFill="1" applyBorder="1" applyAlignment="1">
      <alignment horizontal="center"/>
    </xf>
    <xf numFmtId="180" fontId="3" fillId="0" borderId="0" xfId="1" applyNumberFormat="1" applyFont="1" applyFill="1" applyBorder="1" applyAlignment="1">
      <alignment horizontal="center"/>
    </xf>
    <xf numFmtId="176" fontId="18" fillId="13" borderId="0" xfId="1" applyNumberFormat="1" applyFont="1" applyFill="1" applyBorder="1" applyAlignment="1">
      <alignment horizontal="right"/>
    </xf>
    <xf numFmtId="170" fontId="24" fillId="13" borderId="0" xfId="1" applyNumberFormat="1" applyFont="1" applyFill="1" applyBorder="1" applyAlignment="1">
      <alignment horizontal="right"/>
    </xf>
    <xf numFmtId="176" fontId="9" fillId="13" borderId="0" xfId="1" applyNumberFormat="1" applyFont="1" applyFill="1" applyBorder="1" applyAlignment="1">
      <alignment horizontal="right"/>
    </xf>
    <xf numFmtId="170" fontId="13" fillId="13" borderId="0" xfId="0" applyNumberFormat="1" applyFont="1" applyFill="1" applyBorder="1" applyAlignment="1"/>
    <xf numFmtId="175" fontId="24" fillId="13" borderId="0" xfId="0" applyNumberFormat="1" applyFont="1" applyFill="1" applyBorder="1" applyAlignment="1">
      <alignment horizontal="right"/>
    </xf>
    <xf numFmtId="0" fontId="0" fillId="2" borderId="5" xfId="0" applyNumberFormat="1" applyFont="1" applyFill="1" applyBorder="1" applyAlignment="1">
      <alignment horizontal="left" indent="1"/>
    </xf>
    <xf numFmtId="0" fontId="10" fillId="2" borderId="0" xfId="0" applyFont="1" applyFill="1" applyBorder="1" applyAlignment="1">
      <alignment horizontal="center"/>
    </xf>
    <xf numFmtId="1"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169" fontId="17" fillId="0" borderId="0" xfId="1" applyNumberFormat="1" applyFont="1" applyFill="1" applyBorder="1" applyAlignment="1" applyProtection="1">
      <alignment horizontal="right"/>
    </xf>
    <xf numFmtId="10" fontId="47" fillId="0" borderId="0" xfId="3" applyNumberFormat="1" applyFont="1" applyFill="1" applyBorder="1" applyAlignment="1"/>
    <xf numFmtId="169" fontId="3" fillId="0" borderId="0" xfId="1" applyNumberFormat="1" applyFont="1" applyFill="1" applyBorder="1" applyAlignment="1" applyProtection="1">
      <alignment horizontal="right"/>
    </xf>
    <xf numFmtId="10" fontId="47" fillId="13" borderId="0" xfId="3" applyNumberFormat="1" applyFont="1" applyFill="1" applyBorder="1" applyAlignment="1"/>
    <xf numFmtId="9" fontId="16" fillId="2" borderId="0" xfId="0" applyNumberFormat="1" applyFont="1" applyFill="1" applyBorder="1" applyAlignment="1">
      <alignment horizontal="center"/>
    </xf>
    <xf numFmtId="166" fontId="16" fillId="0" borderId="0" xfId="3" applyNumberFormat="1" applyFont="1" applyFill="1" applyBorder="1" applyAlignment="1">
      <alignment horizontal="center"/>
    </xf>
    <xf numFmtId="9" fontId="9" fillId="2" borderId="0" xfId="3" applyFont="1" applyFill="1" applyBorder="1" applyAlignment="1">
      <alignment horizontal="right"/>
    </xf>
    <xf numFmtId="9" fontId="6" fillId="0" borderId="0" xfId="3" applyFont="1" applyAlignment="1">
      <alignment horizontal="right"/>
    </xf>
    <xf numFmtId="1" fontId="6" fillId="0" borderId="0" xfId="0" applyNumberFormat="1" applyFont="1"/>
    <xf numFmtId="39" fontId="18" fillId="0" borderId="0" xfId="1" applyNumberFormat="1" applyFont="1" applyFill="1" applyAlignment="1">
      <alignment horizontal="right"/>
    </xf>
    <xf numFmtId="39" fontId="6" fillId="0" borderId="0" xfId="1" applyNumberFormat="1" applyFont="1" applyAlignment="1">
      <alignment horizontal="right"/>
    </xf>
    <xf numFmtId="9" fontId="7" fillId="0" borderId="0" xfId="3" applyFont="1"/>
    <xf numFmtId="2" fontId="17" fillId="0" borderId="0" xfId="0" applyNumberFormat="1" applyFont="1" applyFill="1" applyBorder="1" applyAlignment="1"/>
    <xf numFmtId="166" fontId="18" fillId="0" borderId="0" xfId="1" applyNumberFormat="1" applyFont="1" applyFill="1" applyAlignment="1">
      <alignment horizontal="right"/>
    </xf>
    <xf numFmtId="43" fontId="16" fillId="0" borderId="0" xfId="0" applyNumberFormat="1" applyFont="1" applyFill="1" applyBorder="1" applyAlignment="1">
      <alignment horizontal="center"/>
    </xf>
    <xf numFmtId="9" fontId="27" fillId="0" borderId="0" xfId="3" applyFont="1" applyFill="1" applyBorder="1" applyAlignment="1"/>
    <xf numFmtId="169" fontId="16" fillId="0" borderId="0" xfId="0" applyNumberFormat="1" applyFont="1" applyFill="1" applyBorder="1" applyAlignment="1">
      <alignment horizontal="center"/>
    </xf>
    <xf numFmtId="43" fontId="2" fillId="0" borderId="0" xfId="0" applyNumberFormat="1" applyFont="1"/>
    <xf numFmtId="186" fontId="2" fillId="0" borderId="0" xfId="0" applyNumberFormat="1" applyFont="1" applyAlignment="1">
      <alignment horizontal="right"/>
    </xf>
    <xf numFmtId="9" fontId="18" fillId="0" borderId="0" xfId="3" applyFont="1" applyFill="1" applyAlignment="1">
      <alignment horizontal="right"/>
    </xf>
    <xf numFmtId="169" fontId="17" fillId="0" borderId="0" xfId="0" applyNumberFormat="1" applyFont="1" applyFill="1" applyBorder="1" applyAlignment="1"/>
    <xf numFmtId="37" fontId="3" fillId="2" borderId="23" xfId="0" applyNumberFormat="1" applyFont="1" applyFill="1" applyBorder="1" applyAlignment="1">
      <alignment horizontal="right"/>
    </xf>
    <xf numFmtId="37" fontId="3" fillId="2" borderId="7" xfId="0" applyNumberFormat="1" applyFont="1" applyFill="1" applyBorder="1" applyAlignment="1">
      <alignment horizontal="right"/>
    </xf>
    <xf numFmtId="37" fontId="3" fillId="2" borderId="6" xfId="0" applyNumberFormat="1" applyFont="1" applyFill="1" applyBorder="1" applyAlignment="1">
      <alignment horizontal="right"/>
    </xf>
    <xf numFmtId="1" fontId="3" fillId="2" borderId="23" xfId="0" applyNumberFormat="1" applyFont="1" applyFill="1" applyBorder="1" applyAlignment="1">
      <alignment horizontal="right"/>
    </xf>
    <xf numFmtId="166" fontId="7" fillId="2" borderId="9" xfId="3" applyNumberFormat="1" applyFont="1" applyFill="1" applyBorder="1" applyAlignment="1">
      <alignment horizontal="left" indent="1"/>
    </xf>
    <xf numFmtId="166" fontId="7" fillId="2" borderId="9" xfId="3" applyNumberFormat="1" applyFont="1" applyFill="1" applyBorder="1" applyAlignment="1">
      <alignment horizontal="right"/>
    </xf>
    <xf numFmtId="166" fontId="7" fillId="2" borderId="10" xfId="3" applyNumberFormat="1" applyFont="1" applyFill="1" applyBorder="1" applyAlignment="1">
      <alignment horizontal="right"/>
    </xf>
    <xf numFmtId="166" fontId="7" fillId="2" borderId="7" xfId="3" applyNumberFormat="1" applyFont="1" applyFill="1" applyBorder="1" applyAlignment="1">
      <alignment horizontal="right"/>
    </xf>
    <xf numFmtId="166" fontId="7" fillId="2" borderId="6" xfId="3" applyNumberFormat="1" applyFont="1" applyFill="1" applyBorder="1" applyAlignment="1">
      <alignment horizontal="right"/>
    </xf>
    <xf numFmtId="166" fontId="7" fillId="2" borderId="54" xfId="3" applyNumberFormat="1" applyFont="1" applyFill="1" applyBorder="1" applyAlignment="1">
      <alignment horizontal="right"/>
    </xf>
    <xf numFmtId="0" fontId="0" fillId="2" borderId="24" xfId="0" applyFont="1" applyFill="1" applyBorder="1"/>
    <xf numFmtId="43" fontId="3" fillId="2" borderId="55" xfId="0" applyNumberFormat="1" applyFont="1" applyFill="1" applyBorder="1" applyAlignment="1">
      <alignment horizontal="right"/>
    </xf>
    <xf numFmtId="0" fontId="0" fillId="4" borderId="5" xfId="0" applyFont="1" applyFill="1" applyBorder="1"/>
    <xf numFmtId="0" fontId="0" fillId="4" borderId="5" xfId="6" applyFont="1" applyFill="1" applyBorder="1"/>
    <xf numFmtId="0" fontId="53" fillId="2" borderId="0" xfId="0" applyNumberFormat="1" applyFont="1" applyFill="1" applyBorder="1"/>
    <xf numFmtId="171" fontId="3" fillId="0" borderId="0" xfId="0" applyNumberFormat="1" applyFont="1" applyFill="1" applyBorder="1" applyAlignment="1">
      <alignment horizontal="right"/>
    </xf>
    <xf numFmtId="9" fontId="6" fillId="0" borderId="0" xfId="3" applyFont="1"/>
    <xf numFmtId="182" fontId="0" fillId="0" borderId="5" xfId="2" applyNumberFormat="1" applyFont="1" applyFill="1" applyBorder="1" applyAlignment="1" applyProtection="1">
      <alignment horizontal="left" indent="1"/>
    </xf>
    <xf numFmtId="171" fontId="0" fillId="0" borderId="5" xfId="0" applyNumberFormat="1" applyFont="1" applyFill="1" applyBorder="1" applyAlignment="1">
      <alignment horizontal="left" indent="2"/>
    </xf>
    <xf numFmtId="166" fontId="0" fillId="2" borderId="8" xfId="3" applyNumberFormat="1" applyFont="1" applyFill="1" applyBorder="1" applyAlignment="1">
      <alignment horizontal="center"/>
    </xf>
    <xf numFmtId="181" fontId="3" fillId="4" borderId="2" xfId="0" applyNumberFormat="1" applyFont="1" applyFill="1" applyBorder="1" applyAlignment="1"/>
    <xf numFmtId="170" fontId="6" fillId="0" borderId="0" xfId="0" applyNumberFormat="1" applyFont="1"/>
    <xf numFmtId="0" fontId="3" fillId="4" borderId="1"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5" fontId="3" fillId="4" borderId="13" xfId="0" applyNumberFormat="1" applyFont="1" applyFill="1" applyBorder="1" applyAlignment="1">
      <alignment horizontal="center"/>
    </xf>
    <xf numFmtId="5" fontId="3" fillId="4" borderId="14" xfId="0" applyNumberFormat="1" applyFont="1" applyFill="1" applyBorder="1" applyAlignment="1">
      <alignment horizontal="center"/>
    </xf>
    <xf numFmtId="5" fontId="3" fillId="4" borderId="15" xfId="0" applyNumberFormat="1" applyFont="1" applyFill="1" applyBorder="1" applyAlignment="1">
      <alignment horizontal="center"/>
    </xf>
    <xf numFmtId="1" fontId="3" fillId="4" borderId="13" xfId="0" applyNumberFormat="1" applyFont="1" applyFill="1" applyBorder="1" applyAlignment="1">
      <alignment horizontal="center"/>
    </xf>
    <xf numFmtId="1" fontId="3" fillId="4" borderId="14" xfId="0" applyNumberFormat="1" applyFont="1" applyFill="1" applyBorder="1" applyAlignment="1">
      <alignment horizontal="center"/>
    </xf>
    <xf numFmtId="1" fontId="3" fillId="4" borderId="15" xfId="0" applyNumberFormat="1" applyFont="1" applyFill="1" applyBorder="1" applyAlignment="1">
      <alignment horizontal="center"/>
    </xf>
    <xf numFmtId="0" fontId="10" fillId="9" borderId="50" xfId="0" applyFont="1" applyFill="1" applyBorder="1" applyAlignment="1">
      <alignment vertical="top" wrapText="1"/>
    </xf>
    <xf numFmtId="0" fontId="0" fillId="0" borderId="24" xfId="0" applyBorder="1" applyAlignment="1">
      <alignment vertical="top" wrapText="1"/>
    </xf>
    <xf numFmtId="0" fontId="10" fillId="9" borderId="9" xfId="0" applyFont="1" applyFill="1" applyBorder="1" applyAlignment="1">
      <alignment vertical="top" wrapText="1"/>
    </xf>
    <xf numFmtId="0" fontId="3" fillId="4" borderId="25" xfId="0" applyFont="1" applyFill="1" applyBorder="1" applyAlignment="1">
      <alignment horizontal="center"/>
    </xf>
    <xf numFmtId="0" fontId="2" fillId="10" borderId="0" xfId="24" applyFont="1" applyFill="1" applyAlignment="1">
      <alignment vertical="top"/>
    </xf>
    <xf numFmtId="0" fontId="0" fillId="10" borderId="0" xfId="0" applyFill="1" applyAlignment="1">
      <alignment vertical="top"/>
    </xf>
    <xf numFmtId="0" fontId="0" fillId="10" borderId="0" xfId="0" applyFill="1"/>
    <xf numFmtId="0" fontId="61" fillId="10" borderId="0" xfId="24" applyFont="1" applyFill="1" applyAlignment="1">
      <alignment horizontal="left" vertical="top"/>
    </xf>
    <xf numFmtId="0" fontId="2" fillId="10" borderId="0" xfId="0" applyFont="1" applyFill="1" applyAlignment="1">
      <alignment vertical="top"/>
    </xf>
    <xf numFmtId="0" fontId="46" fillId="10" borderId="0" xfId="24" applyFont="1" applyFill="1" applyAlignment="1">
      <alignment vertical="top"/>
    </xf>
    <xf numFmtId="0" fontId="73" fillId="10" borderId="0" xfId="0" applyFont="1" applyFill="1" applyAlignment="1">
      <alignment vertical="top"/>
    </xf>
    <xf numFmtId="0" fontId="74" fillId="10" borderId="0" xfId="0" applyFont="1" applyFill="1" applyAlignment="1">
      <alignment vertical="top"/>
    </xf>
    <xf numFmtId="0" fontId="74" fillId="10" borderId="0" xfId="0" applyFont="1" applyFill="1" applyAlignment="1">
      <alignment vertical="top"/>
    </xf>
    <xf numFmtId="0" fontId="73" fillId="10" borderId="0" xfId="0" applyFont="1" applyFill="1" applyAlignment="1">
      <alignment vertical="top"/>
    </xf>
    <xf numFmtId="0" fontId="0" fillId="10" borderId="0" xfId="0" applyFill="1" applyAlignment="1">
      <alignment vertical="top"/>
    </xf>
    <xf numFmtId="0" fontId="0" fillId="10" borderId="70" xfId="0" applyFill="1" applyBorder="1" applyAlignment="1">
      <alignment vertical="top"/>
    </xf>
    <xf numFmtId="0" fontId="73" fillId="10" borderId="66" xfId="0" applyFont="1" applyFill="1" applyBorder="1" applyAlignment="1">
      <alignment vertical="top"/>
    </xf>
    <xf numFmtId="0" fontId="73" fillId="10" borderId="67" xfId="0" applyFont="1" applyFill="1" applyBorder="1" applyAlignment="1">
      <alignment vertical="top"/>
    </xf>
    <xf numFmtId="0" fontId="73" fillId="10" borderId="68" xfId="0" applyFont="1" applyFill="1" applyBorder="1" applyAlignment="1">
      <alignment vertical="top"/>
    </xf>
    <xf numFmtId="0" fontId="73" fillId="10" borderId="69" xfId="0" applyFont="1" applyFill="1" applyBorder="1" applyAlignment="1">
      <alignment vertical="top"/>
    </xf>
    <xf numFmtId="9" fontId="73" fillId="10" borderId="66" xfId="0" applyNumberFormat="1" applyFont="1" applyFill="1" applyBorder="1" applyAlignment="1">
      <alignment vertical="top"/>
    </xf>
    <xf numFmtId="3" fontId="73" fillId="10" borderId="66" xfId="0" applyNumberFormat="1" applyFont="1" applyFill="1" applyBorder="1" applyAlignment="1">
      <alignment vertical="top"/>
    </xf>
    <xf numFmtId="0" fontId="0" fillId="10" borderId="71" xfId="0" applyFill="1" applyBorder="1" applyAlignment="1">
      <alignment vertical="top"/>
    </xf>
    <xf numFmtId="2" fontId="0" fillId="0" borderId="0" xfId="0" applyNumberFormat="1" applyAlignment="1">
      <alignment horizontal="left"/>
    </xf>
    <xf numFmtId="0" fontId="0" fillId="0" borderId="0" xfId="0" applyNumberFormat="1" applyAlignment="1">
      <alignment horizontal="left"/>
    </xf>
    <xf numFmtId="1" fontId="0" fillId="0" borderId="0" xfId="0" applyNumberFormat="1" applyAlignment="1">
      <alignment horizontal="left"/>
    </xf>
    <xf numFmtId="212" fontId="0" fillId="0" borderId="0" xfId="0" applyNumberFormat="1" applyAlignment="1">
      <alignment horizontal="left"/>
    </xf>
  </cellXfs>
  <cellStyles count="25">
    <cellStyle name="_Fleetcor Modelv1" xfId="9"/>
    <cellStyle name="_SUMMARY " xfId="12"/>
    <cellStyle name="0_Capex &amp; Depreciation " xfId="13"/>
    <cellStyle name="0_Valuing BP " xfId="14"/>
    <cellStyle name="c_HardInc " xfId="15"/>
    <cellStyle name="Comma" xfId="1" builtinId="3"/>
    <cellStyle name="Comma 10" xfId="8"/>
    <cellStyle name="Comma 2" xfId="22"/>
    <cellStyle name="Currency" xfId="2" builtinId="4"/>
    <cellStyle name="Hyperlink 2" xfId="23"/>
    <cellStyle name="Normal" xfId="0" builtinId="0"/>
    <cellStyle name="Normal 2" xfId="10"/>
    <cellStyle name="Normal 3" xfId="20"/>
    <cellStyle name="Normal_DisclaimerSheet Samples" xfId="24"/>
    <cellStyle name="Normal_RAZFmod0600_betty" xfId="6"/>
    <cellStyle name="Normal_TSS Model (2)" xfId="5"/>
    <cellStyle name="p " xfId="16"/>
    <cellStyle name="Percent" xfId="3" builtinId="5"/>
    <cellStyle name="Percent 2" xfId="7"/>
    <cellStyle name="Percent 3" xfId="21"/>
    <cellStyle name="RRSInstruction" xfId="11"/>
    <cellStyle name="s_HardInc " xfId="17"/>
    <cellStyle name="s_Valuation " xfId="18"/>
    <cellStyle name="ssp " xfId="19"/>
    <cellStyle name="Style 1" xfId="4"/>
  </cellStyles>
  <dxfs count="0"/>
  <tableStyles count="0" defaultTableStyle="TableStyleMedium2" defaultPivotStyle="PivotStyleLight16"/>
  <colors>
    <mruColors>
      <color rgb="FF538DD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externalLinks/externalLink1.xml" Type="http://schemas.openxmlformats.org/officeDocument/2006/relationships/externalLink"/>
<Relationship Id="rId12" Target="externalLinks/externalLink2.xml" Type="http://schemas.openxmlformats.org/officeDocument/2006/relationships/externalLink"/>
<Relationship Id="rId13" Target="externalLinks/externalLink3.xml" Type="http://schemas.openxmlformats.org/officeDocument/2006/relationships/externalLink"/>
<Relationship Id="rId14" Target="externalLinks/externalLink4.xml" Type="http://schemas.openxmlformats.org/officeDocument/2006/relationships/externalLink"/>
<Relationship Id="rId15" Target="externalLinks/externalLink5.xml" Type="http://schemas.openxmlformats.org/officeDocument/2006/relationships/externalLink"/>
<Relationship Id="rId16" Target="theme/theme1.xml" Type="http://schemas.openxmlformats.org/officeDocument/2006/relationships/theme"/>
<Relationship Id="rId17" Target="styles.xml" Type="http://schemas.openxmlformats.org/officeDocument/2006/relationships/styles"/>
<Relationship Id="rId18" Target="sharedStrings.xml" Type="http://schemas.openxmlformats.org/officeDocument/2006/relationships/sharedStrings"/>
<Relationship Id="rId19" Target="calcChain.xml" Type="http://schemas.openxmlformats.org/officeDocument/2006/relationships/calcChain"/>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_rels/activeX2.xml.rels><?xml version="1.0" encoding="UTF-8" standalone="yes"?>
<Relationships xmlns="http://schemas.openxmlformats.org/package/2006/relationships">
<Relationship Id="rId1" Target="activeX2.bin" Type="http://schemas.microsoft.com/office/2006/relationships/activeXControlBinary"/>
</Relationships>

</file>

<file path=xl/activeX/_rels/activeX3.xml.rels><?xml version="1.0" encoding="UTF-8" standalone="yes"?>
<Relationships xmlns="http://schemas.openxmlformats.org/package/2006/relationships">
<Relationship Id="rId1" Target="activeX3.bin" Type="http://schemas.microsoft.com/office/2006/relationships/activeXControlBinary"/>
</Relationships>

</file>

<file path=xl/activeX/_rels/activeX4.xml.rels><?xml version="1.0" encoding="UTF-8" standalone="yes"?>
<Relationships xmlns="http://schemas.openxmlformats.org/package/2006/relationships">
<Relationship Id="rId1" Target="activeX4.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vmlDrawing1.vml.rels><?xml version="1.0" encoding="UTF-8" standalone="yes"?>
<Relationships xmlns="http://schemas.openxmlformats.org/package/2006/relationships">
<Relationship Id="rId1" Target="../media/image4.emf" Type="http://schemas.openxmlformats.org/officeDocument/2006/relationships/image"/>
</Relationships>

</file>

<file path=xl/drawings/_rels/vmlDrawing3.vml.rels><?xml version="1.0" encoding="UTF-8" standalone="yes"?>
<Relationships xmlns="http://schemas.openxmlformats.org/package/2006/relationships">
<Relationship Id="rId1" Target="../media/image5.emf" Type="http://schemas.openxmlformats.org/officeDocument/2006/relationships/image"/>
</Relationships>

</file>

<file path=xl/drawings/_rels/vmlDrawing5.vml.rels><?xml version="1.0" encoding="UTF-8" standalone="yes"?>
<Relationships xmlns="http://schemas.openxmlformats.org/package/2006/relationships">
<Relationship Id="rId1" Target="../media/image6.emf" Type="http://schemas.openxmlformats.org/officeDocument/2006/relationships/image"/>
</Relationships>

</file>

<file path=xl/drawings/_rels/vmlDrawing6.vml.rels><?xml version="1.0" encoding="UTF-8" standalone="yes"?>
<Relationships xmlns="http://schemas.openxmlformats.org/package/2006/relationships">
<Relationship Id="rId1" Target="../media/image7.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133121" name="Picture 1" descr="C:\Users\vasundhg\AppData\Local\Temp\MercuryPriceRatingHistoryChart\WP.N_2018_03_04_18_32_2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xdr:row>
          <xdr:rowOff>19050</xdr:rowOff>
        </xdr:from>
        <xdr:to>
          <xdr:col>1</xdr:col>
          <xdr:colOff>2438400</xdr:colOff>
          <xdr:row>2</xdr:row>
          <xdr:rowOff>114300</xdr:rowOff>
        </xdr:to>
        <xdr:sp macro="" textlink="">
          <xdr:nvSpPr>
            <xdr:cNvPr id="2049" name="ComboBox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1095375</xdr:colOff>
          <xdr:row>6</xdr:row>
          <xdr:rowOff>9525</xdr:rowOff>
        </xdr:from>
        <xdr:to>
          <xdr:col>3</xdr:col>
          <xdr:colOff>400050</xdr:colOff>
          <xdr:row>7</xdr:row>
          <xdr:rowOff>19050</xdr:rowOff>
        </xdr:to>
        <xdr:sp macro="" textlink="">
          <xdr:nvSpPr>
            <xdr:cNvPr id="1025" name="Combo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723900</xdr:colOff>
          <xdr:row>2</xdr:row>
          <xdr:rowOff>47625</xdr:rowOff>
        </xdr:from>
        <xdr:to>
          <xdr:col>1</xdr:col>
          <xdr:colOff>2085975</xdr:colOff>
          <xdr:row>4</xdr:row>
          <xdr:rowOff>9525</xdr:rowOff>
        </xdr:to>
        <xdr:sp macro="" textlink="">
          <xdr:nvSpPr>
            <xdr:cNvPr id="5121" name="ComboBox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28576</xdr:colOff>
          <xdr:row>4</xdr:row>
          <xdr:rowOff>9525</xdr:rowOff>
        </xdr:from>
        <xdr:to>
          <xdr:col>2</xdr:col>
          <xdr:colOff>1143001</xdr:colOff>
          <xdr:row>4</xdr:row>
          <xdr:rowOff>280146</xdr:rowOff>
        </xdr:to>
        <xdr:sp macro="" textlink="">
          <xdr:nvSpPr>
            <xdr:cNvPr id="6145" name="ComboBox1"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TECH/Software/1_Covered%20Companies/Dassault%20Systemes/Model/Current/Dassault_Systemes_WIP.xls" TargetMode="External" Type="http://schemas.microsoft.com/office/2006/relationships/xlExternalLinkPath/xlAlternateStartup"/>
</Relationships>

</file>

<file path=xl/externalLinks/_rels/externalLink2.xml.rels><?xml version="1.0" encoding="UTF-8" standalone="yes"?>
<Relationships xmlns="http://schemas.openxmlformats.org/package/2006/relationships">
<Relationship Id="rId1" Target="https://ny.matrix.ms.com/DOCUME~1/woodada/LOCALS~1/Application%20Data/Research/ModelPublishing/SubmittedModels/SAPG.DE.txt"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https://ny.matrix.ms.com/DOCUME~1/spinks/LOCALS~1/Application%20Data/Research/ModelPublishing/SubmittedModels/TEMN.S.txt"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TECH/Software/1_Covered%20Companies/NNIT/Model/NNIT.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SRI/Framework/Consumer/HPC/HPC_ESG_Data.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Links"/>
      <sheetName val="Margins"/>
      <sheetName val="Full SummaryP"/>
      <sheetName val="MasterP"/>
      <sheetName val="Drivers_QuartersP"/>
      <sheetName val="MW-Cache"/>
      <sheetName val="QToplineP"/>
      <sheetName val="NewEVsheet"/>
      <sheetName val="2013 risks"/>
      <sheetName val="Flex"/>
      <sheetName val="LT DCF"/>
      <sheetName val="Changes"/>
      <sheetName val="Results tab"/>
      <sheetName val="Preview"/>
      <sheetName val="FirstCut"/>
      <sheetName val="ROIC"/>
      <sheetName val="SII"/>
      <sheetName val="Acqs"/>
      <sheetName val="FX"/>
      <sheetName val="exceptionals"/>
      <sheetName val="OrgGrwth&amp;Marg"/>
      <sheetName val="Deals"/>
      <sheetName val="FXhit"/>
      <sheetName val="MW Check"/>
      <sheetName val="Seasonality"/>
      <sheetName val="MS Note (Oct12)"/>
      <sheetName val="MS Note (2)"/>
      <sheetName val="MWA RR"/>
      <sheetName val="Simple"/>
      <sheetName val="MT"/>
      <sheetName val="Financial Summary"/>
      <sheetName val="__FDSCACHE__"/>
      <sheetName val="DCFprettym"/>
      <sheetName val="Reverse DCF"/>
      <sheetName val="old_DCF"/>
      <sheetName val="MS Note"/>
      <sheetName val="NOTE2"/>
      <sheetName val="NOTE"/>
      <sheetName val="EVFCF"/>
      <sheetName val="Notepre"/>
      <sheetName val="Market"/>
      <sheetName val="Milestones"/>
      <sheetName val="CorpGovData"/>
      <sheetName val="mwareDates"/>
      <sheetName val="mwareSettings"/>
      <sheetName val="__APW_ACTIVE_FIELD_RESTORE__"/>
      <sheetName val="#REF"/>
    </sheetNames>
    <sheetDataSet>
      <sheetData sheetId="0"/>
      <sheetData sheetId="1"/>
      <sheetData sheetId="2"/>
      <sheetData sheetId="3">
        <row r="1">
          <cell r="A1" t="str">
            <v>Y/E Dec 31</v>
          </cell>
          <cell r="B1" t="str">
            <v>FY</v>
          </cell>
          <cell r="C1" t="str">
            <v>FY</v>
          </cell>
          <cell r="D1" t="str">
            <v>FY</v>
          </cell>
          <cell r="E1" t="str">
            <v>FY</v>
          </cell>
          <cell r="F1" t="str">
            <v>FY</v>
          </cell>
          <cell r="G1" t="str">
            <v>FY</v>
          </cell>
          <cell r="H1" t="str">
            <v>FY</v>
          </cell>
          <cell r="I1" t="str">
            <v>FY</v>
          </cell>
          <cell r="J1" t="str">
            <v>FY</v>
          </cell>
          <cell r="K1" t="str">
            <v>FY</v>
          </cell>
          <cell r="L1" t="str">
            <v>FY</v>
          </cell>
          <cell r="M1" t="str">
            <v>FY</v>
          </cell>
          <cell r="O1" t="str">
            <v>Q1</v>
          </cell>
          <cell r="P1" t="str">
            <v>Q2</v>
          </cell>
          <cell r="Q1" t="str">
            <v>Q3</v>
          </cell>
          <cell r="R1" t="str">
            <v>Q4</v>
          </cell>
          <cell r="W1" t="str">
            <v>Q1</v>
          </cell>
          <cell r="X1" t="str">
            <v>Q2</v>
          </cell>
          <cell r="Y1" t="str">
            <v>Q3</v>
          </cell>
          <cell r="Z1" t="str">
            <v>Q4</v>
          </cell>
          <cell r="AB1" t="str">
            <v>Q1</v>
          </cell>
          <cell r="AC1" t="str">
            <v>Q2</v>
          </cell>
          <cell r="AD1" t="str">
            <v>Q3</v>
          </cell>
          <cell r="AE1" t="str">
            <v>Q4</v>
          </cell>
          <cell r="AG1" t="str">
            <v>Q1</v>
          </cell>
          <cell r="AH1" t="str">
            <v>Q2</v>
          </cell>
          <cell r="AI1" t="str">
            <v>Q3</v>
          </cell>
          <cell r="AJ1" t="str">
            <v>Q4</v>
          </cell>
          <cell r="AL1">
            <v>1</v>
          </cell>
          <cell r="AM1">
            <v>2</v>
          </cell>
          <cell r="AN1">
            <v>3</v>
          </cell>
          <cell r="AO1">
            <v>4</v>
          </cell>
          <cell r="AQ1" t="str">
            <v>Q1</v>
          </cell>
          <cell r="AR1" t="str">
            <v>Q2</v>
          </cell>
          <cell r="AS1" t="str">
            <v>Q3</v>
          </cell>
          <cell r="AT1" t="str">
            <v>Q4</v>
          </cell>
          <cell r="AV1" t="str">
            <v>Q1</v>
          </cell>
          <cell r="AW1" t="str">
            <v>Q2</v>
          </cell>
          <cell r="AX1" t="str">
            <v>Q3</v>
          </cell>
          <cell r="AY1" t="str">
            <v>Q4</v>
          </cell>
          <cell r="BD1" t="str">
            <v>FY</v>
          </cell>
          <cell r="BE1" t="str">
            <v>FY</v>
          </cell>
        </row>
        <row r="2">
          <cell r="A2" t="str">
            <v>EURm</v>
          </cell>
          <cell r="B2">
            <v>2008</v>
          </cell>
          <cell r="C2">
            <v>2009</v>
          </cell>
          <cell r="D2">
            <v>2010</v>
          </cell>
          <cell r="E2">
            <v>2011</v>
          </cell>
          <cell r="F2">
            <v>2012</v>
          </cell>
          <cell r="G2">
            <v>2013</v>
          </cell>
          <cell r="H2">
            <v>2014</v>
          </cell>
          <cell r="I2">
            <v>2015</v>
          </cell>
          <cell r="J2">
            <v>2016</v>
          </cell>
          <cell r="K2">
            <v>2017</v>
          </cell>
          <cell r="L2">
            <v>2018</v>
          </cell>
          <cell r="M2">
            <v>2019</v>
          </cell>
          <cell r="O2">
            <v>2016</v>
          </cell>
          <cell r="P2">
            <v>2016</v>
          </cell>
          <cell r="Q2">
            <v>2016</v>
          </cell>
          <cell r="R2">
            <v>2016</v>
          </cell>
          <cell r="W2">
            <v>2011</v>
          </cell>
          <cell r="X2">
            <v>2011</v>
          </cell>
          <cell r="Y2">
            <v>2011</v>
          </cell>
          <cell r="Z2">
            <v>2011</v>
          </cell>
          <cell r="AB2">
            <v>2010</v>
          </cell>
          <cell r="AC2">
            <v>2010</v>
          </cell>
          <cell r="AD2">
            <v>2010</v>
          </cell>
          <cell r="AE2">
            <v>2010</v>
          </cell>
          <cell r="AG2">
            <v>2009</v>
          </cell>
          <cell r="AH2">
            <v>2009</v>
          </cell>
          <cell r="AI2">
            <v>2009</v>
          </cell>
          <cell r="AJ2">
            <v>2009</v>
          </cell>
          <cell r="AL2">
            <v>2008</v>
          </cell>
          <cell r="AM2">
            <v>2008</v>
          </cell>
          <cell r="AN2">
            <v>2008</v>
          </cell>
          <cell r="AO2">
            <v>2008</v>
          </cell>
          <cell r="AQ2">
            <v>2007</v>
          </cell>
          <cell r="AR2">
            <v>2007</v>
          </cell>
          <cell r="AS2">
            <v>2007</v>
          </cell>
          <cell r="AT2">
            <v>2007</v>
          </cell>
          <cell r="AV2">
            <v>2006</v>
          </cell>
          <cell r="AW2">
            <v>2006</v>
          </cell>
          <cell r="AX2">
            <v>2006</v>
          </cell>
          <cell r="AY2">
            <v>2006</v>
          </cell>
          <cell r="BD2">
            <v>2004</v>
          </cell>
          <cell r="BE2">
            <v>2005</v>
          </cell>
        </row>
        <row r="3">
          <cell r="A3" t="str">
            <v xml:space="preserve">  - Up-front licences </v>
          </cell>
          <cell r="B3">
            <v>407.59999999999997</v>
          </cell>
          <cell r="C3">
            <v>289.7</v>
          </cell>
          <cell r="D3">
            <v>393.90000000000003</v>
          </cell>
          <cell r="E3">
            <v>465</v>
          </cell>
          <cell r="F3">
            <v>532.29999999999995</v>
          </cell>
          <cell r="G3">
            <v>500.1</v>
          </cell>
          <cell r="H3">
            <v>581.5</v>
          </cell>
          <cell r="I3">
            <v>735.59999999999991</v>
          </cell>
          <cell r="J3">
            <v>805.7834035608405</v>
          </cell>
          <cell r="K3">
            <v>917.97750828929441</v>
          </cell>
          <cell r="L3">
            <v>1072.9990028690786</v>
          </cell>
          <cell r="M3">
            <v>1226.3270580427084</v>
          </cell>
          <cell r="O3">
            <v>157.9</v>
          </cell>
          <cell r="P3">
            <v>193.39265425487116</v>
          </cell>
          <cell r="Q3">
            <v>175.00636867273931</v>
          </cell>
          <cell r="R3">
            <v>279.48438063322993</v>
          </cell>
          <cell r="W3">
            <v>99</v>
          </cell>
          <cell r="X3">
            <v>110.4</v>
          </cell>
          <cell r="Y3">
            <v>100.2</v>
          </cell>
          <cell r="Z3">
            <v>155.4</v>
          </cell>
          <cell r="AB3">
            <v>76.099999999999994</v>
          </cell>
          <cell r="AC3">
            <v>85.4</v>
          </cell>
          <cell r="AD3">
            <v>96.6</v>
          </cell>
          <cell r="AE3">
            <v>135.80000000000001</v>
          </cell>
        </row>
        <row r="4">
          <cell r="A4" t="str">
            <v xml:space="preserve">  - Recurring (maintenance &amp; subscription)</v>
          </cell>
          <cell r="B4">
            <v>750.2</v>
          </cell>
          <cell r="C4">
            <v>811.49999999999989</v>
          </cell>
          <cell r="D4">
            <v>1033.3</v>
          </cell>
          <cell r="E4">
            <v>1152.4000000000001</v>
          </cell>
          <cell r="F4">
            <v>1321.1</v>
          </cell>
          <cell r="G4">
            <v>1387.3999999999999</v>
          </cell>
          <cell r="H4">
            <v>1497.1</v>
          </cell>
          <cell r="I4">
            <v>1802.3000000000002</v>
          </cell>
          <cell r="J4">
            <v>1929.4955</v>
          </cell>
          <cell r="K4">
            <v>2105.9603500000003</v>
          </cell>
          <cell r="L4">
            <v>2295.4967815</v>
          </cell>
          <cell r="M4">
            <v>2502.0914918350004</v>
          </cell>
          <cell r="O4">
            <v>456</v>
          </cell>
          <cell r="P4">
            <v>479.75600000000003</v>
          </cell>
          <cell r="Q4">
            <v>489.67200000000003</v>
          </cell>
          <cell r="R4">
            <v>504.06749999999994</v>
          </cell>
          <cell r="W4">
            <v>273.60000000000002</v>
          </cell>
          <cell r="X4">
            <v>278</v>
          </cell>
          <cell r="Y4">
            <v>294.10000000000002</v>
          </cell>
          <cell r="Z4">
            <v>306.7</v>
          </cell>
          <cell r="AB4">
            <v>203.7</v>
          </cell>
          <cell r="AC4">
            <v>267.3</v>
          </cell>
          <cell r="AD4">
            <v>275.3</v>
          </cell>
          <cell r="AE4">
            <v>287</v>
          </cell>
        </row>
        <row r="5">
          <cell r="A5" t="str">
            <v>Total software sales</v>
          </cell>
          <cell r="B5">
            <v>1157.8</v>
          </cell>
          <cell r="C5">
            <v>1101.3000000000002</v>
          </cell>
          <cell r="D5">
            <v>1427.2</v>
          </cell>
          <cell r="E5">
            <v>1617.4</v>
          </cell>
          <cell r="F5">
            <v>1853.3999999999999</v>
          </cell>
          <cell r="G5">
            <v>1887.5</v>
          </cell>
          <cell r="H5">
            <v>2078.6</v>
          </cell>
          <cell r="I5">
            <v>2537.9</v>
          </cell>
          <cell r="J5">
            <v>2735.2789035608403</v>
          </cell>
          <cell r="K5">
            <v>3023.9378582892946</v>
          </cell>
          <cell r="L5">
            <v>3368.495784369079</v>
          </cell>
          <cell r="M5">
            <v>3728.4185498777088</v>
          </cell>
          <cell r="O5">
            <v>613.9</v>
          </cell>
          <cell r="P5">
            <v>673.14865425487119</v>
          </cell>
          <cell r="Q5">
            <v>664.67836867273934</v>
          </cell>
          <cell r="R5">
            <v>783.55188063322987</v>
          </cell>
          <cell r="W5">
            <v>372.59999999999997</v>
          </cell>
          <cell r="X5">
            <v>388.40000000000003</v>
          </cell>
          <cell r="Y5">
            <v>394.29999999999995</v>
          </cell>
          <cell r="Z5">
            <v>462.1</v>
          </cell>
          <cell r="AB5">
            <v>279.8</v>
          </cell>
          <cell r="AC5">
            <v>352.7</v>
          </cell>
          <cell r="AD5">
            <v>371.90000000000003</v>
          </cell>
          <cell r="AE5">
            <v>422.79999999999995</v>
          </cell>
          <cell r="AG5">
            <v>272.8</v>
          </cell>
          <cell r="AH5">
            <v>271.59999999999997</v>
          </cell>
          <cell r="AI5">
            <v>255.70000000000002</v>
          </cell>
          <cell r="AJ5">
            <v>301.20000000000005</v>
          </cell>
          <cell r="AL5">
            <v>269.59999999999997</v>
          </cell>
          <cell r="AM5">
            <v>278.00000000000006</v>
          </cell>
          <cell r="AN5">
            <v>277.89999999999998</v>
          </cell>
          <cell r="AO5">
            <v>332.3</v>
          </cell>
          <cell r="AQ5">
            <v>249.6</v>
          </cell>
          <cell r="AR5">
            <v>256.39999999999998</v>
          </cell>
          <cell r="AS5">
            <v>258.10000000000002</v>
          </cell>
          <cell r="AT5">
            <v>316.29999999999995</v>
          </cell>
          <cell r="AV5">
            <v>217</v>
          </cell>
          <cell r="AW5">
            <v>244</v>
          </cell>
          <cell r="AX5">
            <v>231.4</v>
          </cell>
          <cell r="AY5">
            <v>290.39999999999998</v>
          </cell>
          <cell r="BD5">
            <v>670.9</v>
          </cell>
          <cell r="BE5">
            <v>792.7</v>
          </cell>
        </row>
        <row r="6">
          <cell r="A6" t="str">
            <v>Services/Other Revenues</v>
          </cell>
          <cell r="B6">
            <v>180.4</v>
          </cell>
          <cell r="C6">
            <v>151.5</v>
          </cell>
          <cell r="D6">
            <v>152.80000000000001</v>
          </cell>
          <cell r="E6">
            <v>166.1</v>
          </cell>
          <cell r="F6">
            <v>185.09999999999997</v>
          </cell>
          <cell r="G6">
            <v>185.3</v>
          </cell>
          <cell r="H6">
            <v>268.10000000000002</v>
          </cell>
          <cell r="I6">
            <v>338.79999999999995</v>
          </cell>
          <cell r="J6">
            <v>354.99400000000003</v>
          </cell>
          <cell r="K6">
            <v>372.74369999999999</v>
          </cell>
          <cell r="L6">
            <v>376.471137</v>
          </cell>
          <cell r="M6">
            <v>380.23584836999999</v>
          </cell>
          <cell r="O6">
            <v>79.599999999999994</v>
          </cell>
          <cell r="P6">
            <v>89.861999999999995</v>
          </cell>
          <cell r="Q6">
            <v>86.528000000000006</v>
          </cell>
          <cell r="R6">
            <v>99.004000000000005</v>
          </cell>
          <cell r="W6">
            <v>37.299999999999997</v>
          </cell>
          <cell r="X6">
            <v>40.200000000000003</v>
          </cell>
          <cell r="Y6">
            <v>38.6</v>
          </cell>
          <cell r="Z6">
            <v>50</v>
          </cell>
          <cell r="AB6">
            <v>32.200000000000003</v>
          </cell>
          <cell r="AC6">
            <v>39.200000000000003</v>
          </cell>
          <cell r="AD6">
            <v>36.9</v>
          </cell>
          <cell r="AE6">
            <v>44.5</v>
          </cell>
          <cell r="AG6">
            <v>37.9</v>
          </cell>
          <cell r="AH6">
            <v>39.6</v>
          </cell>
          <cell r="AI6">
            <v>36.1</v>
          </cell>
          <cell r="AJ6">
            <v>37.9</v>
          </cell>
          <cell r="AL6">
            <v>38.299999999999997</v>
          </cell>
          <cell r="AM6">
            <v>48.2</v>
          </cell>
          <cell r="AN6">
            <v>41.8</v>
          </cell>
          <cell r="AO6">
            <v>52.1</v>
          </cell>
          <cell r="AQ6">
            <v>45.1</v>
          </cell>
          <cell r="AR6">
            <v>52.4</v>
          </cell>
          <cell r="AS6">
            <v>43.2</v>
          </cell>
          <cell r="AT6">
            <v>54.8</v>
          </cell>
          <cell r="AV6">
            <v>39</v>
          </cell>
          <cell r="AW6">
            <v>42</v>
          </cell>
          <cell r="AX6">
            <v>50.9</v>
          </cell>
          <cell r="AY6">
            <v>62.8</v>
          </cell>
          <cell r="BD6">
            <v>125.652</v>
          </cell>
          <cell r="BE6">
            <v>150.9</v>
          </cell>
        </row>
        <row r="7">
          <cell r="A7" t="str">
            <v>Total Revenues</v>
          </cell>
          <cell r="B7">
            <v>1338.2</v>
          </cell>
          <cell r="C7">
            <v>1252.8000000000002</v>
          </cell>
          <cell r="D7">
            <v>1580</v>
          </cell>
          <cell r="E7">
            <v>1783.5</v>
          </cell>
          <cell r="F7">
            <v>2038.4999999999998</v>
          </cell>
          <cell r="G7">
            <v>2072.8000000000002</v>
          </cell>
          <cell r="H7">
            <v>2346.6999999999998</v>
          </cell>
          <cell r="I7">
            <v>2876.7</v>
          </cell>
          <cell r="J7">
            <v>3184.0658578430593</v>
          </cell>
          <cell r="K7">
            <v>3396.6815582892946</v>
          </cell>
          <cell r="L7">
            <v>3744.966921369079</v>
          </cell>
          <cell r="M7">
            <v>4108.6543982477087</v>
          </cell>
          <cell r="O7">
            <v>693.5</v>
          </cell>
          <cell r="P7">
            <v>763.01065425487104</v>
          </cell>
          <cell r="Q7">
            <v>751.20636867273936</v>
          </cell>
          <cell r="R7">
            <v>882.55588063322989</v>
          </cell>
          <cell r="W7">
            <v>409.9</v>
          </cell>
          <cell r="X7">
            <v>428.6</v>
          </cell>
          <cell r="Y7">
            <v>432.9</v>
          </cell>
          <cell r="Z7">
            <v>512.1</v>
          </cell>
          <cell r="AB7">
            <v>312</v>
          </cell>
          <cell r="AC7">
            <v>391.9</v>
          </cell>
          <cell r="AD7">
            <v>408.8</v>
          </cell>
          <cell r="AE7">
            <v>467.29999999999995</v>
          </cell>
          <cell r="AG7">
            <v>310.7</v>
          </cell>
          <cell r="AH7">
            <v>311.2</v>
          </cell>
          <cell r="AI7">
            <v>291.8</v>
          </cell>
          <cell r="AJ7">
            <v>339.1</v>
          </cell>
          <cell r="AL7">
            <v>307.89999999999998</v>
          </cell>
          <cell r="AM7">
            <v>326.20000000000005</v>
          </cell>
          <cell r="AN7">
            <v>319.7</v>
          </cell>
          <cell r="AO7">
            <v>384.40000000000003</v>
          </cell>
          <cell r="AQ7">
            <v>294.7</v>
          </cell>
          <cell r="AR7">
            <v>308.8</v>
          </cell>
          <cell r="AS7">
            <v>301.3</v>
          </cell>
          <cell r="AT7">
            <v>371.09999999999997</v>
          </cell>
          <cell r="AV7">
            <v>256</v>
          </cell>
          <cell r="AW7">
            <v>286</v>
          </cell>
          <cell r="AX7">
            <v>282.29999999999995</v>
          </cell>
          <cell r="AY7">
            <v>353.2</v>
          </cell>
          <cell r="BD7">
            <v>796.55200000000002</v>
          </cell>
          <cell r="BE7">
            <v>943.6</v>
          </cell>
        </row>
        <row r="9">
          <cell r="A9" t="str">
            <v>Gross Profit</v>
          </cell>
        </row>
        <row r="10">
          <cell r="A10" t="str">
            <v>Licences Gross Profit</v>
          </cell>
          <cell r="B10">
            <v>1101</v>
          </cell>
          <cell r="C10">
            <v>1044.7000000000003</v>
          </cell>
          <cell r="D10">
            <v>1351</v>
          </cell>
          <cell r="E10">
            <v>1536.7</v>
          </cell>
          <cell r="F10">
            <v>1761.3999999999999</v>
          </cell>
          <cell r="G10">
            <v>1790.15</v>
          </cell>
          <cell r="H10">
            <v>1962.1</v>
          </cell>
          <cell r="I10">
            <v>2395.3000000000002</v>
          </cell>
          <cell r="J10">
            <v>2582.608703244181</v>
          </cell>
          <cell r="K10">
            <v>2855.1702948397497</v>
          </cell>
          <cell r="L10">
            <v>3180.4748190183391</v>
          </cell>
          <cell r="M10">
            <v>3520.3062010099229</v>
          </cell>
          <cell r="O10">
            <v>576.69999999999993</v>
          </cell>
          <cell r="P10">
            <v>635.85744772391195</v>
          </cell>
          <cell r="Q10">
            <v>627.96007126596726</v>
          </cell>
          <cell r="R10">
            <v>742.09118425430211</v>
          </cell>
          <cell r="W10">
            <v>353.59999999999997</v>
          </cell>
          <cell r="X10">
            <v>369.6</v>
          </cell>
          <cell r="Y10">
            <v>375.59999999999997</v>
          </cell>
          <cell r="Z10">
            <v>437.90000000000003</v>
          </cell>
          <cell r="AB10">
            <v>263.40000000000003</v>
          </cell>
          <cell r="AC10">
            <v>333.3</v>
          </cell>
          <cell r="AD10">
            <v>352.3</v>
          </cell>
          <cell r="AE10">
            <v>401.99999999999994</v>
          </cell>
          <cell r="AG10">
            <v>258.8</v>
          </cell>
          <cell r="AH10">
            <v>257.49999999999994</v>
          </cell>
          <cell r="AI10">
            <v>243.00000000000003</v>
          </cell>
          <cell r="AJ10">
            <v>285.40000000000003</v>
          </cell>
          <cell r="AL10">
            <v>254.99999999999997</v>
          </cell>
          <cell r="AM10">
            <v>265.20000000000005</v>
          </cell>
          <cell r="AN10">
            <v>263.59999999999997</v>
          </cell>
          <cell r="AO10">
            <v>317.2</v>
          </cell>
          <cell r="AQ10">
            <v>236.9</v>
          </cell>
          <cell r="AR10">
            <v>243.29999999999998</v>
          </cell>
          <cell r="AS10">
            <v>242.10000000000002</v>
          </cell>
          <cell r="AT10">
            <v>305.09999999999997</v>
          </cell>
          <cell r="AV10">
            <v>206.1</v>
          </cell>
          <cell r="AW10">
            <v>231.8</v>
          </cell>
          <cell r="AX10">
            <v>218.3</v>
          </cell>
          <cell r="AY10">
            <v>277</v>
          </cell>
          <cell r="BD10">
            <v>649.19999999999993</v>
          </cell>
          <cell r="BE10">
            <v>765.90000000000009</v>
          </cell>
        </row>
        <row r="11">
          <cell r="A11" t="str">
            <v>Services Gross Profit</v>
          </cell>
          <cell r="B11">
            <v>25.900000000000006</v>
          </cell>
          <cell r="C11">
            <v>12.700000000000017</v>
          </cell>
          <cell r="D11">
            <v>8.7000000000000171</v>
          </cell>
          <cell r="E11">
            <v>-2</v>
          </cell>
          <cell r="F11">
            <v>10.699999999999989</v>
          </cell>
          <cell r="G11">
            <v>22.25</v>
          </cell>
          <cell r="H11">
            <v>42.5</v>
          </cell>
          <cell r="I11">
            <v>44.799999999999955</v>
          </cell>
          <cell r="J11">
            <v>45.762640000000033</v>
          </cell>
          <cell r="K11">
            <v>47.864400149999994</v>
          </cell>
          <cell r="L11">
            <v>44.578332781499967</v>
          </cell>
          <cell r="M11">
            <v>56.431191560414959</v>
          </cell>
          <cell r="O11">
            <v>2.7999999999999972</v>
          </cell>
          <cell r="P11">
            <v>12.580680000000001</v>
          </cell>
          <cell r="Q11">
            <v>12.113920000000002</v>
          </cell>
          <cell r="R11">
            <v>18.268040000000013</v>
          </cell>
          <cell r="W11">
            <v>-1.8999999999999986</v>
          </cell>
          <cell r="X11">
            <v>-6.1999999999999957</v>
          </cell>
          <cell r="Y11">
            <v>-1.8999999999999986</v>
          </cell>
          <cell r="Z11">
            <v>8</v>
          </cell>
          <cell r="AB11">
            <v>-1.8999999999999915</v>
          </cell>
          <cell r="AC11">
            <v>3.6000000000000014</v>
          </cell>
          <cell r="AD11">
            <v>0.89999999999999858</v>
          </cell>
          <cell r="AE11">
            <v>6.1000000000000014</v>
          </cell>
          <cell r="AG11">
            <v>0.10000000000000142</v>
          </cell>
          <cell r="AH11">
            <v>4.2000000000000028</v>
          </cell>
          <cell r="AI11">
            <v>3.8999999999999986</v>
          </cell>
          <cell r="AJ11">
            <v>4.5</v>
          </cell>
          <cell r="AL11">
            <v>2.8999999999999986</v>
          </cell>
          <cell r="AM11">
            <v>9.5000000000000071</v>
          </cell>
          <cell r="AN11">
            <v>4.1999999999999957</v>
          </cell>
          <cell r="AO11">
            <v>9.2999999999999972</v>
          </cell>
          <cell r="AQ11">
            <v>5</v>
          </cell>
          <cell r="AR11">
            <v>14.100000000000001</v>
          </cell>
          <cell r="AS11">
            <v>5.0000000000000071</v>
          </cell>
          <cell r="AT11">
            <v>15.799999999999997</v>
          </cell>
          <cell r="AV11">
            <v>7.6000000000000014</v>
          </cell>
          <cell r="AW11">
            <v>6.1000000000000014</v>
          </cell>
          <cell r="AX11">
            <v>14</v>
          </cell>
          <cell r="AY11">
            <v>23.700000000000003</v>
          </cell>
          <cell r="BD11">
            <v>24.652000000000001</v>
          </cell>
          <cell r="BE11">
            <v>35.599999999999994</v>
          </cell>
        </row>
        <row r="12">
          <cell r="A12" t="str">
            <v>Group Gross Profit</v>
          </cell>
          <cell r="B12">
            <v>1126.9000000000001</v>
          </cell>
          <cell r="C12">
            <v>1057.4000000000003</v>
          </cell>
          <cell r="D12">
            <v>1359.7</v>
          </cell>
          <cell r="E12">
            <v>1534.7</v>
          </cell>
          <cell r="F12">
            <v>1772.1</v>
          </cell>
          <cell r="G12">
            <v>1812.4</v>
          </cell>
          <cell r="H12">
            <v>2004.6</v>
          </cell>
          <cell r="I12">
            <v>2440.1000000000004</v>
          </cell>
          <cell r="J12">
            <v>2628.3713432441809</v>
          </cell>
          <cell r="K12">
            <v>2903.0346949897498</v>
          </cell>
          <cell r="L12">
            <v>3225.0531517998388</v>
          </cell>
          <cell r="M12">
            <v>3576.7373925703378</v>
          </cell>
          <cell r="O12">
            <v>579.49999999999989</v>
          </cell>
          <cell r="P12">
            <v>648.43812772391198</v>
          </cell>
          <cell r="Q12">
            <v>640.07399126596727</v>
          </cell>
          <cell r="R12">
            <v>760.35922425430215</v>
          </cell>
          <cell r="W12">
            <v>351.7</v>
          </cell>
          <cell r="X12">
            <v>363.40000000000003</v>
          </cell>
          <cell r="Y12">
            <v>373.7</v>
          </cell>
          <cell r="Z12">
            <v>445.90000000000003</v>
          </cell>
          <cell r="AB12">
            <v>261.50000000000006</v>
          </cell>
          <cell r="AC12">
            <v>336.90000000000003</v>
          </cell>
          <cell r="AD12">
            <v>353.2</v>
          </cell>
          <cell r="AE12">
            <v>408.09999999999997</v>
          </cell>
          <cell r="AG12">
            <v>258.90000000000003</v>
          </cell>
          <cell r="AH12">
            <v>261.69999999999993</v>
          </cell>
          <cell r="AI12">
            <v>246.90000000000003</v>
          </cell>
          <cell r="AJ12">
            <v>289.90000000000003</v>
          </cell>
          <cell r="AL12">
            <v>257.89999999999998</v>
          </cell>
          <cell r="AM12">
            <v>274.70000000000005</v>
          </cell>
          <cell r="AN12">
            <v>267.79999999999995</v>
          </cell>
          <cell r="AO12">
            <v>326.5</v>
          </cell>
          <cell r="AQ12">
            <v>241.9</v>
          </cell>
          <cell r="AR12">
            <v>257.39999999999998</v>
          </cell>
          <cell r="AS12">
            <v>247.10000000000002</v>
          </cell>
          <cell r="AT12">
            <v>320.89999999999998</v>
          </cell>
          <cell r="AV12">
            <v>213.7</v>
          </cell>
          <cell r="AW12">
            <v>237.9</v>
          </cell>
          <cell r="AX12">
            <v>232.3</v>
          </cell>
          <cell r="AY12">
            <v>300.7</v>
          </cell>
          <cell r="BD12">
            <v>673.85199999999998</v>
          </cell>
          <cell r="BE12">
            <v>801.50000000000011</v>
          </cell>
        </row>
        <row r="14">
          <cell r="A14" t="str">
            <v>Research &amp; Development</v>
          </cell>
          <cell r="B14">
            <v>-297.7</v>
          </cell>
          <cell r="C14">
            <v>-288.39999999999998</v>
          </cell>
          <cell r="D14">
            <v>-310.10000000000002</v>
          </cell>
          <cell r="E14">
            <v>-319.2</v>
          </cell>
          <cell r="F14">
            <v>-353.90000000000003</v>
          </cell>
          <cell r="G14">
            <v>-360.7</v>
          </cell>
          <cell r="H14">
            <v>-392.79999999999995</v>
          </cell>
          <cell r="I14">
            <v>-474.8</v>
          </cell>
          <cell r="J14">
            <v>-506.94214316208922</v>
          </cell>
          <cell r="K14">
            <v>-551.69151355042106</v>
          </cell>
          <cell r="L14">
            <v>-602.71538322470553</v>
          </cell>
          <cell r="M14">
            <v>-661.25594343838145</v>
          </cell>
          <cell r="O14">
            <v>-124</v>
          </cell>
          <cell r="P14">
            <v>-133.09183768758081</v>
          </cell>
          <cell r="Q14">
            <v>-120.78434761603958</v>
          </cell>
          <cell r="R14">
            <v>-129.06595785846886</v>
          </cell>
          <cell r="W14">
            <v>-75.099999999999994</v>
          </cell>
          <cell r="X14">
            <v>-81.199999999999989</v>
          </cell>
          <cell r="Y14">
            <v>-77.2</v>
          </cell>
          <cell r="Z14">
            <v>-85.699999999999989</v>
          </cell>
          <cell r="AB14">
            <v>-74.599999999999994</v>
          </cell>
          <cell r="AC14">
            <v>-79.2</v>
          </cell>
          <cell r="AD14">
            <v>-80.8</v>
          </cell>
          <cell r="AE14">
            <v>-75.5</v>
          </cell>
          <cell r="AG14">
            <v>-78.400000000000006</v>
          </cell>
          <cell r="AH14">
            <v>-76.599999999999994</v>
          </cell>
          <cell r="AI14">
            <v>-70.099999999999994</v>
          </cell>
          <cell r="AJ14">
            <v>-63.3</v>
          </cell>
          <cell r="AL14">
            <v>-70.8</v>
          </cell>
          <cell r="AM14">
            <v>-73.8</v>
          </cell>
          <cell r="AN14">
            <v>-75.8</v>
          </cell>
          <cell r="AO14">
            <v>-77.3</v>
          </cell>
          <cell r="AQ14">
            <v>-74</v>
          </cell>
          <cell r="AR14">
            <v>-73.599999999999994</v>
          </cell>
          <cell r="AS14">
            <v>-73.3</v>
          </cell>
          <cell r="AT14">
            <v>-71.699999999999989</v>
          </cell>
          <cell r="AV14">
            <v>-71</v>
          </cell>
          <cell r="AW14">
            <v>-73.900000000000006</v>
          </cell>
          <cell r="AX14">
            <v>-75.599999999999994</v>
          </cell>
          <cell r="AY14">
            <v>-72.599999999999994</v>
          </cell>
          <cell r="BD14">
            <v>-221.89999999999998</v>
          </cell>
          <cell r="BE14">
            <v>-250</v>
          </cell>
        </row>
        <row r="15">
          <cell r="A15" t="str">
            <v>Sales &amp; Marketing</v>
          </cell>
          <cell r="B15">
            <v>-383.1</v>
          </cell>
          <cell r="C15">
            <v>-351.90999999999997</v>
          </cell>
          <cell r="D15">
            <v>-475.8</v>
          </cell>
          <cell r="E15">
            <v>-529.79999999999995</v>
          </cell>
          <cell r="F15">
            <v>-621.59999999999991</v>
          </cell>
          <cell r="G15">
            <v>-653.29999999999995</v>
          </cell>
          <cell r="H15">
            <v>-734.59999999999991</v>
          </cell>
          <cell r="I15">
            <v>-876.8</v>
          </cell>
          <cell r="J15">
            <v>-939.52266748054944</v>
          </cell>
          <cell r="K15">
            <v>-1022.4410562178107</v>
          </cell>
          <cell r="L15">
            <v>-1123.6183715726474</v>
          </cell>
          <cell r="M15">
            <v>-1232.7455847196181</v>
          </cell>
          <cell r="O15">
            <v>-222.6</v>
          </cell>
          <cell r="P15">
            <v>-238.34195972577868</v>
          </cell>
          <cell r="Q15">
            <v>-227.48959861105087</v>
          </cell>
          <cell r="R15">
            <v>-251.09110914371988</v>
          </cell>
          <cell r="W15">
            <v>-130.5</v>
          </cell>
          <cell r="X15">
            <v>-127</v>
          </cell>
          <cell r="Y15">
            <v>-125.6</v>
          </cell>
          <cell r="Z15">
            <v>-146.69999999999999</v>
          </cell>
          <cell r="AB15">
            <v>-91.2</v>
          </cell>
          <cell r="AC15">
            <v>-120</v>
          </cell>
          <cell r="AD15">
            <v>-127.4</v>
          </cell>
          <cell r="AE15">
            <v>-137.19999999999999</v>
          </cell>
          <cell r="AG15">
            <v>-92.7</v>
          </cell>
          <cell r="AH15">
            <v>-90.1</v>
          </cell>
          <cell r="AI15">
            <v>-80.709999999999994</v>
          </cell>
          <cell r="AJ15">
            <v>-88.4</v>
          </cell>
          <cell r="AL15">
            <v>-91.5</v>
          </cell>
          <cell r="AM15">
            <v>-94.3</v>
          </cell>
          <cell r="AN15">
            <v>-90.5</v>
          </cell>
          <cell r="AO15">
            <v>-106.8</v>
          </cell>
          <cell r="AQ15">
            <v>-82.199999999999989</v>
          </cell>
          <cell r="AR15">
            <v>-87.6</v>
          </cell>
          <cell r="AS15">
            <v>-82.5</v>
          </cell>
          <cell r="AT15">
            <v>-94</v>
          </cell>
          <cell r="AV15">
            <v>-65.2</v>
          </cell>
          <cell r="AW15">
            <v>-72.900000000000006</v>
          </cell>
          <cell r="AX15">
            <v>-72</v>
          </cell>
          <cell r="AY15">
            <v>-83.399999999999991</v>
          </cell>
          <cell r="BD15">
            <v>-173.7</v>
          </cell>
          <cell r="BE15">
            <v>-223</v>
          </cell>
        </row>
        <row r="16">
          <cell r="A16" t="str">
            <v>General &amp; Administrative</v>
          </cell>
          <cell r="B16">
            <v>-104.10000000000001</v>
          </cell>
          <cell r="C16">
            <v>-103.31</v>
          </cell>
          <cell r="D16">
            <v>-122.1</v>
          </cell>
          <cell r="E16">
            <v>-143.1</v>
          </cell>
          <cell r="F16">
            <v>-152.30000000000001</v>
          </cell>
          <cell r="G16">
            <v>-145.6</v>
          </cell>
          <cell r="H16">
            <v>-178</v>
          </cell>
          <cell r="I16">
            <v>-203.60000000000002</v>
          </cell>
          <cell r="J16">
            <v>-218.34174355349808</v>
          </cell>
          <cell r="K16">
            <v>-234.08577204255153</v>
          </cell>
          <cell r="L16">
            <v>-254.35641658834544</v>
          </cell>
          <cell r="M16">
            <v>-279.05764021293203</v>
          </cell>
          <cell r="O16">
            <v>-51.2</v>
          </cell>
          <cell r="P16">
            <v>-52.308677886719558</v>
          </cell>
          <cell r="Q16">
            <v>-53.986113667005895</v>
          </cell>
          <cell r="R16">
            <v>-60.846951999772607</v>
          </cell>
          <cell r="W16">
            <v>-30</v>
          </cell>
          <cell r="X16">
            <v>-35</v>
          </cell>
          <cell r="Y16">
            <v>-32.5</v>
          </cell>
          <cell r="Z16">
            <v>-45.6</v>
          </cell>
          <cell r="AB16">
            <v>-26.6</v>
          </cell>
          <cell r="AC16">
            <v>-28.2</v>
          </cell>
          <cell r="AD16">
            <v>-30.5</v>
          </cell>
          <cell r="AE16">
            <v>-36.799999999999997</v>
          </cell>
          <cell r="AG16">
            <v>-27.4</v>
          </cell>
          <cell r="AH16">
            <v>-26.8</v>
          </cell>
          <cell r="AI16">
            <v>-21.61</v>
          </cell>
          <cell r="AJ16">
            <v>-27.5</v>
          </cell>
          <cell r="AL16">
            <v>-25.4</v>
          </cell>
          <cell r="AM16">
            <v>-24.8</v>
          </cell>
          <cell r="AN16">
            <v>-25.6</v>
          </cell>
          <cell r="AO16">
            <v>-28.3</v>
          </cell>
          <cell r="AQ16">
            <v>-20.599999999999998</v>
          </cell>
          <cell r="AR16">
            <v>-24</v>
          </cell>
          <cell r="AS16">
            <v>-23.5</v>
          </cell>
          <cell r="AT16">
            <v>-25.8</v>
          </cell>
          <cell r="AV16">
            <v>-17</v>
          </cell>
          <cell r="AW16">
            <v>-20.9</v>
          </cell>
          <cell r="AX16">
            <v>-20.299999999999997</v>
          </cell>
          <cell r="AY16">
            <v>-23.599999999999998</v>
          </cell>
          <cell r="BD16">
            <v>-47.1</v>
          </cell>
          <cell r="BE16">
            <v>-58.6</v>
          </cell>
        </row>
        <row r="17">
          <cell r="A17" t="str">
            <v>Total Expenses</v>
          </cell>
          <cell r="B17">
            <v>-784.9</v>
          </cell>
          <cell r="C17">
            <v>-743.61999999999989</v>
          </cell>
          <cell r="D17">
            <v>-908.00000000000011</v>
          </cell>
          <cell r="E17">
            <v>-992.1</v>
          </cell>
          <cell r="F17">
            <v>-1127.8</v>
          </cell>
          <cell r="G17">
            <v>-1159.5999999999999</v>
          </cell>
          <cell r="H17">
            <v>-1305.3999999999999</v>
          </cell>
          <cell r="I17">
            <v>-1555.1999999999998</v>
          </cell>
          <cell r="J17">
            <v>-1664.8065541961369</v>
          </cell>
          <cell r="K17">
            <v>-1808.2183418107834</v>
          </cell>
          <cell r="L17">
            <v>-1980.6901713856982</v>
          </cell>
          <cell r="M17">
            <v>-2173.0591683709317</v>
          </cell>
          <cell r="O17">
            <v>-397.8</v>
          </cell>
          <cell r="P17">
            <v>-423.74247530007904</v>
          </cell>
          <cell r="Q17">
            <v>-402.26005989409634</v>
          </cell>
          <cell r="R17">
            <v>-441.00401900196135</v>
          </cell>
          <cell r="W17">
            <v>-235.6</v>
          </cell>
          <cell r="X17">
            <v>-243.2</v>
          </cell>
          <cell r="Y17">
            <v>-235.3</v>
          </cell>
          <cell r="Z17">
            <v>-278</v>
          </cell>
          <cell r="AB17">
            <v>-192.4</v>
          </cell>
          <cell r="AC17">
            <v>-227.39999999999998</v>
          </cell>
          <cell r="AD17">
            <v>-238.7</v>
          </cell>
          <cell r="AE17">
            <v>-249.5</v>
          </cell>
          <cell r="AG17">
            <v>-198.50000000000003</v>
          </cell>
          <cell r="AH17">
            <v>-193.5</v>
          </cell>
          <cell r="AI17">
            <v>-172.42000000000002</v>
          </cell>
          <cell r="AJ17">
            <v>-179.2</v>
          </cell>
          <cell r="AL17">
            <v>-187.70000000000002</v>
          </cell>
          <cell r="AM17">
            <v>-192.9</v>
          </cell>
          <cell r="AN17">
            <v>-191.9</v>
          </cell>
          <cell r="AO17">
            <v>-212.4</v>
          </cell>
          <cell r="AQ17">
            <v>-176.79999999999998</v>
          </cell>
          <cell r="AR17">
            <v>-185.2</v>
          </cell>
          <cell r="AS17">
            <v>-179.3</v>
          </cell>
          <cell r="AT17">
            <v>-191.5</v>
          </cell>
          <cell r="AV17">
            <v>-153.19999999999999</v>
          </cell>
          <cell r="AW17">
            <v>-167.70000000000002</v>
          </cell>
          <cell r="AX17">
            <v>-167.89999999999998</v>
          </cell>
          <cell r="AY17">
            <v>-179.6</v>
          </cell>
          <cell r="BD17">
            <v>-442.7</v>
          </cell>
          <cell r="BE17">
            <v>-531.6</v>
          </cell>
        </row>
        <row r="19">
          <cell r="A19" t="str">
            <v>DS non IFRS EBIT</v>
          </cell>
          <cell r="B19">
            <v>342.00000000000011</v>
          </cell>
          <cell r="C19">
            <v>313.78000000000043</v>
          </cell>
          <cell r="D19">
            <v>451.69999999999993</v>
          </cell>
          <cell r="E19">
            <v>542.6</v>
          </cell>
          <cell r="F19">
            <v>644.29999999999995</v>
          </cell>
          <cell r="G19">
            <v>652.80000000000018</v>
          </cell>
          <cell r="H19">
            <v>699.2</v>
          </cell>
          <cell r="I19">
            <v>884.90000000000055</v>
          </cell>
          <cell r="J19">
            <v>963.56478904804408</v>
          </cell>
          <cell r="K19">
            <v>1094.8163531789664</v>
          </cell>
          <cell r="L19">
            <v>1244.3629804141406</v>
          </cell>
          <cell r="M19">
            <v>1403.678224199406</v>
          </cell>
          <cell r="O19">
            <v>181.69999999999987</v>
          </cell>
          <cell r="P19">
            <v>224.69565242383294</v>
          </cell>
          <cell r="Q19">
            <v>237.81393137187092</v>
          </cell>
          <cell r="R19">
            <v>319.3552052523408</v>
          </cell>
          <cell r="W19">
            <v>116.1</v>
          </cell>
          <cell r="X19">
            <v>120.20000000000005</v>
          </cell>
          <cell r="Y19">
            <v>138.39999999999998</v>
          </cell>
          <cell r="Z19">
            <v>167.90000000000003</v>
          </cell>
          <cell r="AB19">
            <v>69.100000000000051</v>
          </cell>
          <cell r="AC19">
            <v>109.50000000000006</v>
          </cell>
          <cell r="AD19">
            <v>114.5</v>
          </cell>
          <cell r="AE19">
            <v>158.59999999999997</v>
          </cell>
          <cell r="AG19">
            <v>60.400000000000006</v>
          </cell>
          <cell r="AH19">
            <v>68.199999999999932</v>
          </cell>
          <cell r="AI19">
            <v>74.480000000000018</v>
          </cell>
          <cell r="AJ19">
            <v>110.70000000000005</v>
          </cell>
          <cell r="AL19">
            <v>70.19999999999996</v>
          </cell>
          <cell r="AM19">
            <v>81.80000000000004</v>
          </cell>
          <cell r="AN19">
            <v>75.899999999999949</v>
          </cell>
          <cell r="AO19">
            <v>114.1</v>
          </cell>
          <cell r="AQ19">
            <v>65.100000000000023</v>
          </cell>
          <cell r="AR19">
            <v>72.199999999999989</v>
          </cell>
          <cell r="AS19">
            <v>67.800000000000011</v>
          </cell>
          <cell r="AT19">
            <v>129.39999999999998</v>
          </cell>
          <cell r="AV19">
            <v>60.5</v>
          </cell>
          <cell r="AW19">
            <v>70.199999999999989</v>
          </cell>
          <cell r="AX19">
            <v>64.400000000000034</v>
          </cell>
          <cell r="AY19">
            <v>121.1</v>
          </cell>
          <cell r="BD19">
            <v>231.15199999999999</v>
          </cell>
          <cell r="BE19">
            <v>269.90000000000009</v>
          </cell>
        </row>
        <row r="20">
          <cell r="A20" t="str">
            <v>Stock based compensation</v>
          </cell>
          <cell r="B20">
            <v>-22</v>
          </cell>
          <cell r="C20">
            <v>-24.5</v>
          </cell>
          <cell r="D20">
            <v>-20.9</v>
          </cell>
          <cell r="E20">
            <v>-20.7</v>
          </cell>
          <cell r="F20">
            <v>-36.799999999999997</v>
          </cell>
          <cell r="G20">
            <v>-35.5</v>
          </cell>
          <cell r="H20">
            <v>-43.399999999999991</v>
          </cell>
          <cell r="I20">
            <v>-42.400000000000006</v>
          </cell>
          <cell r="J20">
            <v>-54.56</v>
          </cell>
          <cell r="K20">
            <v>-57.288000000000011</v>
          </cell>
          <cell r="L20">
            <v>-60.152400000000014</v>
          </cell>
          <cell r="M20">
            <v>-63.160020000000017</v>
          </cell>
          <cell r="O20">
            <v>-15.5</v>
          </cell>
          <cell r="P20">
            <v>-5.6700000000000008</v>
          </cell>
          <cell r="Q20">
            <v>-11.76</v>
          </cell>
          <cell r="R20">
            <v>-21.630000000000003</v>
          </cell>
          <cell r="W20">
            <v>-3.8</v>
          </cell>
          <cell r="X20">
            <v>-4</v>
          </cell>
          <cell r="Y20">
            <v>-6.9</v>
          </cell>
          <cell r="Z20">
            <v>-6</v>
          </cell>
          <cell r="AB20">
            <v>-4.8</v>
          </cell>
          <cell r="AC20">
            <v>-6.9</v>
          </cell>
          <cell r="AD20">
            <v>-5.3</v>
          </cell>
          <cell r="AE20">
            <v>-3.9</v>
          </cell>
        </row>
        <row r="21">
          <cell r="A21" t="str">
            <v>MS EBIT</v>
          </cell>
          <cell r="B21">
            <v>320.00000000000011</v>
          </cell>
          <cell r="C21">
            <v>289.28000000000043</v>
          </cell>
          <cell r="D21">
            <v>430.79999999999995</v>
          </cell>
          <cell r="E21">
            <v>521.9</v>
          </cell>
          <cell r="F21">
            <v>607.5</v>
          </cell>
          <cell r="G21">
            <v>617.30000000000018</v>
          </cell>
          <cell r="H21">
            <v>655.80000000000007</v>
          </cell>
          <cell r="I21">
            <v>842.50000000000057</v>
          </cell>
          <cell r="J21">
            <v>909.00478904804413</v>
          </cell>
          <cell r="K21">
            <v>1037.5283531789664</v>
          </cell>
          <cell r="L21">
            <v>1184.2105804141406</v>
          </cell>
          <cell r="M21">
            <v>1340.518204199406</v>
          </cell>
          <cell r="O21">
            <v>166.19999999999987</v>
          </cell>
          <cell r="P21">
            <v>219.02565242383295</v>
          </cell>
          <cell r="Q21">
            <v>226.05393137187093</v>
          </cell>
          <cell r="R21">
            <v>297.7252052523408</v>
          </cell>
          <cell r="W21">
            <v>112.3</v>
          </cell>
          <cell r="X21">
            <v>116.20000000000005</v>
          </cell>
          <cell r="Y21">
            <v>131.49999999999997</v>
          </cell>
          <cell r="Z21">
            <v>161.90000000000003</v>
          </cell>
          <cell r="AB21">
            <v>64.300000000000054</v>
          </cell>
          <cell r="AC21">
            <v>102.60000000000005</v>
          </cell>
          <cell r="AD21">
            <v>109.2</v>
          </cell>
          <cell r="AE21">
            <v>154.69999999999996</v>
          </cell>
        </row>
        <row r="22">
          <cell r="A22" t="str">
            <v>Amortisation / other exceptionals</v>
          </cell>
          <cell r="B22">
            <v>-46.1</v>
          </cell>
          <cell r="C22">
            <v>-58.21</v>
          </cell>
          <cell r="D22">
            <v>-108.8</v>
          </cell>
          <cell r="E22">
            <v>-94.000000000000014</v>
          </cell>
          <cell r="F22">
            <v>-106.5</v>
          </cell>
          <cell r="G22">
            <v>-114.24999999999999</v>
          </cell>
          <cell r="H22">
            <v>-225</v>
          </cell>
          <cell r="I22">
            <v>-209.4</v>
          </cell>
          <cell r="J22">
            <v>-161.30000000000001</v>
          </cell>
          <cell r="K22">
            <v>-117.60000000000001</v>
          </cell>
          <cell r="L22">
            <v>0</v>
          </cell>
          <cell r="M22">
            <v>0</v>
          </cell>
          <cell r="O22">
            <v>-43.7</v>
          </cell>
          <cell r="P22">
            <v>-39.200000000000003</v>
          </cell>
          <cell r="Q22">
            <v>-39.200000000000003</v>
          </cell>
          <cell r="R22">
            <v>-39.200000000000003</v>
          </cell>
          <cell r="W22">
            <v>-21.5</v>
          </cell>
          <cell r="X22">
            <v>-23</v>
          </cell>
          <cell r="Y22">
            <v>-23.300000000000004</v>
          </cell>
          <cell r="Z22">
            <v>-26.200000000000003</v>
          </cell>
          <cell r="AB22">
            <v>-14.799999999999997</v>
          </cell>
          <cell r="AC22">
            <v>-30.6</v>
          </cell>
          <cell r="AD22">
            <v>-33.4</v>
          </cell>
          <cell r="AE22">
            <v>-30</v>
          </cell>
          <cell r="AG22">
            <v>-13.800000000000002</v>
          </cell>
          <cell r="AH22">
            <v>-19.310000000000002</v>
          </cell>
          <cell r="AI22">
            <v>-12.199999999999998</v>
          </cell>
          <cell r="AJ22">
            <v>-12.9</v>
          </cell>
          <cell r="AL22">
            <v>-11.999999999999998</v>
          </cell>
          <cell r="AM22">
            <v>-12.500000000000004</v>
          </cell>
          <cell r="AN22">
            <v>-16.8</v>
          </cell>
          <cell r="AO22">
            <v>-4.8000000000000043</v>
          </cell>
          <cell r="AQ22">
            <v>-14.7</v>
          </cell>
          <cell r="AR22">
            <v>-13.999999999999998</v>
          </cell>
          <cell r="AS22">
            <v>-15.799999999999999</v>
          </cell>
          <cell r="AT22">
            <v>-19.399999999999999</v>
          </cell>
          <cell r="AV22">
            <v>-11.100000000000001</v>
          </cell>
          <cell r="AW22">
            <v>-18.2</v>
          </cell>
          <cell r="AX22">
            <v>-17</v>
          </cell>
          <cell r="AY22">
            <v>-12.399999999999997</v>
          </cell>
          <cell r="BD22">
            <v>-1.375</v>
          </cell>
          <cell r="BE22">
            <v>-17.115999999999996</v>
          </cell>
        </row>
        <row r="23">
          <cell r="A23" t="str">
            <v>Stated EBIT</v>
          </cell>
          <cell r="B23">
            <v>273.90000000000009</v>
          </cell>
          <cell r="C23">
            <v>231.07000000000042</v>
          </cell>
          <cell r="D23">
            <v>321.99999999999994</v>
          </cell>
          <cell r="E23">
            <v>427.9</v>
          </cell>
          <cell r="F23">
            <v>501</v>
          </cell>
          <cell r="G23">
            <v>503.05000000000018</v>
          </cell>
          <cell r="H23">
            <v>430.80000000000007</v>
          </cell>
          <cell r="I23">
            <v>633.10000000000059</v>
          </cell>
          <cell r="J23">
            <v>747.70478904804418</v>
          </cell>
          <cell r="K23">
            <v>919.9283531789664</v>
          </cell>
          <cell r="L23">
            <v>1184.2105804141406</v>
          </cell>
          <cell r="M23">
            <v>1340.518204199406</v>
          </cell>
          <cell r="O23">
            <v>122.49999999999987</v>
          </cell>
          <cell r="P23">
            <v>179.82565242383293</v>
          </cell>
          <cell r="Q23">
            <v>186.85393137187094</v>
          </cell>
          <cell r="R23">
            <v>258.52520525234081</v>
          </cell>
          <cell r="W23">
            <v>90.8</v>
          </cell>
          <cell r="X23">
            <v>93.200000000000045</v>
          </cell>
          <cell r="Y23">
            <v>108.19999999999996</v>
          </cell>
          <cell r="Z23">
            <v>135.70000000000005</v>
          </cell>
          <cell r="AB23">
            <v>49.500000000000057</v>
          </cell>
          <cell r="AC23">
            <v>72.000000000000057</v>
          </cell>
          <cell r="AD23">
            <v>75.800000000000011</v>
          </cell>
          <cell r="AE23">
            <v>124.69999999999996</v>
          </cell>
          <cell r="AG23">
            <v>40.200000000000003</v>
          </cell>
          <cell r="AH23">
            <v>42.489999999999931</v>
          </cell>
          <cell r="AI23">
            <v>56.680000000000028</v>
          </cell>
          <cell r="AJ23">
            <v>91.700000000000045</v>
          </cell>
          <cell r="AL23">
            <v>53.099999999999966</v>
          </cell>
          <cell r="AM23">
            <v>64.600000000000037</v>
          </cell>
          <cell r="AN23">
            <v>55.099999999999952</v>
          </cell>
          <cell r="AO23">
            <v>101.1</v>
          </cell>
          <cell r="AQ23">
            <v>46.100000000000023</v>
          </cell>
          <cell r="AR23">
            <v>54.799999999999983</v>
          </cell>
          <cell r="AS23">
            <v>46.900000000000013</v>
          </cell>
          <cell r="AT23">
            <v>104.89999999999998</v>
          </cell>
          <cell r="AV23">
            <v>47.199999999999996</v>
          </cell>
          <cell r="AW23">
            <v>49.699999999999989</v>
          </cell>
          <cell r="AX23">
            <v>44.700000000000031</v>
          </cell>
          <cell r="AY23">
            <v>104.3</v>
          </cell>
          <cell r="BD23">
            <v>229.77699999999999</v>
          </cell>
          <cell r="BE23">
            <v>252.78400000000011</v>
          </cell>
        </row>
        <row r="25">
          <cell r="A25" t="str">
            <v>Net Interest</v>
          </cell>
          <cell r="B25">
            <v>8.9999999999999982</v>
          </cell>
          <cell r="C25">
            <v>-4.0999999999999996</v>
          </cell>
          <cell r="D25">
            <v>-1.9999999999999998</v>
          </cell>
          <cell r="E25">
            <v>1.0999999999999996</v>
          </cell>
          <cell r="F25">
            <v>18.099999999999998</v>
          </cell>
          <cell r="G25">
            <v>18</v>
          </cell>
          <cell r="H25">
            <v>15</v>
          </cell>
          <cell r="I25">
            <v>-4.4408920985006262E-16</v>
          </cell>
          <cell r="J25">
            <v>-2.4849999999999999</v>
          </cell>
          <cell r="K25">
            <v>9.2060500000000012</v>
          </cell>
          <cell r="L25">
            <v>10.480473500000002</v>
          </cell>
          <cell r="M25">
            <v>11.844106645000005</v>
          </cell>
          <cell r="O25">
            <v>-9.1999999999999993</v>
          </cell>
          <cell r="P25">
            <v>3.3749999999999991</v>
          </cell>
          <cell r="Q25">
            <v>3.35</v>
          </cell>
          <cell r="R25">
            <v>-9.9999999999997868E-3</v>
          </cell>
          <cell r="W25">
            <v>3.2999999999999989</v>
          </cell>
          <cell r="X25">
            <v>1.1000000000000003</v>
          </cell>
          <cell r="Y25">
            <v>1.7999999999999998</v>
          </cell>
          <cell r="Z25">
            <v>-5.0999999999999996</v>
          </cell>
          <cell r="AB25">
            <v>5.7</v>
          </cell>
          <cell r="AC25">
            <v>-3.3</v>
          </cell>
          <cell r="AD25">
            <v>-4.4000000000000004</v>
          </cell>
          <cell r="AE25">
            <v>1.3877787807814457E-16</v>
          </cell>
          <cell r="AG25">
            <v>0.30000000000000021</v>
          </cell>
          <cell r="AH25">
            <v>-4.5</v>
          </cell>
          <cell r="AI25">
            <v>-0.79999999999999993</v>
          </cell>
          <cell r="AJ25">
            <v>0.89999999999999991</v>
          </cell>
          <cell r="AL25">
            <v>0.1999999999999999</v>
          </cell>
          <cell r="AM25">
            <v>9.999999999999945E-2</v>
          </cell>
          <cell r="AN25">
            <v>9.8999999999999986</v>
          </cell>
          <cell r="AO25">
            <v>-1.1999999999999995</v>
          </cell>
          <cell r="AQ25">
            <v>3.0259999999999998</v>
          </cell>
          <cell r="AR25">
            <v>3.2719999999999994</v>
          </cell>
          <cell r="AS25">
            <v>1.7170000000000003</v>
          </cell>
          <cell r="AT25">
            <v>-0.68499999999999961</v>
          </cell>
          <cell r="AV25">
            <v>1.5999999999999996</v>
          </cell>
          <cell r="AW25">
            <v>-3.9999999999999991</v>
          </cell>
          <cell r="AX25">
            <v>1.5999999999999999</v>
          </cell>
          <cell r="AY25">
            <v>5.5</v>
          </cell>
          <cell r="BD25">
            <v>7.5</v>
          </cell>
          <cell r="BE25">
            <v>13.5</v>
          </cell>
        </row>
        <row r="27">
          <cell r="A27" t="str">
            <v>DS non IFRS PBT</v>
          </cell>
          <cell r="B27">
            <v>351.00000000000011</v>
          </cell>
          <cell r="C27">
            <v>309.6800000000004</v>
          </cell>
          <cell r="D27">
            <v>449.69999999999993</v>
          </cell>
          <cell r="E27">
            <v>541.30000000000007</v>
          </cell>
          <cell r="F27">
            <v>655</v>
          </cell>
          <cell r="G27">
            <v>670.4000000000002</v>
          </cell>
          <cell r="H27">
            <v>712.30000000000007</v>
          </cell>
          <cell r="I27">
            <v>884.90000000000055</v>
          </cell>
          <cell r="J27">
            <v>966.47978904804404</v>
          </cell>
          <cell r="K27">
            <v>1104.0224031789664</v>
          </cell>
          <cell r="L27">
            <v>1254.8434539141406</v>
          </cell>
          <cell r="M27">
            <v>1415.522330844406</v>
          </cell>
          <cell r="O27">
            <v>177.89999999999989</v>
          </cell>
          <cell r="P27">
            <v>228.07065242383294</v>
          </cell>
          <cell r="Q27">
            <v>241.16393137187092</v>
          </cell>
          <cell r="R27">
            <v>319.3452052523408</v>
          </cell>
          <cell r="W27">
            <v>116.1</v>
          </cell>
          <cell r="X27">
            <v>119.60000000000004</v>
          </cell>
          <cell r="Y27">
            <v>138.5</v>
          </cell>
          <cell r="Z27">
            <v>167.10000000000005</v>
          </cell>
          <cell r="AB27">
            <v>74.800000000000054</v>
          </cell>
          <cell r="AC27">
            <v>106.20000000000006</v>
          </cell>
          <cell r="AD27">
            <v>110.1</v>
          </cell>
          <cell r="AE27">
            <v>158.59999999999997</v>
          </cell>
          <cell r="AG27">
            <v>60.7</v>
          </cell>
          <cell r="AH27">
            <v>63.699999999999932</v>
          </cell>
          <cell r="AI27">
            <v>73.680000000000021</v>
          </cell>
          <cell r="AJ27">
            <v>111.60000000000005</v>
          </cell>
          <cell r="AL27">
            <v>70.399999999999963</v>
          </cell>
          <cell r="AM27">
            <v>81.900000000000034</v>
          </cell>
          <cell r="AN27">
            <v>85.799999999999955</v>
          </cell>
          <cell r="AO27">
            <v>112.89999999999999</v>
          </cell>
          <cell r="AQ27">
            <v>68.126000000000019</v>
          </cell>
          <cell r="AR27">
            <v>75.471999999999994</v>
          </cell>
          <cell r="AS27">
            <v>69.51700000000001</v>
          </cell>
          <cell r="AT27">
            <v>128.71499999999997</v>
          </cell>
          <cell r="AV27">
            <v>62.1</v>
          </cell>
          <cell r="AW27">
            <v>66.199999999999989</v>
          </cell>
          <cell r="AX27">
            <v>66.000000000000028</v>
          </cell>
          <cell r="AY27">
            <v>126.6</v>
          </cell>
          <cell r="BD27">
            <v>238.65199999999999</v>
          </cell>
          <cell r="BE27">
            <v>283.40000000000009</v>
          </cell>
        </row>
        <row r="28">
          <cell r="A28" t="str">
            <v>MS PBT</v>
          </cell>
          <cell r="B28">
            <v>329.00000000000011</v>
          </cell>
          <cell r="C28">
            <v>285.1800000000004</v>
          </cell>
          <cell r="D28">
            <v>428.79999999999995</v>
          </cell>
          <cell r="E28">
            <v>520.6</v>
          </cell>
          <cell r="F28">
            <v>618.20000000000005</v>
          </cell>
          <cell r="G28">
            <v>634.9000000000002</v>
          </cell>
          <cell r="H28">
            <v>668.90000000000009</v>
          </cell>
          <cell r="I28">
            <v>842.50000000000057</v>
          </cell>
          <cell r="J28">
            <v>911.91978904804409</v>
          </cell>
          <cell r="K28">
            <v>1046.7344031789664</v>
          </cell>
          <cell r="L28">
            <v>1194.6910539141406</v>
          </cell>
          <cell r="M28">
            <v>1352.362310844406</v>
          </cell>
          <cell r="O28">
            <v>156.99999999999989</v>
          </cell>
          <cell r="P28">
            <v>222.40065242383295</v>
          </cell>
          <cell r="Q28">
            <v>229.40393137187093</v>
          </cell>
          <cell r="R28">
            <v>297.71520525234081</v>
          </cell>
          <cell r="W28">
            <v>112.3</v>
          </cell>
          <cell r="X28">
            <v>115.60000000000004</v>
          </cell>
          <cell r="Y28">
            <v>131.6</v>
          </cell>
          <cell r="Z28">
            <v>161.10000000000005</v>
          </cell>
          <cell r="AB28">
            <v>70.000000000000057</v>
          </cell>
          <cell r="AC28">
            <v>99.300000000000054</v>
          </cell>
          <cell r="AD28">
            <v>104.8</v>
          </cell>
          <cell r="AE28">
            <v>154.69999999999996</v>
          </cell>
        </row>
        <row r="29">
          <cell r="A29" t="str">
            <v>Stated PBT</v>
          </cell>
          <cell r="B29">
            <v>282.90000000000009</v>
          </cell>
          <cell r="C29">
            <v>226.97000000000043</v>
          </cell>
          <cell r="D29">
            <v>319.99999999999994</v>
          </cell>
          <cell r="E29">
            <v>429</v>
          </cell>
          <cell r="F29">
            <v>519.1</v>
          </cell>
          <cell r="G29">
            <v>521.05000000000018</v>
          </cell>
          <cell r="H29">
            <v>445.80000000000007</v>
          </cell>
          <cell r="I29">
            <v>633.10000000000059</v>
          </cell>
          <cell r="J29">
            <v>745.21978904804416</v>
          </cell>
          <cell r="K29">
            <v>929.13440317896641</v>
          </cell>
          <cell r="L29">
            <v>1194.6910539141406</v>
          </cell>
          <cell r="M29">
            <v>1352.362310844406</v>
          </cell>
          <cell r="O29">
            <v>113.29999999999987</v>
          </cell>
          <cell r="P29">
            <v>183.20065242383293</v>
          </cell>
          <cell r="Q29">
            <v>190.20393137187094</v>
          </cell>
          <cell r="R29">
            <v>258.51520525234082</v>
          </cell>
          <cell r="W29">
            <v>94.1</v>
          </cell>
          <cell r="X29">
            <v>94.30000000000004</v>
          </cell>
          <cell r="Y29">
            <v>109.99999999999996</v>
          </cell>
          <cell r="Z29">
            <v>130.60000000000005</v>
          </cell>
          <cell r="AB29">
            <v>55.20000000000006</v>
          </cell>
          <cell r="AC29">
            <v>68.70000000000006</v>
          </cell>
          <cell r="AD29">
            <v>71.400000000000006</v>
          </cell>
          <cell r="AE29">
            <v>124.69999999999996</v>
          </cell>
          <cell r="AG29">
            <v>40.5</v>
          </cell>
          <cell r="AH29">
            <v>37.989999999999931</v>
          </cell>
          <cell r="AI29">
            <v>55.880000000000031</v>
          </cell>
          <cell r="AJ29">
            <v>92.600000000000051</v>
          </cell>
          <cell r="AL29">
            <v>53.299999999999969</v>
          </cell>
          <cell r="AM29">
            <v>64.700000000000031</v>
          </cell>
          <cell r="AN29">
            <v>64.999999999999943</v>
          </cell>
          <cell r="AO29">
            <v>99.899999999999991</v>
          </cell>
          <cell r="AQ29">
            <v>49.126000000000019</v>
          </cell>
          <cell r="AR29">
            <v>58.071999999999981</v>
          </cell>
          <cell r="AS29">
            <v>48.617000000000012</v>
          </cell>
          <cell r="AT29">
            <v>104.21499999999997</v>
          </cell>
          <cell r="AV29">
            <v>48.8</v>
          </cell>
          <cell r="AW29">
            <v>45.699999999999989</v>
          </cell>
          <cell r="AX29">
            <v>46.300000000000033</v>
          </cell>
          <cell r="AY29">
            <v>109.8</v>
          </cell>
          <cell r="BD29">
            <v>237.27699999999999</v>
          </cell>
          <cell r="BE29">
            <v>266.28400000000011</v>
          </cell>
        </row>
        <row r="31">
          <cell r="A31" t="str">
            <v>DS non IFRS Tax</v>
          </cell>
          <cell r="B31">
            <v>-109.80000000000001</v>
          </cell>
          <cell r="C31">
            <v>-88.300000000000011</v>
          </cell>
          <cell r="D31">
            <v>-147</v>
          </cell>
          <cell r="E31">
            <v>-177.6</v>
          </cell>
          <cell r="F31">
            <v>-226.5</v>
          </cell>
          <cell r="G31">
            <v>-221.95000000000002</v>
          </cell>
          <cell r="H31">
            <v>-245.10000000000002</v>
          </cell>
          <cell r="I31">
            <v>-304.39999999999998</v>
          </cell>
          <cell r="J31">
            <v>-325.35019494483595</v>
          </cell>
          <cell r="K31">
            <v>-390.62505571374055</v>
          </cell>
          <cell r="L31">
            <v>-443.97664078532387</v>
          </cell>
          <cell r="M31">
            <v>-500.81790575464356</v>
          </cell>
          <cell r="O31">
            <v>-46</v>
          </cell>
          <cell r="P31">
            <v>-82.444101270610645</v>
          </cell>
          <cell r="Q31">
            <v>-81.995736666436116</v>
          </cell>
          <cell r="R31">
            <v>-114.9103570077892</v>
          </cell>
          <cell r="W31">
            <v>-37.299999999999997</v>
          </cell>
          <cell r="X31">
            <v>-39.9</v>
          </cell>
          <cell r="Y31">
            <v>-42.3</v>
          </cell>
          <cell r="Z31">
            <v>-58.1</v>
          </cell>
          <cell r="AB31">
            <v>-23.5</v>
          </cell>
          <cell r="AC31">
            <v>-35.9</v>
          </cell>
          <cell r="AD31">
            <v>-30.8</v>
          </cell>
          <cell r="AE31">
            <v>-56.8</v>
          </cell>
          <cell r="AG31">
            <v>-17.3</v>
          </cell>
          <cell r="AH31">
            <v>-19.600000000000001</v>
          </cell>
          <cell r="AI31">
            <v>-21.4</v>
          </cell>
          <cell r="AJ31">
            <v>-30</v>
          </cell>
          <cell r="AL31">
            <v>-21.7</v>
          </cell>
          <cell r="AM31">
            <v>-26.7</v>
          </cell>
          <cell r="AN31">
            <v>-27</v>
          </cell>
          <cell r="AO31">
            <v>-34.4</v>
          </cell>
          <cell r="AQ31">
            <v>-21.8</v>
          </cell>
          <cell r="AR31">
            <v>-25.423999999999999</v>
          </cell>
          <cell r="AS31">
            <v>-22.7</v>
          </cell>
          <cell r="AT31">
            <v>-34.4</v>
          </cell>
          <cell r="AV31">
            <v>-21.4</v>
          </cell>
          <cell r="AW31">
            <v>-22.8</v>
          </cell>
          <cell r="AX31">
            <v>-18.3</v>
          </cell>
          <cell r="AY31">
            <v>-40.9</v>
          </cell>
          <cell r="BD31">
            <v>-81.099999999999994</v>
          </cell>
          <cell r="BE31">
            <v>-98</v>
          </cell>
        </row>
        <row r="32">
          <cell r="A32" t="str">
            <v>MS Tax</v>
          </cell>
          <cell r="B32">
            <v>-102.93851302087711</v>
          </cell>
          <cell r="C32">
            <v>-81.240438623792173</v>
          </cell>
          <cell r="D32">
            <v>-140.28011928802079</v>
          </cell>
          <cell r="E32">
            <v>-170.85116717606303</v>
          </cell>
          <cell r="F32">
            <v>-213.97945070938945</v>
          </cell>
          <cell r="G32">
            <v>-210.28023910680693</v>
          </cell>
          <cell r="H32">
            <v>-230.04968761696256</v>
          </cell>
          <cell r="I32">
            <v>-289.85867505524362</v>
          </cell>
          <cell r="J32">
            <v>-306.11486773201858</v>
          </cell>
          <cell r="K32">
            <v>-370.37352976254192</v>
          </cell>
          <cell r="L32">
            <v>-422.71253853656538</v>
          </cell>
          <cell r="M32">
            <v>-478.49059839344716</v>
          </cell>
          <cell r="O32">
            <v>-40.595840359752671</v>
          </cell>
          <cell r="P32">
            <v>-80.394481781051482</v>
          </cell>
          <cell r="Q32">
            <v>-77.997336666436127</v>
          </cell>
          <cell r="R32">
            <v>-107.1272089247783</v>
          </cell>
          <cell r="W32">
            <v>-36.079155900086128</v>
          </cell>
          <cell r="X32">
            <v>-38.565551839464881</v>
          </cell>
          <cell r="Y32">
            <v>-40.192635379061365</v>
          </cell>
          <cell r="Z32">
            <v>-56.013824057450634</v>
          </cell>
          <cell r="AB32">
            <v>-21.991978609625669</v>
          </cell>
          <cell r="AC32">
            <v>-33.567514124293787</v>
          </cell>
          <cell r="AD32">
            <v>-29.31734786557675</v>
          </cell>
          <cell r="AE32">
            <v>-55.403278688524587</v>
          </cell>
        </row>
        <row r="33">
          <cell r="A33" t="str">
            <v>Tax</v>
          </cell>
          <cell r="B33">
            <v>-81.900000000000006</v>
          </cell>
          <cell r="C33">
            <v>-56.9</v>
          </cell>
          <cell r="D33">
            <v>-99.4</v>
          </cell>
          <cell r="E33">
            <v>-138.5</v>
          </cell>
          <cell r="F33">
            <v>-180.3</v>
          </cell>
          <cell r="G33">
            <v>-165.75</v>
          </cell>
          <cell r="H33">
            <v>-153.19999999999999</v>
          </cell>
          <cell r="I33">
            <v>-226.9</v>
          </cell>
          <cell r="J33">
            <v>-270.64087606116152</v>
          </cell>
          <cell r="K33">
            <v>-360.35845506079738</v>
          </cell>
          <cell r="L33">
            <v>-461.81420408849067</v>
          </cell>
          <cell r="M33">
            <v>-522.66470621304381</v>
          </cell>
          <cell r="O33">
            <v>-22.6</v>
          </cell>
          <cell r="P33">
            <v>-67.333075610998335</v>
          </cell>
          <cell r="Q33">
            <v>-76.598770299314211</v>
          </cell>
          <cell r="R33">
            <v>-104.10903015084898</v>
          </cell>
          <cell r="W33">
            <v>-30.2</v>
          </cell>
          <cell r="X33">
            <v>-30</v>
          </cell>
          <cell r="Y33">
            <v>-33.1</v>
          </cell>
          <cell r="Z33">
            <v>-45.2</v>
          </cell>
          <cell r="AB33">
            <v>-17.399999999999999</v>
          </cell>
          <cell r="AC33">
            <v>-20</v>
          </cell>
          <cell r="AD33">
            <v>-16</v>
          </cell>
          <cell r="AE33">
            <v>-46</v>
          </cell>
          <cell r="AG33">
            <v>-11.7</v>
          </cell>
          <cell r="AH33">
            <v>-12.2</v>
          </cell>
          <cell r="AI33">
            <v>-17.399999999999999</v>
          </cell>
          <cell r="AJ33">
            <v>-15.6</v>
          </cell>
          <cell r="AL33">
            <v>-12.7</v>
          </cell>
          <cell r="AM33">
            <v>-21.5</v>
          </cell>
          <cell r="AN33">
            <v>-19.600000000000001</v>
          </cell>
          <cell r="AO33">
            <v>-28.1</v>
          </cell>
          <cell r="AQ33">
            <v>-16.22</v>
          </cell>
          <cell r="AR33">
            <v>-20.123999999999999</v>
          </cell>
          <cell r="AS33">
            <v>-17.420000000000002</v>
          </cell>
          <cell r="AT33">
            <v>-27.515000000000001</v>
          </cell>
          <cell r="AV33">
            <v>-17.5</v>
          </cell>
          <cell r="AW33">
            <v>-16.3</v>
          </cell>
          <cell r="AX33">
            <v>-5.4</v>
          </cell>
          <cell r="AY33">
            <v>-31.6</v>
          </cell>
          <cell r="BD33">
            <v>-80.900000000000006</v>
          </cell>
          <cell r="BE33">
            <v>-90.800000000000011</v>
          </cell>
        </row>
        <row r="35">
          <cell r="A35" t="str">
            <v>Minority interest</v>
          </cell>
          <cell r="B35">
            <v>-0.4</v>
          </cell>
          <cell r="C35">
            <v>-0.27300000000000002</v>
          </cell>
          <cell r="D35">
            <v>-0.1</v>
          </cell>
          <cell r="E35">
            <v>-1.2999999999999998</v>
          </cell>
          <cell r="F35">
            <v>-4</v>
          </cell>
          <cell r="G35">
            <v>-2.8499999999999996</v>
          </cell>
          <cell r="H35">
            <v>-1.5</v>
          </cell>
          <cell r="I35">
            <v>-4</v>
          </cell>
          <cell r="J35">
            <v>-0.8</v>
          </cell>
          <cell r="K35">
            <v>0</v>
          </cell>
          <cell r="L35">
            <v>0</v>
          </cell>
          <cell r="M35">
            <v>0</v>
          </cell>
          <cell r="O35">
            <v>-0.8</v>
          </cell>
          <cell r="P35">
            <v>0</v>
          </cell>
          <cell r="Q35">
            <v>0</v>
          </cell>
          <cell r="R35">
            <v>0</v>
          </cell>
          <cell r="W35">
            <v>-0.1</v>
          </cell>
          <cell r="X35">
            <v>0</v>
          </cell>
          <cell r="Y35">
            <v>-0.5</v>
          </cell>
          <cell r="Z35">
            <v>-0.7</v>
          </cell>
          <cell r="AB35">
            <v>0</v>
          </cell>
          <cell r="AC35">
            <v>-0.1</v>
          </cell>
          <cell r="AD35">
            <v>0</v>
          </cell>
          <cell r="AE35">
            <v>0</v>
          </cell>
        </row>
        <row r="37">
          <cell r="A37" t="str">
            <v>DS non IFRS Net Income</v>
          </cell>
          <cell r="B37">
            <v>240.8000000000001</v>
          </cell>
          <cell r="C37">
            <v>221.1070000000004</v>
          </cell>
          <cell r="D37">
            <v>302.59999999999991</v>
          </cell>
          <cell r="E37">
            <v>362.40000000000003</v>
          </cell>
          <cell r="F37">
            <v>424.5</v>
          </cell>
          <cell r="G37">
            <v>445.60000000000014</v>
          </cell>
          <cell r="H37">
            <v>465.70000000000005</v>
          </cell>
          <cell r="I37">
            <v>576.50000000000057</v>
          </cell>
          <cell r="J37">
            <v>640.32959410320814</v>
          </cell>
          <cell r="K37">
            <v>713.39734746522595</v>
          </cell>
          <cell r="L37">
            <v>810.86681312881672</v>
          </cell>
          <cell r="M37">
            <v>914.70442508976248</v>
          </cell>
          <cell r="O37">
            <v>131.09999999999988</v>
          </cell>
          <cell r="P37">
            <v>145.62655115322229</v>
          </cell>
          <cell r="Q37">
            <v>159.16819470543481</v>
          </cell>
          <cell r="R37">
            <v>204.4348482445516</v>
          </cell>
          <cell r="W37">
            <v>78.7</v>
          </cell>
          <cell r="X37">
            <v>79.700000000000045</v>
          </cell>
          <cell r="Y37">
            <v>95.7</v>
          </cell>
          <cell r="Z37">
            <v>108.30000000000005</v>
          </cell>
          <cell r="AB37">
            <v>51.300000000000054</v>
          </cell>
          <cell r="AC37">
            <v>70.200000000000074</v>
          </cell>
          <cell r="AD37">
            <v>79.3</v>
          </cell>
          <cell r="AE37">
            <v>101.79999999999997</v>
          </cell>
          <cell r="AG37">
            <v>43.400000000000006</v>
          </cell>
          <cell r="AH37">
            <v>43.999999999999929</v>
          </cell>
          <cell r="AI37">
            <v>52.180000000000021</v>
          </cell>
          <cell r="AJ37">
            <v>81.527000000000058</v>
          </cell>
          <cell r="AL37">
            <v>48.69999999999996</v>
          </cell>
          <cell r="AM37">
            <v>55.10000000000003</v>
          </cell>
          <cell r="AN37">
            <v>58.699999999999953</v>
          </cell>
          <cell r="AO37">
            <v>78.3</v>
          </cell>
          <cell r="AQ37">
            <v>46.326000000000022</v>
          </cell>
          <cell r="AR37">
            <v>49.965999999999994</v>
          </cell>
          <cell r="AS37">
            <v>46.70900000000001</v>
          </cell>
          <cell r="AT37">
            <v>94.214999999999975</v>
          </cell>
          <cell r="AV37">
            <v>40.700000000000003</v>
          </cell>
          <cell r="AW37">
            <v>43.399999999999991</v>
          </cell>
          <cell r="AX37">
            <v>47.700000000000031</v>
          </cell>
          <cell r="AY37">
            <v>85.699999999999989</v>
          </cell>
          <cell r="BD37">
            <v>157.55199999999999</v>
          </cell>
          <cell r="BE37">
            <v>185.40000000000009</v>
          </cell>
        </row>
        <row r="38">
          <cell r="A38" t="str">
            <v>MS Net Income</v>
          </cell>
          <cell r="B38">
            <v>225.661486979123</v>
          </cell>
          <cell r="C38">
            <v>203.66656137620825</v>
          </cell>
          <cell r="D38">
            <v>288.41988071197915</v>
          </cell>
          <cell r="E38">
            <v>348.44883282393698</v>
          </cell>
          <cell r="F38">
            <v>400.22054929061062</v>
          </cell>
          <cell r="G38">
            <v>421.76976089319328</v>
          </cell>
          <cell r="H38">
            <v>437.35031238303753</v>
          </cell>
          <cell r="I38">
            <v>548.64132494475689</v>
          </cell>
          <cell r="J38">
            <v>605.0049213160255</v>
          </cell>
          <cell r="K38">
            <v>676.36087341642451</v>
          </cell>
          <cell r="L38">
            <v>771.97851537757526</v>
          </cell>
          <cell r="M38">
            <v>873.87171245095885</v>
          </cell>
          <cell r="O38">
            <v>115.60415964024722</v>
          </cell>
          <cell r="P38">
            <v>142.00617064278146</v>
          </cell>
          <cell r="Q38">
            <v>151.4065947054348</v>
          </cell>
          <cell r="R38">
            <v>190.58799632756251</v>
          </cell>
          <cell r="W38">
            <v>76.120844099913882</v>
          </cell>
          <cell r="X38">
            <v>77.034448160535163</v>
          </cell>
          <cell r="Y38">
            <v>90.907364620938637</v>
          </cell>
          <cell r="Z38">
            <v>104.38617594254941</v>
          </cell>
          <cell r="AB38">
            <v>48.008021390374388</v>
          </cell>
          <cell r="AC38">
            <v>65.632485875706266</v>
          </cell>
          <cell r="AD38">
            <v>75.482652134423248</v>
          </cell>
          <cell r="AE38">
            <v>99.29672131147538</v>
          </cell>
        </row>
        <row r="39">
          <cell r="A39" t="str">
            <v>Net Income</v>
          </cell>
          <cell r="B39">
            <v>200.60000000000008</v>
          </cell>
          <cell r="C39">
            <v>169.79700000000042</v>
          </cell>
          <cell r="D39">
            <v>220.49999999999994</v>
          </cell>
          <cell r="E39">
            <v>289.2</v>
          </cell>
          <cell r="F39">
            <v>334.8</v>
          </cell>
          <cell r="G39">
            <v>352.45000000000016</v>
          </cell>
          <cell r="H39">
            <v>291.10000000000008</v>
          </cell>
          <cell r="I39">
            <v>402.20000000000061</v>
          </cell>
          <cell r="J39">
            <v>473.77891298688263</v>
          </cell>
          <cell r="K39">
            <v>568.77594811816903</v>
          </cell>
          <cell r="L39">
            <v>732.87684982564997</v>
          </cell>
          <cell r="M39">
            <v>829.6976046313622</v>
          </cell>
          <cell r="O39">
            <v>89.899999999999878</v>
          </cell>
          <cell r="P39">
            <v>115.8675768128346</v>
          </cell>
          <cell r="Q39">
            <v>113.60516107255673</v>
          </cell>
          <cell r="R39">
            <v>154.40617510149184</v>
          </cell>
          <cell r="W39">
            <v>63.79999999999999</v>
          </cell>
          <cell r="X39">
            <v>64.30000000000004</v>
          </cell>
          <cell r="Y39">
            <v>76.399999999999949</v>
          </cell>
          <cell r="Z39">
            <v>84.700000000000045</v>
          </cell>
          <cell r="AB39">
            <v>37.800000000000061</v>
          </cell>
          <cell r="AC39">
            <v>48.600000000000058</v>
          </cell>
          <cell r="AD39">
            <v>55.400000000000006</v>
          </cell>
          <cell r="AE39">
            <v>78.69999999999996</v>
          </cell>
          <cell r="AG39">
            <v>28.8</v>
          </cell>
          <cell r="AH39">
            <v>25.68999999999993</v>
          </cell>
          <cell r="AI39">
            <v>38.380000000000031</v>
          </cell>
          <cell r="AJ39">
            <v>76.927000000000064</v>
          </cell>
          <cell r="AL39">
            <v>40.599999999999966</v>
          </cell>
          <cell r="AM39">
            <v>43.10000000000003</v>
          </cell>
          <cell r="AN39">
            <v>45.29999999999994</v>
          </cell>
          <cell r="AO39">
            <v>71.59999999999998</v>
          </cell>
          <cell r="AQ39">
            <v>32.90600000000002</v>
          </cell>
          <cell r="AR39">
            <v>37.865999999999978</v>
          </cell>
          <cell r="AS39">
            <v>31.089000000000009</v>
          </cell>
          <cell r="AT39">
            <v>76.59999999999998</v>
          </cell>
          <cell r="AV39">
            <v>31.299999999999997</v>
          </cell>
          <cell r="AW39">
            <v>29.399999999999988</v>
          </cell>
          <cell r="AX39">
            <v>40.900000000000034</v>
          </cell>
          <cell r="AY39">
            <v>78.199999999999989</v>
          </cell>
          <cell r="BD39">
            <v>156.37699999999998</v>
          </cell>
          <cell r="BE39">
            <v>175.48400000000009</v>
          </cell>
        </row>
        <row r="41">
          <cell r="A41" t="str">
            <v>DS non IFRS fully diluted EPS</v>
          </cell>
          <cell r="B41">
            <v>1.0096168097509199</v>
          </cell>
          <cell r="C41">
            <v>0.932723332181283</v>
          </cell>
          <cell r="D41">
            <v>1.2479872596750188</v>
          </cell>
          <cell r="E41">
            <v>1.4615306972341888</v>
          </cell>
          <cell r="F41">
            <v>1.6857481710962676</v>
          </cell>
          <cell r="G41">
            <v>1.7461380762915946</v>
          </cell>
          <cell r="H41">
            <v>1.8242280478568229</v>
          </cell>
          <cell r="I41">
            <v>2.2486250477105361</v>
          </cell>
          <cell r="J41">
            <v>2.4746286343110886</v>
          </cell>
          <cell r="K41">
            <v>2.7369672901373447</v>
          </cell>
          <cell r="L41">
            <v>3.0884502770948781</v>
          </cell>
          <cell r="M41">
            <v>3.4589625279449283</v>
          </cell>
          <cell r="O41">
            <v>0.50972006220839772</v>
          </cell>
          <cell r="P41">
            <v>0.56614304025749185</v>
          </cell>
          <cell r="Q41">
            <v>0.61872615023679234</v>
          </cell>
          <cell r="R41">
            <v>0.77627320058325977</v>
          </cell>
          <cell r="W41">
            <v>0.31733870967741934</v>
          </cell>
          <cell r="X41">
            <v>0.32085346215781013</v>
          </cell>
          <cell r="Y41">
            <v>0.38682295877122069</v>
          </cell>
          <cell r="Z41">
            <v>0.43669354838709701</v>
          </cell>
          <cell r="AB41">
            <v>0.21410684474123562</v>
          </cell>
          <cell r="AC41">
            <v>0.29080364540182302</v>
          </cell>
          <cell r="AD41">
            <v>0.32633744855967078</v>
          </cell>
          <cell r="AE41">
            <v>0.413821138211382</v>
          </cell>
          <cell r="AG41">
            <v>0.18343195266272191</v>
          </cell>
          <cell r="AH41">
            <v>0.18628281117696838</v>
          </cell>
          <cell r="AI41">
            <v>0.219983136593592</v>
          </cell>
          <cell r="AJ41">
            <v>0.34197567114093985</v>
          </cell>
          <cell r="AL41">
            <v>0.20359531772575234</v>
          </cell>
          <cell r="AM41">
            <v>0.23170731707317085</v>
          </cell>
          <cell r="AN41">
            <v>0.24478732276897394</v>
          </cell>
          <cell r="AO41">
            <v>0.32871536523929473</v>
          </cell>
          <cell r="AQ41">
            <v>0.19497474747474758</v>
          </cell>
          <cell r="AR41">
            <v>0.20934305346070048</v>
          </cell>
          <cell r="AS41">
            <v>0.19397425249169439</v>
          </cell>
          <cell r="AT41">
            <v>0.39060945273631831</v>
          </cell>
          <cell r="AV41">
            <v>0.16986644407345577</v>
          </cell>
          <cell r="AW41">
            <v>0.1829679595278246</v>
          </cell>
          <cell r="AX41">
            <v>0.20058873002523142</v>
          </cell>
          <cell r="AY41">
            <v>0.36008403361344532</v>
          </cell>
          <cell r="BD41">
            <v>0.67779064375819875</v>
          </cell>
          <cell r="BE41">
            <v>0.7882106206594055</v>
          </cell>
        </row>
        <row r="42">
          <cell r="A42" t="str">
            <v>MW EPS</v>
          </cell>
          <cell r="B42">
            <v>0.94614464521391528</v>
          </cell>
          <cell r="C42">
            <v>0.85915214706327891</v>
          </cell>
          <cell r="D42">
            <v>1.1895054083461294</v>
          </cell>
          <cell r="E42">
            <v>1.4052667372726486</v>
          </cell>
          <cell r="F42">
            <v>1.5893311166119917</v>
          </cell>
          <cell r="G42">
            <v>1.6527563710143762</v>
          </cell>
          <cell r="H42">
            <v>1.7131773815505265</v>
          </cell>
          <cell r="I42">
            <v>2.1399629236424538</v>
          </cell>
          <cell r="J42">
            <v>2.3381123033748956</v>
          </cell>
          <cell r="K42">
            <v>2.5948759039361486</v>
          </cell>
          <cell r="L42">
            <v>2.9403315330287185</v>
          </cell>
          <cell r="M42">
            <v>3.3045532793856411</v>
          </cell>
          <cell r="O42">
            <v>0.44947184930111672</v>
          </cell>
          <cell r="P42">
            <v>0.55206831821787294</v>
          </cell>
          <cell r="Q42">
            <v>0.5885548908556999</v>
          </cell>
          <cell r="R42">
            <v>0.72369439541426361</v>
          </cell>
          <cell r="W42">
            <v>0.30693888749965276</v>
          </cell>
          <cell r="X42">
            <v>0.31012257713580982</v>
          </cell>
          <cell r="Y42">
            <v>0.36745094834655873</v>
          </cell>
          <cell r="Z42">
            <v>0.42091199976834442</v>
          </cell>
          <cell r="AB42">
            <v>0.20036736807334887</v>
          </cell>
          <cell r="AC42">
            <v>0.27188270868146752</v>
          </cell>
          <cell r="AD42">
            <v>0.31062819808404629</v>
          </cell>
          <cell r="AE42">
            <v>0.40364520858323327</v>
          </cell>
        </row>
        <row r="43">
          <cell r="A43" t="str">
            <v>Fully Diluted Stated EPS</v>
          </cell>
          <cell r="B43">
            <v>0.84106782406991076</v>
          </cell>
          <cell r="C43">
            <v>0.71627593714529814</v>
          </cell>
          <cell r="D43">
            <v>0.90938926225492944</v>
          </cell>
          <cell r="E43">
            <v>1.1663208544153625</v>
          </cell>
          <cell r="F43">
            <v>1.3295370734582577</v>
          </cell>
          <cell r="G43">
            <v>1.381118413350477</v>
          </cell>
          <cell r="H43">
            <v>1.14028942394486</v>
          </cell>
          <cell r="I43">
            <v>1.5687718893134053</v>
          </cell>
          <cell r="J43">
            <v>1.8309740408798754</v>
          </cell>
          <cell r="K43">
            <v>2.1821235682295068</v>
          </cell>
          <cell r="L43">
            <v>2.7914001082208197</v>
          </cell>
          <cell r="M43">
            <v>3.1375085166598136</v>
          </cell>
          <cell r="O43">
            <v>0.34953343701399642</v>
          </cell>
          <cell r="P43">
            <v>0.45045097672516815</v>
          </cell>
          <cell r="Q43">
            <v>0.44161136643873522</v>
          </cell>
          <cell r="R43">
            <v>0.58630598826513292</v>
          </cell>
          <cell r="W43">
            <v>0.25725806451612898</v>
          </cell>
          <cell r="X43">
            <v>0.2588566827697264</v>
          </cell>
          <cell r="Y43">
            <v>0.30881164106709763</v>
          </cell>
          <cell r="Z43">
            <v>0.34153225806451631</v>
          </cell>
          <cell r="AB43">
            <v>0.15776293823038423</v>
          </cell>
          <cell r="AC43">
            <v>0.20132560066280056</v>
          </cell>
          <cell r="AD43">
            <v>0.22798353909465022</v>
          </cell>
          <cell r="AE43">
            <v>0.31991869918699173</v>
          </cell>
          <cell r="AG43">
            <v>0.12172442941673711</v>
          </cell>
          <cell r="AH43">
            <v>0.10876375952582529</v>
          </cell>
          <cell r="AI43">
            <v>0.16180438448566625</v>
          </cell>
          <cell r="AJ43">
            <v>0.32268036912751702</v>
          </cell>
          <cell r="AL43">
            <v>0.16973244147157177</v>
          </cell>
          <cell r="AM43">
            <v>0.18124474348191769</v>
          </cell>
          <cell r="AN43">
            <v>0.18890742285237672</v>
          </cell>
          <cell r="AO43">
            <v>0.30058774139378669</v>
          </cell>
          <cell r="AQ43">
            <v>0.13849326599326608</v>
          </cell>
          <cell r="AR43">
            <v>0.15864756158873797</v>
          </cell>
          <cell r="AS43">
            <v>0.12910714285714289</v>
          </cell>
          <cell r="AT43">
            <v>0.31757877280265334</v>
          </cell>
          <cell r="AV43">
            <v>0.13063439065108512</v>
          </cell>
          <cell r="AW43">
            <v>0.12394603709949405</v>
          </cell>
          <cell r="AX43">
            <v>0.17199327165685463</v>
          </cell>
          <cell r="AY43">
            <v>0.32857142857142851</v>
          </cell>
          <cell r="BD43">
            <v>0.67273577929176298</v>
          </cell>
          <cell r="BE43">
            <v>0.74605368153071805</v>
          </cell>
        </row>
        <row r="45">
          <cell r="A45" t="str">
            <v>Shares in Issue</v>
          </cell>
          <cell r="B45">
            <v>234.66351399999999</v>
          </cell>
          <cell r="C45">
            <v>235.2</v>
          </cell>
          <cell r="D45">
            <v>238.2</v>
          </cell>
          <cell r="E45">
            <v>242.8</v>
          </cell>
          <cell r="F45">
            <v>242.8</v>
          </cell>
          <cell r="G45">
            <v>249.734306</v>
          </cell>
          <cell r="H45">
            <v>250.85596100000001</v>
          </cell>
          <cell r="I45">
            <v>252.480762</v>
          </cell>
          <cell r="J45">
            <v>254.73509100000001</v>
          </cell>
          <cell r="K45">
            <v>256.50411100000002</v>
          </cell>
          <cell r="L45">
            <v>258.27313100000003</v>
          </cell>
          <cell r="M45">
            <v>260.04215099999999</v>
          </cell>
          <cell r="O45">
            <v>253.7</v>
          </cell>
          <cell r="P45">
            <v>254.08055000000002</v>
          </cell>
          <cell r="Q45">
            <v>254.46167082500003</v>
          </cell>
          <cell r="R45">
            <v>256.69814317499998</v>
          </cell>
          <cell r="W45">
            <v>242.4</v>
          </cell>
          <cell r="X45">
            <v>243.2</v>
          </cell>
          <cell r="Y45">
            <v>242.8</v>
          </cell>
          <cell r="Z45">
            <v>243.2</v>
          </cell>
          <cell r="AB45">
            <v>236.4</v>
          </cell>
          <cell r="AC45">
            <v>237.2</v>
          </cell>
          <cell r="AD45">
            <v>238.2</v>
          </cell>
          <cell r="AE45">
            <v>240.2</v>
          </cell>
          <cell r="AG45">
            <v>234.6</v>
          </cell>
          <cell r="AH45">
            <v>234.8</v>
          </cell>
          <cell r="AI45">
            <v>235.2</v>
          </cell>
          <cell r="AJ45">
            <v>235.8</v>
          </cell>
          <cell r="AL45">
            <v>233.8</v>
          </cell>
          <cell r="AM45">
            <v>233.8</v>
          </cell>
          <cell r="AN45">
            <v>235.8</v>
          </cell>
          <cell r="AO45">
            <v>235.4</v>
          </cell>
          <cell r="AQ45">
            <v>231.2</v>
          </cell>
          <cell r="AR45">
            <v>232.4</v>
          </cell>
          <cell r="AS45">
            <v>233.6</v>
          </cell>
          <cell r="AT45">
            <v>234.4</v>
          </cell>
          <cell r="AV45">
            <v>229.8</v>
          </cell>
          <cell r="AW45">
            <v>230.2</v>
          </cell>
          <cell r="AX45">
            <v>230.6</v>
          </cell>
          <cell r="AY45">
            <v>231</v>
          </cell>
          <cell r="BD45">
            <v>226.45171400000001</v>
          </cell>
          <cell r="BE45">
            <v>227.999278</v>
          </cell>
        </row>
        <row r="46">
          <cell r="A46" t="str">
            <v>Fully Diluted Shares In Issue</v>
          </cell>
          <cell r="B46">
            <v>238.50632999999999</v>
          </cell>
          <cell r="C46">
            <v>237.05529000000001</v>
          </cell>
          <cell r="D46">
            <v>242.47042400000001</v>
          </cell>
          <cell r="E46">
            <v>247.95921200000001</v>
          </cell>
          <cell r="F46">
            <v>251.81697199999999</v>
          </cell>
          <cell r="G46">
            <v>255.191732</v>
          </cell>
          <cell r="H46">
            <v>255.28606500000001</v>
          </cell>
          <cell r="I46">
            <v>256.37889277581905</v>
          </cell>
          <cell r="J46">
            <v>258.75785369365911</v>
          </cell>
          <cell r="K46">
            <v>260.65249301149913</v>
          </cell>
          <cell r="L46">
            <v>262.54811972933913</v>
          </cell>
          <cell r="M46">
            <v>264.44473384717912</v>
          </cell>
          <cell r="O46">
            <v>257.2</v>
          </cell>
          <cell r="P46">
            <v>257.22571999999997</v>
          </cell>
          <cell r="Q46">
            <v>257.25144257199997</v>
          </cell>
          <cell r="R46">
            <v>263.35425220263647</v>
          </cell>
          <cell r="W46">
            <v>248</v>
          </cell>
          <cell r="X46">
            <v>248.4</v>
          </cell>
          <cell r="Y46">
            <v>247.4</v>
          </cell>
          <cell r="Z46">
            <v>248</v>
          </cell>
          <cell r="AB46">
            <v>239.6</v>
          </cell>
          <cell r="AC46">
            <v>241.4</v>
          </cell>
          <cell r="AD46">
            <v>243</v>
          </cell>
          <cell r="AE46">
            <v>246</v>
          </cell>
          <cell r="AG46">
            <v>236.6</v>
          </cell>
          <cell r="AH46">
            <v>236.2</v>
          </cell>
          <cell r="AI46">
            <v>237.2</v>
          </cell>
          <cell r="AJ46">
            <v>238.4</v>
          </cell>
          <cell r="AL46">
            <v>239.2</v>
          </cell>
          <cell r="AM46">
            <v>237.8</v>
          </cell>
          <cell r="AN46">
            <v>239.8</v>
          </cell>
          <cell r="AO46">
            <v>238.2</v>
          </cell>
          <cell r="AQ46">
            <v>237.6</v>
          </cell>
          <cell r="AR46">
            <v>238.68</v>
          </cell>
          <cell r="AS46">
            <v>240.8</v>
          </cell>
          <cell r="AT46">
            <v>241.2</v>
          </cell>
          <cell r="AV46">
            <v>239.6</v>
          </cell>
          <cell r="AW46">
            <v>237.2</v>
          </cell>
          <cell r="AX46">
            <v>237.8</v>
          </cell>
          <cell r="AY46">
            <v>238</v>
          </cell>
          <cell r="BD46">
            <v>232.44935799999999</v>
          </cell>
          <cell r="BE46">
            <v>235.216318</v>
          </cell>
        </row>
        <row r="48">
          <cell r="A48" t="str">
            <v xml:space="preserve">% change </v>
          </cell>
        </row>
        <row r="49">
          <cell r="A49" t="str">
            <v xml:space="preserve">  - Organic up-front software</v>
          </cell>
          <cell r="B49">
            <v>-4.8686784974325992</v>
          </cell>
          <cell r="C49">
            <v>-31.371221286217622</v>
          </cell>
          <cell r="D49">
            <v>21.20504381741619</v>
          </cell>
          <cell r="E49">
            <v>14.8476734301221</v>
          </cell>
          <cell r="F49">
            <v>7.9686481515459651</v>
          </cell>
          <cell r="G49">
            <v>-5.5394641779423655</v>
          </cell>
          <cell r="H49">
            <v>10.925063429197902</v>
          </cell>
          <cell r="I49">
            <v>14.845448571590802</v>
          </cell>
          <cell r="J49">
            <v>8.8666551411533021</v>
          </cell>
          <cell r="K49">
            <v>14.110498391317439</v>
          </cell>
          <cell r="L49">
            <v>16.887286799507308</v>
          </cell>
          <cell r="M49">
            <v>14.289673593698392</v>
          </cell>
          <cell r="O49">
            <v>-4.9584815450388504</v>
          </cell>
          <cell r="P49">
            <v>5.2758259305204946</v>
          </cell>
          <cell r="Q49">
            <v>16.402413514666069</v>
          </cell>
          <cell r="R49">
            <v>16.769645853729131</v>
          </cell>
          <cell r="W49">
            <v>14.626733814353333</v>
          </cell>
          <cell r="X49">
            <v>30.662932513689256</v>
          </cell>
          <cell r="Y49">
            <v>5.3135224423233041</v>
          </cell>
          <cell r="Z49">
            <v>11.840823398379442</v>
          </cell>
          <cell r="AB49">
            <v>20.484497122467495</v>
          </cell>
          <cell r="AC49">
            <v>5.2400143343203531</v>
          </cell>
          <cell r="AD49">
            <v>39.90430567759018</v>
          </cell>
          <cell r="AE49">
            <v>20.903910141062919</v>
          </cell>
        </row>
        <row r="50">
          <cell r="A50" t="str">
            <v xml:space="preserve">  - Organic recurring (maintenance &amp; subscription)</v>
          </cell>
          <cell r="B50">
            <v>17.147897551213241</v>
          </cell>
          <cell r="C50">
            <v>3.9782856595411031</v>
          </cell>
          <cell r="D50">
            <v>7.9929082780161309</v>
          </cell>
          <cell r="E50">
            <v>7.2455277371399562</v>
          </cell>
          <cell r="F50">
            <v>9.5743949301650986</v>
          </cell>
          <cell r="G50">
            <v>6.5484591604390019</v>
          </cell>
          <cell r="H50">
            <v>5.1599124396921603</v>
          </cell>
          <cell r="I50">
            <v>10.307845930609583</v>
          </cell>
          <cell r="J50">
            <v>6.3983687163968961</v>
          </cell>
          <cell r="K50">
            <v>9.3247014493214486</v>
          </cell>
          <cell r="L50">
            <v>9.0000000000000071</v>
          </cell>
          <cell r="M50">
            <v>9.0000000000000302</v>
          </cell>
          <cell r="O50">
            <v>5.0618056298942005</v>
          </cell>
          <cell r="P50">
            <v>5.48015030612925</v>
          </cell>
          <cell r="Q50">
            <v>7.3204499233977316</v>
          </cell>
          <cell r="R50">
            <v>7.7035614233698091</v>
          </cell>
          <cell r="W50">
            <v>9.9303915422520141</v>
          </cell>
          <cell r="X50">
            <v>6.8780530934225093</v>
          </cell>
          <cell r="Y50">
            <v>8.9183913003654247</v>
          </cell>
          <cell r="Z50">
            <v>4.9146469361578182</v>
          </cell>
          <cell r="AB50">
            <v>6.6643902525487242E-2</v>
          </cell>
          <cell r="AC50">
            <v>6.7999315800452376</v>
          </cell>
          <cell r="AD50">
            <v>12.563334148937621</v>
          </cell>
          <cell r="AE50">
            <v>12.427520083920518</v>
          </cell>
        </row>
        <row r="51">
          <cell r="A51" t="str">
            <v>Organic total software sales</v>
          </cell>
          <cell r="B51">
            <v>8.3465654562390412</v>
          </cell>
          <cell r="C51">
            <v>-8.4664017053675664</v>
          </cell>
          <cell r="D51">
            <v>11.468712551321802</v>
          </cell>
          <cell r="E51">
            <v>9.3436815967711695</v>
          </cell>
          <cell r="F51">
            <v>9.1127452132998332</v>
          </cell>
          <cell r="G51">
            <v>3.0767846201236848</v>
          </cell>
          <cell r="H51">
            <v>6.687410193256027</v>
          </cell>
          <cell r="I51">
            <v>11.577265701479678</v>
          </cell>
          <cell r="J51">
            <v>7.1137915045488498</v>
          </cell>
          <cell r="K51">
            <v>10.734545156174292</v>
          </cell>
          <cell r="L51">
            <v>11.394345460349786</v>
          </cell>
          <cell r="M51">
            <v>10.684970044456943</v>
          </cell>
          <cell r="O51">
            <v>2.2880002461056259</v>
          </cell>
          <cell r="P51">
            <v>5.4213676560485258</v>
          </cell>
          <cell r="Q51">
            <v>9.5713546356331225</v>
          </cell>
          <cell r="R51">
            <v>10.771216349855163</v>
          </cell>
          <cell r="W51">
            <v>11.207702646279571</v>
          </cell>
          <cell r="X51">
            <v>12.637136457445131</v>
          </cell>
          <cell r="Y51">
            <v>7.9820365499301715</v>
          </cell>
          <cell r="Z51">
            <v>7.1392797733614399</v>
          </cell>
          <cell r="AB51">
            <v>4.9016633966906697</v>
          </cell>
          <cell r="AC51">
            <v>6.4013371144586717</v>
          </cell>
          <cell r="AD51">
            <v>18.871966609596601</v>
          </cell>
          <cell r="AE51">
            <v>15.149761593471078</v>
          </cell>
          <cell r="AG51">
            <v>-6.500405768305539</v>
          </cell>
          <cell r="AH51">
            <v>-8.7894392357665492</v>
          </cell>
          <cell r="AI51">
            <v>-11.885984095314884</v>
          </cell>
          <cell r="AJ51">
            <v>-5.3226731200898714</v>
          </cell>
          <cell r="AL51">
            <v>11.734228866952545</v>
          </cell>
          <cell r="AM51">
            <v>12.384812534755763</v>
          </cell>
          <cell r="AN51">
            <v>11.830760339288492</v>
          </cell>
          <cell r="AO51">
            <v>-1.5640729541732568</v>
          </cell>
          <cell r="AQ51">
            <v>12.162418026068034</v>
          </cell>
          <cell r="AR51">
            <v>5.9475192372951069</v>
          </cell>
          <cell r="AS51">
            <v>15.046657746393555</v>
          </cell>
          <cell r="AT51">
            <v>12.605473825977098</v>
          </cell>
          <cell r="AV51">
            <v>14.186283285333134</v>
          </cell>
          <cell r="AW51">
            <v>17.359174858016612</v>
          </cell>
          <cell r="AX51">
            <v>9.1552747543566895</v>
          </cell>
          <cell r="AY51">
            <v>8.7270702639757012</v>
          </cell>
          <cell r="BD51">
            <v>7.3935093812669717</v>
          </cell>
          <cell r="BE51">
            <v>15.202612991815379</v>
          </cell>
        </row>
        <row r="52">
          <cell r="A52" t="str">
            <v>Organic revenues</v>
          </cell>
          <cell r="B52">
            <v>6.0147547175231297</v>
          </cell>
          <cell r="C52">
            <v>-9.8359995520597607</v>
          </cell>
          <cell r="D52">
            <v>9.7293134759714341</v>
          </cell>
          <cell r="E52">
            <v>9.310056157036616</v>
          </cell>
          <cell r="F52">
            <v>9.5993501771425738</v>
          </cell>
          <cell r="G52">
            <v>2.5165108869781516</v>
          </cell>
          <cell r="H52">
            <v>5.9558590460661032</v>
          </cell>
          <cell r="I52">
            <v>10.790292135855717</v>
          </cell>
          <cell r="J52">
            <v>6.7370333637434721</v>
          </cell>
          <cell r="K52">
            <v>10.095578863647535</v>
          </cell>
          <cell r="L52">
            <v>10.253694881400509</v>
          </cell>
          <cell r="M52">
            <v>9.7113668695816955</v>
          </cell>
          <cell r="O52">
            <v>2.5644435678164212</v>
          </cell>
          <cell r="P52">
            <v>4.9438376028240638</v>
          </cell>
          <cell r="Q52">
            <v>8.8162799256022097</v>
          </cell>
          <cell r="R52">
            <v>10.239008068166843</v>
          </cell>
          <cell r="W52">
            <v>11.342401527259071</v>
          </cell>
          <cell r="X52">
            <v>12.010298850985945</v>
          </cell>
          <cell r="Y52">
            <v>7.8731030254562073</v>
          </cell>
          <cell r="Z52">
            <v>7.4868748509884675</v>
          </cell>
          <cell r="AB52">
            <v>2.705185501720142</v>
          </cell>
          <cell r="AC52">
            <v>4.9096638358250289</v>
          </cell>
          <cell r="AD52">
            <v>15.899324070179709</v>
          </cell>
          <cell r="AE52">
            <v>14.656550069706942</v>
          </cell>
          <cell r="AG52">
            <v>-6.6226384062803572</v>
          </cell>
          <cell r="AH52">
            <v>-10.808941117950111</v>
          </cell>
          <cell r="AI52">
            <v>-12.593150808909737</v>
          </cell>
          <cell r="AJ52">
            <v>-7.8256711396054275</v>
          </cell>
          <cell r="AL52">
            <v>7.7858810082218621</v>
          </cell>
          <cell r="AM52">
            <v>9.2395883377625943</v>
          </cell>
          <cell r="AN52">
            <v>10.443519630874555</v>
          </cell>
          <cell r="AO52">
            <v>-2.8127665982801142</v>
          </cell>
          <cell r="AQ52">
            <v>9.8394739413530949</v>
          </cell>
          <cell r="AR52">
            <v>7.8274236357953608</v>
          </cell>
          <cell r="AS52">
            <v>9.8067400332593646</v>
          </cell>
          <cell r="AT52">
            <v>8.2320846698388017</v>
          </cell>
          <cell r="AV52">
            <v>12.390604171613418</v>
          </cell>
          <cell r="AW52">
            <v>12.030365844822999</v>
          </cell>
          <cell r="AX52">
            <v>12.054504142484079</v>
          </cell>
          <cell r="AY52">
            <v>7.9498037038718383</v>
          </cell>
          <cell r="BD52">
            <v>8.3257746241595765</v>
          </cell>
          <cell r="BE52">
            <v>12.48644411611175</v>
          </cell>
        </row>
        <row r="53">
          <cell r="A53" t="str">
            <v>Stated licences</v>
          </cell>
          <cell r="B53">
            <v>7.1640133283968677</v>
          </cell>
          <cell r="C53">
            <v>-4.8799447227500288</v>
          </cell>
          <cell r="D53">
            <v>29.592300009080152</v>
          </cell>
          <cell r="E53">
            <v>13.326793721973097</v>
          </cell>
          <cell r="F53">
            <v>14.591319401508574</v>
          </cell>
          <cell r="G53">
            <v>1.8398618754721152</v>
          </cell>
          <cell r="H53">
            <v>10.12450331125827</v>
          </cell>
          <cell r="I53">
            <v>22.09660348311364</v>
          </cell>
          <cell r="J53">
            <v>7.7772529871484419</v>
          </cell>
          <cell r="K53">
            <v>10.553181774358444</v>
          </cell>
          <cell r="L53">
            <v>11.394345460349786</v>
          </cell>
          <cell r="M53">
            <v>10.684970044456898</v>
          </cell>
          <cell r="O53">
            <v>3.8747884940778299</v>
          </cell>
          <cell r="P53">
            <v>5.9409276447704107</v>
          </cell>
          <cell r="Q53">
            <v>10.265157377694001</v>
          </cell>
          <cell r="R53">
            <v>10.561857010474075</v>
          </cell>
          <cell r="W53">
            <v>33.166547533952809</v>
          </cell>
          <cell r="X53">
            <v>10.12191664303943</v>
          </cell>
          <cell r="Y53">
            <v>6.0231244958321994</v>
          </cell>
          <cell r="Z53">
            <v>9.2951750236518684</v>
          </cell>
          <cell r="AB53">
            <v>2.5659824046920798</v>
          </cell>
          <cell r="AC53">
            <v>29.860088365243008</v>
          </cell>
          <cell r="AD53">
            <v>45.443879546343368</v>
          </cell>
          <cell r="AE53">
            <v>40.371845949535157</v>
          </cell>
          <cell r="AG53">
            <v>1.1869436201780603</v>
          </cell>
          <cell r="AH53">
            <v>-2.3021582733813273</v>
          </cell>
          <cell r="AI53">
            <v>-7.9884850665706946</v>
          </cell>
          <cell r="AJ53">
            <v>-9.3590129401143418</v>
          </cell>
          <cell r="AL53">
            <v>8.0128205128205074</v>
          </cell>
          <cell r="AM53">
            <v>8.4243369734789741</v>
          </cell>
          <cell r="AN53">
            <v>7.6714451762882385</v>
          </cell>
          <cell r="AO53">
            <v>5.0584887764780539</v>
          </cell>
          <cell r="AQ53">
            <v>15.023041474654386</v>
          </cell>
          <cell r="AR53">
            <v>5.0819672131147353</v>
          </cell>
          <cell r="AS53">
            <v>11.538461538461542</v>
          </cell>
          <cell r="AT53">
            <v>8.918732782369144</v>
          </cell>
          <cell r="AV53">
            <v>29.784688995215312</v>
          </cell>
          <cell r="AW53">
            <v>34.881149806522927</v>
          </cell>
          <cell r="AX53">
            <v>26.241134751773053</v>
          </cell>
          <cell r="AY53">
            <v>11.136624569460384</v>
          </cell>
          <cell r="BD53">
            <v>3.9244692633584322</v>
          </cell>
          <cell r="BE53">
            <v>18.154717543598164</v>
          </cell>
        </row>
        <row r="54">
          <cell r="A54" t="str">
            <v>Stated revenues</v>
          </cell>
          <cell r="B54">
            <v>4.8828278078219212</v>
          </cell>
          <cell r="C54">
            <v>-6.3817067702884422</v>
          </cell>
          <cell r="D54">
            <v>26.117496807151962</v>
          </cell>
          <cell r="E54">
            <v>12.87974683544304</v>
          </cell>
          <cell r="F54">
            <v>14.297729184188391</v>
          </cell>
          <cell r="G54">
            <v>1.6826097620799896</v>
          </cell>
          <cell r="H54">
            <v>13.214010034735612</v>
          </cell>
          <cell r="I54">
            <v>22.584906464396816</v>
          </cell>
          <cell r="J54">
            <v>7.4242327514457696</v>
          </cell>
          <cell r="K54">
            <v>9.9152619943496667</v>
          </cell>
          <cell r="L54">
            <v>10.253694881400509</v>
          </cell>
          <cell r="M54">
            <v>9.7113668695816724</v>
          </cell>
          <cell r="O54">
            <v>4.2700345812659801</v>
          </cell>
          <cell r="P54">
            <v>5.4610441264507426</v>
          </cell>
          <cell r="Q54">
            <v>9.5053015557929008</v>
          </cell>
          <cell r="R54">
            <v>10.030654610800372</v>
          </cell>
          <cell r="W54">
            <v>31.378205128205128</v>
          </cell>
          <cell r="X54">
            <v>9.3646338351620386</v>
          </cell>
          <cell r="Y54">
            <v>5.895303326810164</v>
          </cell>
          <cell r="Z54">
            <v>9.5869890862401164</v>
          </cell>
          <cell r="AB54">
            <v>0.41841004184099972</v>
          </cell>
          <cell r="AC54">
            <v>25.931876606683812</v>
          </cell>
          <cell r="AD54">
            <v>40.095956134338586</v>
          </cell>
          <cell r="AE54">
            <v>37.805956944854003</v>
          </cell>
          <cell r="AG54">
            <v>0.90938616433906549</v>
          </cell>
          <cell r="AH54">
            <v>-4.598405885959556</v>
          </cell>
          <cell r="AI54">
            <v>-8.7269314982796331</v>
          </cell>
          <cell r="AJ54">
            <v>-11.784599375650362</v>
          </cell>
          <cell r="AL54">
            <v>4.4791313199864291</v>
          </cell>
          <cell r="AM54">
            <v>5.6347150259067558</v>
          </cell>
          <cell r="AN54">
            <v>6.1068702290076216</v>
          </cell>
          <cell r="AO54">
            <v>3.5839396389113709</v>
          </cell>
          <cell r="AQ54">
            <v>15.117187499999996</v>
          </cell>
          <cell r="AR54">
            <v>7.9720279720279841</v>
          </cell>
          <cell r="AS54">
            <v>6.7304286220333243</v>
          </cell>
          <cell r="AT54">
            <v>5.0679501698754237</v>
          </cell>
          <cell r="AV54">
            <v>28.514056224899598</v>
          </cell>
          <cell r="AW54">
            <v>31.615278416935098</v>
          </cell>
          <cell r="AX54">
            <v>32.03928905519173</v>
          </cell>
          <cell r="AY54">
            <v>12.735397382700286</v>
          </cell>
          <cell r="BD54">
            <v>5.5283159098225676</v>
          </cell>
          <cell r="BE54">
            <v>18.460565035302157</v>
          </cell>
        </row>
        <row r="55">
          <cell r="A55" t="str">
            <v>DS non IFRS EBIT</v>
          </cell>
          <cell r="B55">
            <v>2.2421524663676529</v>
          </cell>
          <cell r="C55">
            <v>-8.2514619883039977</v>
          </cell>
          <cell r="D55">
            <v>43.954362929440791</v>
          </cell>
          <cell r="E55">
            <v>20.123976090325456</v>
          </cell>
          <cell r="F55">
            <v>18.743088831551781</v>
          </cell>
          <cell r="G55">
            <v>1.3192612137203463</v>
          </cell>
          <cell r="H55">
            <v>7.1078431372548767</v>
          </cell>
          <cell r="I55">
            <v>26.558924485125935</v>
          </cell>
          <cell r="J55">
            <v>8.8896812123453017</v>
          </cell>
          <cell r="K55">
            <v>13.621457075096387</v>
          </cell>
          <cell r="L55">
            <v>13.659517123665776</v>
          </cell>
          <cell r="M55">
            <v>12.802955913413893</v>
          </cell>
          <cell r="O55">
            <v>5.8241118229469757</v>
          </cell>
          <cell r="P55">
            <v>5.7889135705428529</v>
          </cell>
          <cell r="Q55">
            <v>11.284010936766897</v>
          </cell>
          <cell r="R55">
            <v>11.234832898760306</v>
          </cell>
          <cell r="W55">
            <v>68.017366136034596</v>
          </cell>
          <cell r="X55">
            <v>9.7716894977168742</v>
          </cell>
          <cell r="Y55">
            <v>20.873362445414823</v>
          </cell>
          <cell r="Z55">
            <v>5.8638083228247595</v>
          </cell>
          <cell r="AB55">
            <v>14.403973509933854</v>
          </cell>
          <cell r="AC55">
            <v>60.55718475073337</v>
          </cell>
          <cell r="AD55">
            <v>53.732545649838848</v>
          </cell>
          <cell r="AE55">
            <v>43.270099367660265</v>
          </cell>
          <cell r="AG55">
            <v>-13.960113960113906</v>
          </cell>
          <cell r="AH55">
            <v>-16.625916870415768</v>
          </cell>
          <cell r="AI55">
            <v>-1.8708827404478656</v>
          </cell>
          <cell r="AJ55">
            <v>-2.9798422436458805</v>
          </cell>
          <cell r="AL55">
            <v>7.8341013824883898</v>
          </cell>
          <cell r="AM55">
            <v>13.296398891966831</v>
          </cell>
          <cell r="AN55">
            <v>11.946902654867152</v>
          </cell>
          <cell r="AO55">
            <v>-11.823802163833063</v>
          </cell>
          <cell r="AQ55">
            <v>7.6033057851240038</v>
          </cell>
          <cell r="AR55">
            <v>2.8490028490028463</v>
          </cell>
          <cell r="AS55">
            <v>5.2795031055900221</v>
          </cell>
          <cell r="AT55">
            <v>6.8538398018166635</v>
          </cell>
          <cell r="AV55">
            <v>33.25991189427311</v>
          </cell>
          <cell r="AW55">
            <v>27.173913043478205</v>
          </cell>
          <cell r="AX55">
            <v>26.771653543307128</v>
          </cell>
          <cell r="AY55">
            <v>2.1940928270042237</v>
          </cell>
          <cell r="BD55">
            <v>5.7110452566494274</v>
          </cell>
          <cell r="BE55">
            <v>16.762995777670152</v>
          </cell>
        </row>
        <row r="56">
          <cell r="A56" t="str">
            <v>MS EBIT</v>
          </cell>
          <cell r="B56">
            <v>1.0739102969045344</v>
          </cell>
          <cell r="C56">
            <v>-9.5999999999998984</v>
          </cell>
          <cell r="D56">
            <v>48.921460176990905</v>
          </cell>
          <cell r="E56">
            <v>21.146703806870939</v>
          </cell>
          <cell r="F56">
            <v>16.401609503736346</v>
          </cell>
          <cell r="G56">
            <v>1.6131687242798565</v>
          </cell>
          <cell r="H56">
            <v>6.2368378422160919</v>
          </cell>
          <cell r="I56">
            <v>28.469045440683203</v>
          </cell>
          <cell r="J56">
            <v>7.8937435071861684</v>
          </cell>
          <cell r="K56">
            <v>14.138931464323612</v>
          </cell>
          <cell r="L56">
            <v>14.137659639444333</v>
          </cell>
          <cell r="M56">
            <v>13.199309849993202</v>
          </cell>
          <cell r="O56">
            <v>0</v>
          </cell>
          <cell r="P56">
            <v>0</v>
          </cell>
          <cell r="Q56">
            <v>0</v>
          </cell>
          <cell r="R56">
            <v>0</v>
          </cell>
          <cell r="W56">
            <v>74.650077760497524</v>
          </cell>
          <cell r="X56">
            <v>13.255360623781653</v>
          </cell>
          <cell r="Y56">
            <v>20.421245421245395</v>
          </cell>
          <cell r="Z56">
            <v>4.6541693600517631</v>
          </cell>
          <cell r="AB56">
            <v>19.074074074074154</v>
          </cell>
          <cell r="AC56">
            <v>66.019417475728417</v>
          </cell>
          <cell r="AD56">
            <v>58.536585365853597</v>
          </cell>
          <cell r="AE56">
            <v>47.896749521988411</v>
          </cell>
        </row>
        <row r="57">
          <cell r="A57" t="str">
            <v>DS non IFRS fully diluted EPS</v>
          </cell>
          <cell r="B57">
            <v>1.8359195157354735</v>
          </cell>
          <cell r="C57">
            <v>-7.6161051229532433</v>
          </cell>
          <cell r="D57">
            <v>33.800368942894799</v>
          </cell>
          <cell r="E57">
            <v>17.111027048046768</v>
          </cell>
          <cell r="F57">
            <v>15.341277079324399</v>
          </cell>
          <cell r="G57">
            <v>3.5823799919091348</v>
          </cell>
          <cell r="H57">
            <v>4.4721532979266954</v>
          </cell>
          <cell r="I57">
            <v>23.264470708709474</v>
          </cell>
          <cell r="J57">
            <v>10.050745758198353</v>
          </cell>
          <cell r="K57">
            <v>10.601132314921614</v>
          </cell>
          <cell r="L57">
            <v>12.842060196484685</v>
          </cell>
          <cell r="M57">
            <v>11.996704418326232</v>
          </cell>
          <cell r="O57">
            <v>17.691461518036622</v>
          </cell>
          <cell r="P57">
            <v>6.4531810645695797</v>
          </cell>
          <cell r="Q57">
            <v>6.870880495445908</v>
          </cell>
          <cell r="R57">
            <v>9.9898968910350874</v>
          </cell>
          <cell r="W57">
            <v>48.215116644658075</v>
          </cell>
          <cell r="X57">
            <v>10.333370035463375</v>
          </cell>
          <cell r="Y57">
            <v>18.534651931155889</v>
          </cell>
          <cell r="Z57">
            <v>5.5271246593574519</v>
          </cell>
          <cell r="AB57">
            <v>16.722763746028434</v>
          </cell>
          <cell r="AC57">
            <v>56.108684190706136</v>
          </cell>
          <cell r="AD57">
            <v>48.346574929769794</v>
          </cell>
          <cell r="AE57">
            <v>21.008941025173744</v>
          </cell>
          <cell r="AG57">
            <v>-9.9036487126835322</v>
          </cell>
          <cell r="AH57">
            <v>-19.604260439413689</v>
          </cell>
          <cell r="AI57">
            <v>-10.132953739108341</v>
          </cell>
          <cell r="AJ57">
            <v>4.0339781172054501</v>
          </cell>
          <cell r="AL57">
            <v>4.4213778259265535</v>
          </cell>
          <cell r="AM57">
            <v>10.683069365217213</v>
          </cell>
          <cell r="AN57">
            <v>26.195780947502435</v>
          </cell>
          <cell r="AO57">
            <v>-15.84551706658397</v>
          </cell>
          <cell r="AQ57">
            <v>14.781202690293661</v>
          </cell>
          <cell r="AR57">
            <v>14.415143504327554</v>
          </cell>
          <cell r="AS57">
            <v>-3.2975319863209784</v>
          </cell>
          <cell r="AT57">
            <v>8.4773042604944884</v>
          </cell>
          <cell r="AV57">
            <v>27.044806725034711</v>
          </cell>
          <cell r="AW57">
            <v>12.277976214187314</v>
          </cell>
          <cell r="AX57">
            <v>30.770553276117663</v>
          </cell>
          <cell r="AY57">
            <v>7.3050420168067065</v>
          </cell>
          <cell r="BD57">
            <v>10.735922525793228</v>
          </cell>
          <cell r="BE57">
            <v>16.291162753288013</v>
          </cell>
        </row>
        <row r="58">
          <cell r="A58" t="str">
            <v>MW EPS</v>
          </cell>
          <cell r="B58">
            <v>0.67525606566385399</v>
          </cell>
          <cell r="C58">
            <v>-9.1944184846037054</v>
          </cell>
          <cell r="D58">
            <v>38.451077892553883</v>
          </cell>
          <cell r="E58">
            <v>18.138742994578784</v>
          </cell>
          <cell r="F58">
            <v>13.098180897427092</v>
          </cell>
          <cell r="G58">
            <v>3.9906885191796526</v>
          </cell>
          <cell r="H58">
            <v>3.6557723567610223</v>
          </cell>
          <cell r="I58">
            <v>24.911929534445587</v>
          </cell>
          <cell r="J58">
            <v>9.2594772340807587</v>
          </cell>
          <cell r="K58">
            <v>10.981662437284712</v>
          </cell>
          <cell r="L58">
            <v>13.312992292562065</v>
          </cell>
          <cell r="M58">
            <v>12.387097926394453</v>
          </cell>
          <cell r="O58">
            <v>7.0411948075665087</v>
          </cell>
          <cell r="P58">
            <v>0</v>
          </cell>
          <cell r="Q58">
            <v>0</v>
          </cell>
          <cell r="R58">
            <v>0</v>
          </cell>
          <cell r="W58">
            <v>53.188061734329438</v>
          </cell>
          <cell r="X58">
            <v>14.064840180455684</v>
          </cell>
          <cell r="Y58">
            <v>18.292849977238056</v>
          </cell>
          <cell r="Z58">
            <v>4.2777148887054528</v>
          </cell>
          <cell r="AB58">
            <v>22.107085600120868</v>
          </cell>
          <cell r="AC58">
            <v>62.294526686880914</v>
          </cell>
          <cell r="AD58">
            <v>52.84457360026564</v>
          </cell>
          <cell r="AE58">
            <v>24.864450740191323</v>
          </cell>
        </row>
        <row r="60">
          <cell r="A60" t="str">
            <v>% margin and tax rate</v>
          </cell>
        </row>
        <row r="61">
          <cell r="A61" t="str">
            <v>Licence gross margin</v>
          </cell>
          <cell r="B61">
            <v>95.094144066332703</v>
          </cell>
          <cell r="C61">
            <v>94.860619268137668</v>
          </cell>
          <cell r="D61">
            <v>94.660874439461878</v>
          </cell>
          <cell r="E61">
            <v>95.010510696179054</v>
          </cell>
          <cell r="F61">
            <v>95.036149778784946</v>
          </cell>
          <cell r="G61">
            <v>94.842384105960264</v>
          </cell>
          <cell r="H61">
            <v>94.395266044452995</v>
          </cell>
          <cell r="O61">
            <v>93.807106598984774</v>
          </cell>
          <cell r="P61">
            <v>94.460182562165556</v>
          </cell>
          <cell r="Q61">
            <v>94.475779694757804</v>
          </cell>
          <cell r="R61">
            <v>94.708621419500489</v>
          </cell>
          <cell r="W61">
            <v>94.900697799248519</v>
          </cell>
          <cell r="X61">
            <v>95.159629248197731</v>
          </cell>
          <cell r="Y61">
            <v>95.257418209485166</v>
          </cell>
          <cell r="Z61">
            <v>94.763038303397536</v>
          </cell>
          <cell r="AB61">
            <v>94.138670478913525</v>
          </cell>
          <cell r="AC61">
            <v>94.499574709384746</v>
          </cell>
          <cell r="AD61">
            <v>94.729766066146809</v>
          </cell>
          <cell r="AE61">
            <v>95.08041627246925</v>
          </cell>
          <cell r="AG61">
            <v>94.868035190615842</v>
          </cell>
          <cell r="AH61">
            <v>94.808541973490421</v>
          </cell>
          <cell r="AI61">
            <v>95.033242080563156</v>
          </cell>
          <cell r="AJ61">
            <v>94.754316069057097</v>
          </cell>
          <cell r="AL61">
            <v>94.58456973293768</v>
          </cell>
          <cell r="AM61">
            <v>95.39568345323741</v>
          </cell>
          <cell r="AN61">
            <v>94.854264123785526</v>
          </cell>
          <cell r="AO61">
            <v>95.455913331327096</v>
          </cell>
          <cell r="AQ61">
            <v>94.911858974358978</v>
          </cell>
          <cell r="AR61">
            <v>94.89079563182527</v>
          </cell>
          <cell r="AS61">
            <v>93.800852382797359</v>
          </cell>
          <cell r="AT61">
            <v>96.459057856465378</v>
          </cell>
          <cell r="AV61">
            <v>94.976958525345623</v>
          </cell>
          <cell r="AW61">
            <v>95</v>
          </cell>
          <cell r="AX61">
            <v>94.338807260155576</v>
          </cell>
          <cell r="AY61">
            <v>95.385674931129486</v>
          </cell>
          <cell r="BD61">
            <v>96.765538828439404</v>
          </cell>
          <cell r="BE61">
            <v>96.619149741390189</v>
          </cell>
        </row>
        <row r="62">
          <cell r="A62" t="str">
            <v>Services gross margin</v>
          </cell>
          <cell r="B62">
            <v>14.356984478935701</v>
          </cell>
          <cell r="C62">
            <v>8.3828382838283932</v>
          </cell>
          <cell r="D62">
            <v>5.6937172774869218</v>
          </cell>
          <cell r="E62">
            <v>-1.2040939193257074</v>
          </cell>
          <cell r="F62">
            <v>5.7806591031874612</v>
          </cell>
          <cell r="G62">
            <v>12.007555315704263</v>
          </cell>
          <cell r="H62">
            <v>15.852293920179036</v>
          </cell>
          <cell r="O62">
            <v>4.453441295546555</v>
          </cell>
          <cell r="P62">
            <v>15.891032917139617</v>
          </cell>
          <cell r="Q62">
            <v>13.461538461538463</v>
          </cell>
          <cell r="R62">
            <v>17.451820128479671</v>
          </cell>
          <cell r="W62">
            <v>-5.0938337801608542</v>
          </cell>
          <cell r="X62">
            <v>-15.422885572139291</v>
          </cell>
          <cell r="Y62">
            <v>-4.9222797927461102</v>
          </cell>
          <cell r="Z62">
            <v>16</v>
          </cell>
          <cell r="AB62">
            <v>-5.9006211180123955</v>
          </cell>
          <cell r="AC62">
            <v>9.1836734693877577</v>
          </cell>
          <cell r="AD62">
            <v>2.4390243902438988</v>
          </cell>
          <cell r="AE62">
            <v>13.70786516853933</v>
          </cell>
          <cell r="AG62">
            <v>0.2638522427440671</v>
          </cell>
          <cell r="AH62">
            <v>10.606060606060613</v>
          </cell>
          <cell r="AI62">
            <v>10.803324099722987</v>
          </cell>
          <cell r="AJ62">
            <v>11.87335092348285</v>
          </cell>
          <cell r="AL62">
            <v>7.571801566579631</v>
          </cell>
          <cell r="AM62">
            <v>19.709543568464742</v>
          </cell>
          <cell r="AN62">
            <v>10.047846889952144</v>
          </cell>
          <cell r="AO62">
            <v>17.850287907869475</v>
          </cell>
          <cell r="AQ62">
            <v>11.086474501108647</v>
          </cell>
          <cell r="AR62">
            <v>26.908396946564888</v>
          </cell>
          <cell r="AS62">
            <v>11.574074074074089</v>
          </cell>
          <cell r="AT62">
            <v>28.832116788321166</v>
          </cell>
          <cell r="AV62">
            <v>19.487179487179489</v>
          </cell>
          <cell r="AW62">
            <v>14.523809523809527</v>
          </cell>
          <cell r="AX62">
            <v>27.504911591355601</v>
          </cell>
          <cell r="AY62">
            <v>37.738853503184721</v>
          </cell>
          <cell r="BD62">
            <v>19.619265909018559</v>
          </cell>
          <cell r="BE62">
            <v>23.591782637508281</v>
          </cell>
        </row>
        <row r="63">
          <cell r="A63" t="str">
            <v>Group gross margin</v>
          </cell>
          <cell r="B63">
            <v>84.210133014497089</v>
          </cell>
          <cell r="C63">
            <v>84.402937420178816</v>
          </cell>
          <cell r="D63">
            <v>86.056962025316466</v>
          </cell>
          <cell r="E63">
            <v>86.049901878329123</v>
          </cell>
          <cell r="F63">
            <v>86.93156732891832</v>
          </cell>
          <cell r="G63">
            <v>87.437282902354298</v>
          </cell>
          <cell r="H63">
            <v>85.422082072697833</v>
          </cell>
          <cell r="I63">
            <v>84.82288733618384</v>
          </cell>
          <cell r="J63">
            <v>85.05304952891305</v>
          </cell>
          <cell r="K63">
            <v>85.46679001760279</v>
          </cell>
          <cell r="L63">
            <v>86.116999682892498</v>
          </cell>
          <cell r="M63">
            <v>87.053741830799225</v>
          </cell>
          <cell r="O63">
            <v>83.561643835616422</v>
          </cell>
          <cell r="P63">
            <v>84.984151152797921</v>
          </cell>
          <cell r="Q63">
            <v>85.206145469303578</v>
          </cell>
          <cell r="R63">
            <v>86.154230110477286</v>
          </cell>
          <cell r="W63">
            <v>85.801414979263228</v>
          </cell>
          <cell r="X63">
            <v>84.787680821278585</v>
          </cell>
          <cell r="Y63">
            <v>86.324786324786331</v>
          </cell>
          <cell r="Z63">
            <v>87.072837336457738</v>
          </cell>
          <cell r="AB63">
            <v>83.814102564102583</v>
          </cell>
          <cell r="AC63">
            <v>85.965807603980622</v>
          </cell>
          <cell r="AD63">
            <v>86.399217221135032</v>
          </cell>
          <cell r="AE63">
            <v>87.331478707468435</v>
          </cell>
          <cell r="AG63">
            <v>83.327969102027694</v>
          </cell>
          <cell r="AH63">
            <v>84.093830334190216</v>
          </cell>
          <cell r="AI63">
            <v>84.612748457847857</v>
          </cell>
          <cell r="AJ63">
            <v>85.491005603066952</v>
          </cell>
          <cell r="AL63">
            <v>83.760961351088014</v>
          </cell>
          <cell r="AM63">
            <v>84.212139791538931</v>
          </cell>
          <cell r="AN63">
            <v>83.766030653737872</v>
          </cell>
          <cell r="AO63">
            <v>84.937565036420395</v>
          </cell>
          <cell r="AQ63">
            <v>82.083474720054298</v>
          </cell>
          <cell r="AR63">
            <v>83.354922279792731</v>
          </cell>
          <cell r="AS63">
            <v>82.011284434118821</v>
          </cell>
          <cell r="AT63">
            <v>86.472648881703051</v>
          </cell>
          <cell r="AV63">
            <v>83.4765625</v>
          </cell>
          <cell r="AW63">
            <v>83.181818181818173</v>
          </cell>
          <cell r="AX63">
            <v>82.288345731491347</v>
          </cell>
          <cell r="AY63">
            <v>85.135900339750847</v>
          </cell>
          <cell r="BD63">
            <v>84.596109230784677</v>
          </cell>
          <cell r="BE63">
            <v>84.940652818991097</v>
          </cell>
        </row>
        <row r="64">
          <cell r="A64" t="str">
            <v>Research &amp; Development</v>
          </cell>
          <cell r="B64">
            <v>-22.246301001345088</v>
          </cell>
          <cell r="C64">
            <v>-23.020434227330774</v>
          </cell>
          <cell r="D64">
            <v>-19.626582278481013</v>
          </cell>
          <cell r="E64">
            <v>-17.897392767031118</v>
          </cell>
          <cell r="F64">
            <v>-17.360804513122396</v>
          </cell>
          <cell r="G64">
            <v>-17.401582400617521</v>
          </cell>
          <cell r="H64">
            <v>-16.73839860229258</v>
          </cell>
          <cell r="I64">
            <v>-16.505023116765742</v>
          </cell>
          <cell r="J64">
            <v>-16.404445787876956</v>
          </cell>
          <cell r="K64">
            <v>-16.24207344971941</v>
          </cell>
          <cell r="L64">
            <v>-16.094010865237919</v>
          </cell>
          <cell r="M64">
            <v>-16.09422159528431</v>
          </cell>
          <cell r="O64">
            <v>-17.880317231434752</v>
          </cell>
          <cell r="P64">
            <v>-17.442985487214926</v>
          </cell>
          <cell r="Q64">
            <v>-16.078717201166182</v>
          </cell>
          <cell r="R64">
            <v>-14.62411170676973</v>
          </cell>
          <cell r="W64">
            <v>-18.321541839473042</v>
          </cell>
          <cell r="X64">
            <v>-18.945403639757348</v>
          </cell>
          <cell r="Y64">
            <v>-17.833217833217834</v>
          </cell>
          <cell r="Z64">
            <v>-16.735012692833429</v>
          </cell>
          <cell r="AB64">
            <v>-23.910256410256409</v>
          </cell>
          <cell r="AC64">
            <v>-20.209237050267927</v>
          </cell>
          <cell r="AD64">
            <v>-19.765166340508806</v>
          </cell>
          <cell r="AE64">
            <v>-16.156644553819817</v>
          </cell>
          <cell r="AG64">
            <v>-25.233344061795947</v>
          </cell>
          <cell r="AH64">
            <v>-24.614395886889458</v>
          </cell>
          <cell r="AI64">
            <v>-24.02330363262508</v>
          </cell>
          <cell r="AJ64">
            <v>-18.6670598643468</v>
          </cell>
          <cell r="AL64">
            <v>-22.99447872685937</v>
          </cell>
          <cell r="AM64">
            <v>-22.624156958920906</v>
          </cell>
          <cell r="AN64">
            <v>-23.709727869878012</v>
          </cell>
          <cell r="AO64">
            <v>-20.109261186264305</v>
          </cell>
          <cell r="AQ64">
            <v>-25.110281642348152</v>
          </cell>
          <cell r="AR64">
            <v>-23.834196891191709</v>
          </cell>
          <cell r="AS64">
            <v>-24.327912379688016</v>
          </cell>
          <cell r="AT64">
            <v>-19.320937752627323</v>
          </cell>
          <cell r="AV64">
            <v>-27.734375</v>
          </cell>
          <cell r="AW64">
            <v>-25.83916083916084</v>
          </cell>
          <cell r="AX64">
            <v>-26.780021253985126</v>
          </cell>
          <cell r="AY64">
            <v>-20.554926387315966</v>
          </cell>
          <cell r="BD64">
            <v>-27.857566109933813</v>
          </cell>
          <cell r="BE64">
            <v>-26.494277236116996</v>
          </cell>
        </row>
        <row r="65">
          <cell r="A65" t="str">
            <v>Sales and Marketing</v>
          </cell>
          <cell r="B65">
            <v>-28.628007771633541</v>
          </cell>
          <cell r="C65">
            <v>-28.089878671775214</v>
          </cell>
          <cell r="D65">
            <v>-30.11392405063291</v>
          </cell>
          <cell r="E65">
            <v>-29.705634987384354</v>
          </cell>
          <cell r="F65">
            <v>-30.49300956585725</v>
          </cell>
          <cell r="G65">
            <v>-31.517753763025851</v>
          </cell>
          <cell r="H65">
            <v>-31.303532620275277</v>
          </cell>
          <cell r="I65">
            <v>-30.479368721104045</v>
          </cell>
          <cell r="J65">
            <v>-30.402579215510777</v>
          </cell>
          <cell r="K65">
            <v>-30.101174887078702</v>
          </cell>
          <cell r="L65">
            <v>-30.003425802273227</v>
          </cell>
          <cell r="M65">
            <v>-30.003632947209415</v>
          </cell>
          <cell r="O65">
            <v>-32.098053352559482</v>
          </cell>
          <cell r="P65">
            <v>-31.237042156185211</v>
          </cell>
          <cell r="Q65">
            <v>-30.2832361516035</v>
          </cell>
          <cell r="R65">
            <v>-28.450448821842659</v>
          </cell>
          <cell r="W65">
            <v>-31.83703342278605</v>
          </cell>
          <cell r="X65">
            <v>-29.631357909472701</v>
          </cell>
          <cell r="Y65">
            <v>-29.013629013629018</v>
          </cell>
          <cell r="Z65">
            <v>-28.646748681898064</v>
          </cell>
          <cell r="AB65">
            <v>-29.230769230769234</v>
          </cell>
          <cell r="AC65">
            <v>-30.620056136769584</v>
          </cell>
          <cell r="AD65">
            <v>-31.164383561643838</v>
          </cell>
          <cell r="AE65">
            <v>-29.360154076610318</v>
          </cell>
          <cell r="AG65">
            <v>-29.835854522046994</v>
          </cell>
          <cell r="AH65">
            <v>-28.952442159383036</v>
          </cell>
          <cell r="AI65">
            <v>-27.65935572309801</v>
          </cell>
          <cell r="AJ65">
            <v>-26.069006192863466</v>
          </cell>
          <cell r="AL65">
            <v>-29.717440727508933</v>
          </cell>
          <cell r="AM65">
            <v>-28.908645003065597</v>
          </cell>
          <cell r="AN65">
            <v>-28.307788551767281</v>
          </cell>
          <cell r="AO65">
            <v>-27.783558792924033</v>
          </cell>
          <cell r="AQ65">
            <v>-27.892772310824565</v>
          </cell>
          <cell r="AR65">
            <v>-28.367875647668388</v>
          </cell>
          <cell r="AS65">
            <v>-27.381347494191832</v>
          </cell>
          <cell r="AT65">
            <v>-25.33009970358394</v>
          </cell>
          <cell r="AV65">
            <v>-25.46875</v>
          </cell>
          <cell r="AW65">
            <v>-25.489510489510494</v>
          </cell>
          <cell r="AX65">
            <v>-25.504782146652499</v>
          </cell>
          <cell r="AY65">
            <v>-23.612684031710078</v>
          </cell>
          <cell r="BD65">
            <v>-21.806485954463735</v>
          </cell>
          <cell r="BE65">
            <v>-23.632895294616361</v>
          </cell>
        </row>
        <row r="66">
          <cell r="A66" t="str">
            <v>General &amp; Admin</v>
          </cell>
          <cell r="B66">
            <v>-7.7791062621431779</v>
          </cell>
          <cell r="C66">
            <v>-8.2463282247764997</v>
          </cell>
          <cell r="D66">
            <v>-7.7278481012658222</v>
          </cell>
          <cell r="E66">
            <v>-8.0235492010092511</v>
          </cell>
          <cell r="F66">
            <v>-7.4711797890605851</v>
          </cell>
          <cell r="G66">
            <v>-7.0243149363180226</v>
          </cell>
          <cell r="H66">
            <v>-7.5851195295521379</v>
          </cell>
          <cell r="I66">
            <v>-7.0775541418987054</v>
          </cell>
          <cell r="J66">
            <v>-7.0654518344288819</v>
          </cell>
          <cell r="K66">
            <v>-6.8916019363453813</v>
          </cell>
          <cell r="L66">
            <v>-6.7919536254637523</v>
          </cell>
          <cell r="M66">
            <v>-6.7919472694502296</v>
          </cell>
          <cell r="O66">
            <v>-7.3828406633020913</v>
          </cell>
          <cell r="P66">
            <v>-6.8555632342778159</v>
          </cell>
          <cell r="Q66">
            <v>-7.186588921282798</v>
          </cell>
          <cell r="R66">
            <v>-6.8944021942401195</v>
          </cell>
          <cell r="W66">
            <v>-7.3188582581117352</v>
          </cell>
          <cell r="X66">
            <v>-8.1661222585160989</v>
          </cell>
          <cell r="Y66">
            <v>-7.5075075075075075</v>
          </cell>
          <cell r="Z66">
            <v>-8.9045108377270061</v>
          </cell>
          <cell r="AB66">
            <v>-8.5256410256410255</v>
          </cell>
          <cell r="AC66">
            <v>-7.195713192140853</v>
          </cell>
          <cell r="AD66">
            <v>-7.4608610567514679</v>
          </cell>
          <cell r="AE66">
            <v>-7.8750267494115134</v>
          </cell>
          <cell r="AG66">
            <v>-8.8187962664950117</v>
          </cell>
          <cell r="AH66">
            <v>-8.6118251928020566</v>
          </cell>
          <cell r="AI66">
            <v>-7.4057573680603141</v>
          </cell>
          <cell r="AJ66">
            <v>-8.109702152757297</v>
          </cell>
          <cell r="AL66">
            <v>-8.249431633647287</v>
          </cell>
          <cell r="AM66">
            <v>-7.6026977314530955</v>
          </cell>
          <cell r="AN66">
            <v>-8.0075070378479829</v>
          </cell>
          <cell r="AO66">
            <v>-7.362122788761706</v>
          </cell>
          <cell r="AQ66">
            <v>-6.9901594842212411</v>
          </cell>
          <cell r="AR66">
            <v>-7.7720207253886011</v>
          </cell>
          <cell r="AS66">
            <v>-7.7995353468304014</v>
          </cell>
          <cell r="AT66">
            <v>-6.952303961196443</v>
          </cell>
          <cell r="AV66">
            <v>-6.640625</v>
          </cell>
          <cell r="AW66">
            <v>-7.3076923076923066</v>
          </cell>
          <cell r="AX66">
            <v>-7.1909316330145234</v>
          </cell>
          <cell r="AY66">
            <v>-6.681766704416761</v>
          </cell>
          <cell r="BD66">
            <v>-5.9129849652000122</v>
          </cell>
          <cell r="BE66">
            <v>-6.2102585841458247</v>
          </cell>
        </row>
        <row r="67">
          <cell r="A67" t="str">
            <v>DS non IFRS EBIT margin</v>
          </cell>
          <cell r="B67">
            <v>25.556717979375286</v>
          </cell>
          <cell r="C67">
            <v>25.046296296296326</v>
          </cell>
          <cell r="D67">
            <v>28.588607594936704</v>
          </cell>
          <cell r="E67">
            <v>30.423324922904406</v>
          </cell>
          <cell r="F67">
            <v>31.606573460878096</v>
          </cell>
          <cell r="G67">
            <v>31.493631802392901</v>
          </cell>
          <cell r="H67">
            <v>29.795031320577834</v>
          </cell>
          <cell r="I67">
            <v>30.760941356415355</v>
          </cell>
          <cell r="J67">
            <v>31.18057269109643</v>
          </cell>
          <cell r="K67">
            <v>32.231939744459289</v>
          </cell>
          <cell r="L67">
            <v>33.22760938991761</v>
          </cell>
          <cell r="M67">
            <v>34.163940018855264</v>
          </cell>
          <cell r="O67">
            <v>26.200432588320098</v>
          </cell>
          <cell r="P67">
            <v>29.448560275119974</v>
          </cell>
          <cell r="Q67">
            <v>31.657603195251106</v>
          </cell>
          <cell r="R67">
            <v>36.185267387624776</v>
          </cell>
          <cell r="W67">
            <v>28.323981458892412</v>
          </cell>
          <cell r="X67">
            <v>28.044797013532442</v>
          </cell>
          <cell r="Y67">
            <v>31.970431970431967</v>
          </cell>
          <cell r="Z67">
            <v>32.786565123999225</v>
          </cell>
          <cell r="AB67">
            <v>22.147435897435912</v>
          </cell>
          <cell r="AC67">
            <v>27.940801224802264</v>
          </cell>
          <cell r="AD67">
            <v>28.008806262230916</v>
          </cell>
          <cell r="AE67">
            <v>33.939653327626793</v>
          </cell>
          <cell r="AG67">
            <v>19.439974251689733</v>
          </cell>
          <cell r="AH67">
            <v>21.91516709511566</v>
          </cell>
          <cell r="AI67">
            <v>25.524331734064432</v>
          </cell>
          <cell r="AJ67">
            <v>32.645237393099393</v>
          </cell>
          <cell r="AL67">
            <v>22.799610263072413</v>
          </cell>
          <cell r="AM67">
            <v>25.076640098099332</v>
          </cell>
          <cell r="AN67">
            <v>23.741007194244588</v>
          </cell>
          <cell r="AO67">
            <v>29.68262226847034</v>
          </cell>
          <cell r="AQ67">
            <v>22.090261282660343</v>
          </cell>
          <cell r="AR67">
            <v>23.380829015544037</v>
          </cell>
          <cell r="AS67">
            <v>22.502489213408566</v>
          </cell>
          <cell r="AT67">
            <v>34.869307464295332</v>
          </cell>
          <cell r="AV67">
            <v>23.6328125</v>
          </cell>
          <cell r="AW67">
            <v>24.545454545454543</v>
          </cell>
          <cell r="AX67">
            <v>22.812610697839194</v>
          </cell>
          <cell r="AY67">
            <v>34.286523216308041</v>
          </cell>
          <cell r="BD67">
            <v>29.019072201187115</v>
          </cell>
          <cell r="BE67">
            <v>28.60322170411192</v>
          </cell>
        </row>
        <row r="68">
          <cell r="A68" t="str">
            <v>MS EBIT margin</v>
          </cell>
          <cell r="B68">
            <v>23.91271857719325</v>
          </cell>
          <cell r="C68">
            <v>23.090676883780361</v>
          </cell>
          <cell r="D68">
            <v>27.265822784810123</v>
          </cell>
          <cell r="E68">
            <v>29.262685730305577</v>
          </cell>
          <cell r="F68">
            <v>29.80132450331126</v>
          </cell>
          <cell r="G68">
            <v>29.780972597452728</v>
          </cell>
          <cell r="H68">
            <v>27.945625772361193</v>
          </cell>
          <cell r="I68">
            <v>29.287030277748833</v>
          </cell>
          <cell r="J68">
            <v>29.415032827703396</v>
          </cell>
          <cell r="K68">
            <v>30.54535243808688</v>
          </cell>
          <cell r="L68">
            <v>31.621389595110731</v>
          </cell>
          <cell r="M68">
            <v>32.626696583950228</v>
          </cell>
          <cell r="O68">
            <v>23.965392934390753</v>
          </cell>
          <cell r="P68">
            <v>28.705451385567553</v>
          </cell>
          <cell r="Q68">
            <v>30.092121259737432</v>
          </cell>
          <cell r="R68">
            <v>33.734431075199936</v>
          </cell>
          <cell r="W68">
            <v>27.396926079531593</v>
          </cell>
          <cell r="X68">
            <v>27.111525898273459</v>
          </cell>
          <cell r="Y68">
            <v>30.376530376530368</v>
          </cell>
          <cell r="Z68">
            <v>31.614918961140408</v>
          </cell>
          <cell r="AB68">
            <v>20.608974358974379</v>
          </cell>
          <cell r="AC68">
            <v>26.180147996938008</v>
          </cell>
          <cell r="AD68">
            <v>26.712328767123289</v>
          </cell>
          <cell r="AE68">
            <v>33.105071688422846</v>
          </cell>
        </row>
        <row r="69">
          <cell r="A69" t="str">
            <v>Underlying Tax Rate</v>
          </cell>
          <cell r="B69">
            <v>-31.282051282051277</v>
          </cell>
          <cell r="C69">
            <v>-28.513304055799498</v>
          </cell>
          <cell r="D69">
            <v>-32.688458972648441</v>
          </cell>
          <cell r="E69">
            <v>-32.809902087566961</v>
          </cell>
          <cell r="F69">
            <v>-34.580152671755727</v>
          </cell>
          <cell r="G69">
            <v>-33.107100238663477</v>
          </cell>
          <cell r="H69">
            <v>-34.409658851607468</v>
          </cell>
          <cell r="I69">
            <v>-34.399367160131064</v>
          </cell>
          <cell r="J69">
            <v>-33.663424588039952</v>
          </cell>
          <cell r="K69">
            <v>-35.381986324639705</v>
          </cell>
          <cell r="L69">
            <v>-35.381038120767997</v>
          </cell>
          <cell r="M69">
            <v>-35.380431296755951</v>
          </cell>
          <cell r="O69">
            <v>-25.857223159078153</v>
          </cell>
          <cell r="P69">
            <v>-36.148491879350367</v>
          </cell>
          <cell r="Q69">
            <v>-34</v>
          </cell>
          <cell r="R69">
            <v>-35.983116426310239</v>
          </cell>
          <cell r="W69">
            <v>-32.127476313522827</v>
          </cell>
          <cell r="X69">
            <v>-33.361204013377915</v>
          </cell>
          <cell r="Y69">
            <v>-30.541516245487362</v>
          </cell>
          <cell r="Z69">
            <v>-34.769599042489517</v>
          </cell>
          <cell r="AB69">
            <v>-31.417112299465217</v>
          </cell>
          <cell r="AC69">
            <v>-33.804143126177003</v>
          </cell>
          <cell r="AD69">
            <v>-27.974568574023618</v>
          </cell>
          <cell r="AE69">
            <v>-35.813366960907949</v>
          </cell>
          <cell r="AG69">
            <v>-28.500823723228997</v>
          </cell>
          <cell r="AH69">
            <v>-30.769230769230806</v>
          </cell>
          <cell r="AI69">
            <v>-29.044516829533109</v>
          </cell>
          <cell r="AJ69">
            <v>-26.881720430107514</v>
          </cell>
          <cell r="AL69">
            <v>-30.823863636363651</v>
          </cell>
          <cell r="AM69">
            <v>-32.600732600732584</v>
          </cell>
          <cell r="AN69">
            <v>-31.468531468531484</v>
          </cell>
          <cell r="AO69">
            <v>-30.46944198405669</v>
          </cell>
          <cell r="AQ69">
            <v>-31.99953028212429</v>
          </cell>
          <cell r="AR69">
            <v>-33.686665253338987</v>
          </cell>
          <cell r="AS69">
            <v>-32.653883222808808</v>
          </cell>
          <cell r="AT69">
            <v>-26.725711843996429</v>
          </cell>
          <cell r="AV69">
            <v>-34.460547504025762</v>
          </cell>
          <cell r="AW69">
            <v>-34.441087613293057</v>
          </cell>
          <cell r="AX69">
            <v>-27.727272727272716</v>
          </cell>
          <cell r="AY69">
            <v>-32.306477093206951</v>
          </cell>
          <cell r="BD69">
            <v>-33.982535239595727</v>
          </cell>
          <cell r="BE69">
            <v>-34.580098800282279</v>
          </cell>
        </row>
        <row r="72">
          <cell r="A72" t="str">
            <v>Topline Split</v>
          </cell>
        </row>
        <row r="73">
          <cell r="A73" t="str">
            <v>Y/E Dec 31</v>
          </cell>
          <cell r="B73" t="str">
            <v>FY</v>
          </cell>
          <cell r="C73" t="str">
            <v>FY</v>
          </cell>
          <cell r="D73" t="str">
            <v>FY</v>
          </cell>
          <cell r="E73" t="str">
            <v>FY</v>
          </cell>
          <cell r="F73" t="str">
            <v>FY</v>
          </cell>
          <cell r="G73" t="str">
            <v>FY</v>
          </cell>
          <cell r="H73" t="str">
            <v>FY</v>
          </cell>
          <cell r="I73" t="str">
            <v>FY</v>
          </cell>
          <cell r="J73" t="str">
            <v>FY</v>
          </cell>
          <cell r="K73" t="str">
            <v>FY</v>
          </cell>
          <cell r="L73" t="str">
            <v>FY</v>
          </cell>
          <cell r="M73" t="str">
            <v>FY</v>
          </cell>
          <cell r="O73" t="str">
            <v>Q1</v>
          </cell>
          <cell r="P73" t="str">
            <v>Q2</v>
          </cell>
          <cell r="Q73" t="str">
            <v>Q3</v>
          </cell>
          <cell r="R73" t="str">
            <v>Q4</v>
          </cell>
          <cell r="W73" t="str">
            <v>Q1</v>
          </cell>
          <cell r="X73" t="str">
            <v>Q2</v>
          </cell>
          <cell r="Y73" t="str">
            <v>Q3</v>
          </cell>
          <cell r="Z73" t="str">
            <v>Q4</v>
          </cell>
          <cell r="AB73" t="str">
            <v>Q1</v>
          </cell>
          <cell r="AC73" t="str">
            <v>Q2</v>
          </cell>
          <cell r="AD73" t="str">
            <v>Q3</v>
          </cell>
          <cell r="AE73" t="str">
            <v>Q4</v>
          </cell>
          <cell r="AG73" t="str">
            <v>Q1</v>
          </cell>
          <cell r="AH73" t="str">
            <v>Q2</v>
          </cell>
          <cell r="AI73" t="str">
            <v>Q3</v>
          </cell>
          <cell r="AJ73" t="str">
            <v>Q4</v>
          </cell>
          <cell r="AL73">
            <v>1</v>
          </cell>
          <cell r="AM73">
            <v>2</v>
          </cell>
          <cell r="AN73">
            <v>3</v>
          </cell>
          <cell r="AO73">
            <v>4</v>
          </cell>
          <cell r="AQ73" t="str">
            <v>Q1</v>
          </cell>
          <cell r="AR73" t="str">
            <v>Q2</v>
          </cell>
          <cell r="AS73" t="str">
            <v>Q3</v>
          </cell>
          <cell r="AT73" t="str">
            <v>Q4</v>
          </cell>
          <cell r="AV73" t="str">
            <v>Q1</v>
          </cell>
          <cell r="AW73" t="str">
            <v>Q2</v>
          </cell>
          <cell r="AX73" t="str">
            <v>Q3</v>
          </cell>
          <cell r="AY73" t="str">
            <v>Q4</v>
          </cell>
          <cell r="BD73" t="str">
            <v>FY</v>
          </cell>
          <cell r="BE73" t="str">
            <v>FY</v>
          </cell>
        </row>
        <row r="74">
          <cell r="A74" t="str">
            <v>EURm</v>
          </cell>
          <cell r="B74">
            <v>2008</v>
          </cell>
          <cell r="C74">
            <v>2009</v>
          </cell>
          <cell r="D74">
            <v>2010</v>
          </cell>
          <cell r="E74">
            <v>2011</v>
          </cell>
          <cell r="F74">
            <v>2012</v>
          </cell>
          <cell r="G74">
            <v>2013</v>
          </cell>
          <cell r="H74">
            <v>2014</v>
          </cell>
          <cell r="I74">
            <v>2015</v>
          </cell>
          <cell r="J74">
            <v>2016</v>
          </cell>
          <cell r="K74">
            <v>2017</v>
          </cell>
          <cell r="L74">
            <v>2018</v>
          </cell>
          <cell r="M74">
            <v>2019</v>
          </cell>
          <cell r="O74">
            <v>0</v>
          </cell>
          <cell r="P74">
            <v>0</v>
          </cell>
          <cell r="Q74">
            <v>0</v>
          </cell>
          <cell r="R74">
            <v>0</v>
          </cell>
          <cell r="W74">
            <v>2011</v>
          </cell>
          <cell r="X74">
            <v>2011</v>
          </cell>
          <cell r="Y74">
            <v>2011</v>
          </cell>
          <cell r="Z74">
            <v>2011</v>
          </cell>
          <cell r="AB74">
            <v>2010</v>
          </cell>
          <cell r="AC74">
            <v>2010</v>
          </cell>
          <cell r="AD74">
            <v>2010</v>
          </cell>
          <cell r="AE74">
            <v>2010</v>
          </cell>
          <cell r="AG74">
            <v>2009</v>
          </cell>
          <cell r="AH74">
            <v>2009</v>
          </cell>
          <cell r="AI74">
            <v>2009</v>
          </cell>
          <cell r="AJ74">
            <v>2009</v>
          </cell>
          <cell r="AL74">
            <v>2008</v>
          </cell>
          <cell r="AM74">
            <v>2008</v>
          </cell>
          <cell r="AN74">
            <v>2008</v>
          </cell>
          <cell r="AO74">
            <v>2008</v>
          </cell>
          <cell r="AQ74">
            <v>2007</v>
          </cell>
          <cell r="AR74">
            <v>2007</v>
          </cell>
          <cell r="AS74">
            <v>2007</v>
          </cell>
          <cell r="AT74">
            <v>2007</v>
          </cell>
          <cell r="AV74">
            <v>2006</v>
          </cell>
          <cell r="AW74">
            <v>2006</v>
          </cell>
          <cell r="AX74">
            <v>2006</v>
          </cell>
          <cell r="AY74">
            <v>2006</v>
          </cell>
          <cell r="BD74">
            <v>2004</v>
          </cell>
          <cell r="BE74">
            <v>2005</v>
          </cell>
        </row>
        <row r="75">
          <cell r="A75" t="str">
            <v>Europe</v>
          </cell>
          <cell r="B75">
            <v>621</v>
          </cell>
          <cell r="C75">
            <v>577.70000000000005</v>
          </cell>
          <cell r="D75">
            <v>709.2</v>
          </cell>
          <cell r="E75">
            <v>827.30000000000007</v>
          </cell>
          <cell r="F75">
            <v>910.89999999999986</v>
          </cell>
          <cell r="G75">
            <v>940.2</v>
          </cell>
          <cell r="H75">
            <v>1075.5</v>
          </cell>
          <cell r="I75">
            <v>1238.0999999999999</v>
          </cell>
          <cell r="J75">
            <v>1311.153</v>
          </cell>
          <cell r="K75">
            <v>1442.2683000000002</v>
          </cell>
          <cell r="L75">
            <v>1572.0724470000005</v>
          </cell>
          <cell r="M75">
            <v>1697.8382427600006</v>
          </cell>
          <cell r="O75">
            <v>292.8</v>
          </cell>
          <cell r="P75">
            <v>320.32</v>
          </cell>
          <cell r="Q75">
            <v>318.16800000000006</v>
          </cell>
          <cell r="R75">
            <v>379.86500000000001</v>
          </cell>
          <cell r="W75">
            <v>186.8</v>
          </cell>
          <cell r="X75">
            <v>188.4</v>
          </cell>
          <cell r="Y75">
            <v>200.7</v>
          </cell>
          <cell r="Z75">
            <v>251.4</v>
          </cell>
          <cell r="AB75">
            <v>140.9</v>
          </cell>
          <cell r="AC75">
            <v>175.1</v>
          </cell>
          <cell r="AD75">
            <v>174.5</v>
          </cell>
          <cell r="AE75">
            <v>218.7</v>
          </cell>
          <cell r="AG75">
            <v>137.69999999999999</v>
          </cell>
          <cell r="AH75">
            <v>144.19999999999999</v>
          </cell>
          <cell r="AI75">
            <v>134.80000000000001</v>
          </cell>
          <cell r="AJ75">
            <v>161</v>
          </cell>
          <cell r="AL75">
            <v>138.9</v>
          </cell>
          <cell r="AM75">
            <v>157.1</v>
          </cell>
          <cell r="AN75">
            <v>146.19999999999999</v>
          </cell>
          <cell r="AO75">
            <v>178.8</v>
          </cell>
          <cell r="AQ75">
            <v>124.2</v>
          </cell>
          <cell r="AR75">
            <v>142</v>
          </cell>
          <cell r="AS75">
            <v>131.9</v>
          </cell>
          <cell r="AT75">
            <v>186.2</v>
          </cell>
          <cell r="AV75">
            <v>113.2</v>
          </cell>
          <cell r="AW75">
            <v>137.19999999999999</v>
          </cell>
          <cell r="AX75">
            <v>125.6</v>
          </cell>
          <cell r="AY75">
            <v>172.3</v>
          </cell>
          <cell r="BD75">
            <v>370.911</v>
          </cell>
          <cell r="BE75">
            <v>441.79999999999995</v>
          </cell>
        </row>
        <row r="76">
          <cell r="A76" t="str">
            <v>Americas</v>
          </cell>
          <cell r="B76">
            <v>411.9</v>
          </cell>
          <cell r="C76">
            <v>386.9</v>
          </cell>
          <cell r="D76">
            <v>461.79999999999995</v>
          </cell>
          <cell r="E76">
            <v>488.79999999999995</v>
          </cell>
          <cell r="F76">
            <v>567.29999999999995</v>
          </cell>
          <cell r="G76">
            <v>569.6</v>
          </cell>
          <cell r="H76">
            <v>677.4</v>
          </cell>
          <cell r="I76">
            <v>909.5</v>
          </cell>
          <cell r="J76">
            <v>947.46583090876652</v>
          </cell>
          <cell r="K76">
            <v>1033.331397498132</v>
          </cell>
          <cell r="L76">
            <v>1141.2827902829767</v>
          </cell>
          <cell r="M76">
            <v>1255.4110693112746</v>
          </cell>
          <cell r="O76">
            <v>216.5</v>
          </cell>
          <cell r="P76">
            <v>229.25899161379036</v>
          </cell>
          <cell r="Q76">
            <v>232.46916794866161</v>
          </cell>
          <cell r="R76">
            <v>269.23767134631447</v>
          </cell>
          <cell r="W76">
            <v>112.8</v>
          </cell>
          <cell r="X76">
            <v>124.4</v>
          </cell>
          <cell r="Y76">
            <v>116</v>
          </cell>
          <cell r="Z76">
            <v>135.6</v>
          </cell>
          <cell r="AB76">
            <v>91.8</v>
          </cell>
          <cell r="AC76">
            <v>117.2</v>
          </cell>
          <cell r="AD76">
            <v>118.7</v>
          </cell>
          <cell r="AE76">
            <v>134.1</v>
          </cell>
          <cell r="AG76">
            <v>97.8</v>
          </cell>
          <cell r="AH76">
            <v>96.6</v>
          </cell>
          <cell r="AI76">
            <v>89.2</v>
          </cell>
          <cell r="AJ76">
            <v>103.3</v>
          </cell>
          <cell r="AL76">
            <v>94.1</v>
          </cell>
          <cell r="AM76">
            <v>95.9</v>
          </cell>
          <cell r="AN76">
            <v>102.7</v>
          </cell>
          <cell r="AO76">
            <v>119.2</v>
          </cell>
          <cell r="AQ76">
            <v>98</v>
          </cell>
          <cell r="AR76">
            <v>95.1</v>
          </cell>
          <cell r="AS76">
            <v>97</v>
          </cell>
          <cell r="AT76">
            <v>107.8</v>
          </cell>
          <cell r="AV76">
            <v>77.2</v>
          </cell>
          <cell r="AW76">
            <v>84.2</v>
          </cell>
          <cell r="AX76">
            <v>95</v>
          </cell>
          <cell r="AY76">
            <v>110.1</v>
          </cell>
          <cell r="BD76">
            <v>230.90600000000001</v>
          </cell>
          <cell r="BE76">
            <v>286.3</v>
          </cell>
        </row>
        <row r="77">
          <cell r="A77" t="str">
            <v>Asia-Pacific</v>
          </cell>
          <cell r="B77">
            <v>305.30000000000007</v>
          </cell>
          <cell r="C77">
            <v>288.20000000000005</v>
          </cell>
          <cell r="D77">
            <v>409</v>
          </cell>
          <cell r="E77">
            <v>467.4</v>
          </cell>
          <cell r="F77">
            <v>560.29999999999995</v>
          </cell>
          <cell r="G77">
            <v>563</v>
          </cell>
          <cell r="H77">
            <v>593.80000000000007</v>
          </cell>
          <cell r="I77">
            <v>729.09999999999991</v>
          </cell>
          <cell r="J77">
            <v>831.65407265207364</v>
          </cell>
          <cell r="K77">
            <v>921.08186079116194</v>
          </cell>
          <cell r="L77">
            <v>1031.6116840861016</v>
          </cell>
          <cell r="M77">
            <v>1155.4050861764338</v>
          </cell>
          <cell r="O77">
            <v>184.2</v>
          </cell>
          <cell r="P77">
            <v>213.43166264108066</v>
          </cell>
          <cell r="Q77">
            <v>200.56920072407769</v>
          </cell>
          <cell r="R77">
            <v>233.45320928691541</v>
          </cell>
          <cell r="W77">
            <v>110.3</v>
          </cell>
          <cell r="X77">
            <v>115.8</v>
          </cell>
          <cell r="Y77">
            <v>116.2</v>
          </cell>
          <cell r="Z77">
            <v>125.1</v>
          </cell>
          <cell r="AB77">
            <v>79.3</v>
          </cell>
          <cell r="AC77">
            <v>99.6</v>
          </cell>
          <cell r="AD77">
            <v>115.6</v>
          </cell>
          <cell r="AE77">
            <v>114.5</v>
          </cell>
          <cell r="AG77">
            <v>75.2</v>
          </cell>
          <cell r="AH77">
            <v>70.400000000000006</v>
          </cell>
          <cell r="AI77">
            <v>67.8</v>
          </cell>
          <cell r="AJ77">
            <v>74.8</v>
          </cell>
          <cell r="AL77">
            <v>74.900000000000006</v>
          </cell>
          <cell r="AM77">
            <v>73.2</v>
          </cell>
          <cell r="AN77">
            <v>70.8</v>
          </cell>
          <cell r="AO77">
            <v>86.4</v>
          </cell>
          <cell r="AQ77">
            <v>72.5</v>
          </cell>
          <cell r="AR77">
            <v>71.7</v>
          </cell>
          <cell r="AS77">
            <v>72.400000000000006</v>
          </cell>
          <cell r="AT77">
            <v>77.099999999999994</v>
          </cell>
          <cell r="AV77">
            <v>65.599999999999994</v>
          </cell>
          <cell r="AW77">
            <v>64.599999999999994</v>
          </cell>
          <cell r="AX77">
            <v>61.7</v>
          </cell>
          <cell r="AY77">
            <v>70.8</v>
          </cell>
          <cell r="BD77">
            <v>194.73500000000001</v>
          </cell>
          <cell r="BE77">
            <v>215.5</v>
          </cell>
        </row>
        <row r="78">
          <cell r="A78" t="str">
            <v>Total Revenues</v>
          </cell>
          <cell r="B78">
            <v>1338.2000000000003</v>
          </cell>
          <cell r="C78">
            <v>1252.8000000000002</v>
          </cell>
          <cell r="D78">
            <v>1580</v>
          </cell>
          <cell r="E78">
            <v>1783.5</v>
          </cell>
          <cell r="F78">
            <v>2038.4999999999998</v>
          </cell>
          <cell r="G78">
            <v>2072.8000000000002</v>
          </cell>
          <cell r="H78">
            <v>2346.7000000000003</v>
          </cell>
          <cell r="I78">
            <v>2876.7</v>
          </cell>
          <cell r="J78">
            <v>3090.2729035608399</v>
          </cell>
          <cell r="K78">
            <v>3396.6815582892941</v>
          </cell>
          <cell r="L78">
            <v>3744.9669213690786</v>
          </cell>
          <cell r="M78">
            <v>4108.6543982477087</v>
          </cell>
          <cell r="O78">
            <v>693.5</v>
          </cell>
          <cell r="P78">
            <v>763.01065425487104</v>
          </cell>
          <cell r="Q78">
            <v>751.20636867273936</v>
          </cell>
          <cell r="R78">
            <v>882.55588063322989</v>
          </cell>
          <cell r="W78">
            <v>409.9</v>
          </cell>
          <cell r="X78">
            <v>428.6</v>
          </cell>
          <cell r="Y78">
            <v>432.9</v>
          </cell>
          <cell r="Z78">
            <v>512.1</v>
          </cell>
          <cell r="AB78">
            <v>312</v>
          </cell>
          <cell r="AC78">
            <v>391.9</v>
          </cell>
          <cell r="AD78">
            <v>408.8</v>
          </cell>
          <cell r="AE78">
            <v>467.29999999999995</v>
          </cell>
          <cell r="AG78">
            <v>310.7</v>
          </cell>
          <cell r="AH78">
            <v>311.2</v>
          </cell>
          <cell r="AI78">
            <v>291.8</v>
          </cell>
          <cell r="AJ78">
            <v>339.1</v>
          </cell>
          <cell r="AL78">
            <v>307.89999999999998</v>
          </cell>
          <cell r="AM78">
            <v>326.20000000000005</v>
          </cell>
          <cell r="AN78">
            <v>319.7</v>
          </cell>
          <cell r="AO78">
            <v>384.40000000000003</v>
          </cell>
          <cell r="AQ78">
            <v>294.7</v>
          </cell>
          <cell r="AR78">
            <v>308.8</v>
          </cell>
          <cell r="AS78">
            <v>301.3</v>
          </cell>
          <cell r="AT78">
            <v>371.09999999999997</v>
          </cell>
          <cell r="AV78">
            <v>256</v>
          </cell>
          <cell r="AW78">
            <v>286</v>
          </cell>
          <cell r="AX78">
            <v>282.29999999999995</v>
          </cell>
          <cell r="AY78">
            <v>353.2</v>
          </cell>
          <cell r="BD78">
            <v>796.55200000000002</v>
          </cell>
          <cell r="BE78">
            <v>943.59999999999991</v>
          </cell>
        </row>
        <row r="80">
          <cell r="A80" t="str">
            <v>Process Centric</v>
          </cell>
          <cell r="B80">
            <v>796.83516074384784</v>
          </cell>
          <cell r="C80">
            <v>765.99270474558546</v>
          </cell>
          <cell r="D80">
            <v>964.19997558744672</v>
          </cell>
          <cell r="E80">
            <v>1102.0854521908018</v>
          </cell>
          <cell r="F80">
            <v>1252.9783259281839</v>
          </cell>
          <cell r="G80">
            <v>1294.48737381868</v>
          </cell>
          <cell r="H80">
            <v>1510.1660837702379</v>
          </cell>
          <cell r="I80">
            <v>1859.7427893313943</v>
          </cell>
          <cell r="J80">
            <v>1987.6579743570214</v>
          </cell>
          <cell r="K80">
            <v>2172.7789868730551</v>
          </cell>
          <cell r="L80">
            <v>2386.4350670970534</v>
          </cell>
          <cell r="M80">
            <v>2600.6840400057608</v>
          </cell>
          <cell r="O80">
            <v>438.51026894865527</v>
          </cell>
          <cell r="P80">
            <v>497.32577360446533</v>
          </cell>
          <cell r="Q80">
            <v>490.54868187796876</v>
          </cell>
          <cell r="R80">
            <v>561.27324992593208</v>
          </cell>
          <cell r="W80">
            <v>255.73643031784837</v>
          </cell>
          <cell r="X80">
            <v>266.9916810225892</v>
          </cell>
          <cell r="Y80">
            <v>265.47855297157628</v>
          </cell>
          <cell r="Z80">
            <v>313.87878787878788</v>
          </cell>
          <cell r="AB80">
            <v>188.260391198044</v>
          </cell>
          <cell r="AC80">
            <v>244.28633092452139</v>
          </cell>
          <cell r="AD80">
            <v>250.03204134366928</v>
          </cell>
          <cell r="AE80">
            <v>281.62121212121207</v>
          </cell>
          <cell r="AG80">
            <v>189.82567237163812</v>
          </cell>
          <cell r="AH80">
            <v>188.84215570023343</v>
          </cell>
          <cell r="AI80">
            <v>185.86124031007753</v>
          </cell>
          <cell r="AJ80">
            <v>201.4636363636364</v>
          </cell>
          <cell r="AL80">
            <v>184.79511002444985</v>
          </cell>
          <cell r="AM80">
            <v>197.66027623032124</v>
          </cell>
          <cell r="AN80">
            <v>186.34341085271319</v>
          </cell>
          <cell r="AO80">
            <v>228.03636363636366</v>
          </cell>
          <cell r="AQ80">
            <v>172.7</v>
          </cell>
          <cell r="AR80">
            <v>184.7</v>
          </cell>
          <cell r="AS80">
            <v>180.9</v>
          </cell>
          <cell r="AT80">
            <v>226.97878787878784</v>
          </cell>
          <cell r="AV80">
            <v>172.70000000000002</v>
          </cell>
          <cell r="AW80">
            <v>177.5</v>
          </cell>
          <cell r="AX80">
            <v>172.79999999999998</v>
          </cell>
          <cell r="AY80">
            <v>218.29999999999998</v>
          </cell>
          <cell r="BD80">
            <v>549</v>
          </cell>
          <cell r="BE80">
            <v>639.90000000000009</v>
          </cell>
        </row>
        <row r="81">
          <cell r="A81" t="str">
            <v>Design Centric</v>
          </cell>
          <cell r="B81">
            <v>276.4094637223975</v>
          </cell>
          <cell r="C81">
            <v>261.00441640378551</v>
          </cell>
          <cell r="D81">
            <v>311.74605678233439</v>
          </cell>
          <cell r="E81">
            <v>341.25678233438487</v>
          </cell>
          <cell r="F81">
            <v>403.52018927444794</v>
          </cell>
          <cell r="G81">
            <v>409.83091482649843</v>
          </cell>
          <cell r="H81">
            <v>448.04006309148269</v>
          </cell>
          <cell r="I81">
            <v>570.24227129337532</v>
          </cell>
          <cell r="J81">
            <v>605.40787737173355</v>
          </cell>
          <cell r="K81">
            <v>672.00274388262426</v>
          </cell>
          <cell r="L81">
            <v>745.92304570971305</v>
          </cell>
          <cell r="M81">
            <v>827.97458073778148</v>
          </cell>
          <cell r="O81">
            <v>151.5</v>
          </cell>
          <cell r="P81">
            <v>149.31537561980639</v>
          </cell>
          <cell r="Q81">
            <v>143.85599159074982</v>
          </cell>
          <cell r="R81">
            <v>160.73651016117731</v>
          </cell>
          <cell r="W81">
            <v>84.1</v>
          </cell>
          <cell r="X81">
            <v>81.656782334384857</v>
          </cell>
          <cell r="Y81">
            <v>84.4</v>
          </cell>
          <cell r="Z81">
            <v>91.1</v>
          </cell>
          <cell r="AB81">
            <v>70.900000000000006</v>
          </cell>
          <cell r="AC81">
            <v>78.246056782334378</v>
          </cell>
          <cell r="AD81">
            <v>79.8</v>
          </cell>
          <cell r="AE81">
            <v>82.8</v>
          </cell>
          <cell r="AG81">
            <v>71.099999999999994</v>
          </cell>
          <cell r="AH81">
            <v>65.004416403785484</v>
          </cell>
          <cell r="AI81">
            <v>60.9</v>
          </cell>
          <cell r="AJ81">
            <v>64</v>
          </cell>
          <cell r="AL81">
            <v>67.2</v>
          </cell>
          <cell r="AM81">
            <v>66.609463722397479</v>
          </cell>
          <cell r="AN81">
            <v>67.599999999999994</v>
          </cell>
          <cell r="AO81">
            <v>75</v>
          </cell>
          <cell r="AQ81">
            <v>62.3</v>
          </cell>
          <cell r="AR81">
            <v>63.6</v>
          </cell>
          <cell r="AS81">
            <v>62.3</v>
          </cell>
          <cell r="AT81">
            <v>67</v>
          </cell>
          <cell r="AV81">
            <v>57</v>
          </cell>
          <cell r="AW81">
            <v>60.6</v>
          </cell>
          <cell r="AX81">
            <v>55.1</v>
          </cell>
          <cell r="AY81">
            <v>63.8</v>
          </cell>
          <cell r="BD81">
            <v>145.89999999999998</v>
          </cell>
          <cell r="BE81">
            <v>181.8</v>
          </cell>
        </row>
        <row r="82">
          <cell r="A82" t="str">
            <v>PDM</v>
          </cell>
          <cell r="B82">
            <v>264.95537553375459</v>
          </cell>
          <cell r="C82">
            <v>225.80287885062904</v>
          </cell>
          <cell r="D82">
            <v>304.05396763021884</v>
          </cell>
          <cell r="E82">
            <v>340.15776547481346</v>
          </cell>
          <cell r="F82">
            <v>382.00148479736811</v>
          </cell>
          <cell r="G82">
            <v>368.4817113548217</v>
          </cell>
          <cell r="H82">
            <v>388.49385313827929</v>
          </cell>
          <cell r="I82">
            <v>446.71493937523041</v>
          </cell>
          <cell r="J82">
            <v>497.20705183208537</v>
          </cell>
          <cell r="K82">
            <v>551.89982753361483</v>
          </cell>
          <cell r="L82">
            <v>612.60880856231245</v>
          </cell>
          <cell r="M82">
            <v>679.99577750416677</v>
          </cell>
          <cell r="O82">
            <v>103.48973105134476</v>
          </cell>
          <cell r="P82">
            <v>116.36950503059924</v>
          </cell>
          <cell r="Q82">
            <v>116.80169520402077</v>
          </cell>
          <cell r="R82">
            <v>160.54612054612056</v>
          </cell>
          <cell r="W82">
            <v>70.063569682151595</v>
          </cell>
          <cell r="X82">
            <v>79.951536643026003</v>
          </cell>
          <cell r="Y82">
            <v>83.021447028423751</v>
          </cell>
          <cell r="Z82">
            <v>107.12121212121212</v>
          </cell>
          <cell r="AB82">
            <v>52.839608801955997</v>
          </cell>
          <cell r="AC82">
            <v>69.367612293144205</v>
          </cell>
          <cell r="AD82">
            <v>78.967958656330737</v>
          </cell>
          <cell r="AE82">
            <v>102.87878787878789</v>
          </cell>
          <cell r="AG82">
            <v>49.774327628361867</v>
          </cell>
          <cell r="AH82">
            <v>57.353427895981085</v>
          </cell>
          <cell r="AI82">
            <v>45.038759689922472</v>
          </cell>
          <cell r="AJ82">
            <v>73.63636363636364</v>
          </cell>
          <cell r="AL82">
            <v>55.90488997555012</v>
          </cell>
          <cell r="AM82">
            <v>61.930260047281315</v>
          </cell>
          <cell r="AN82">
            <v>65.756589147286803</v>
          </cell>
          <cell r="AO82">
            <v>81.363636363636374</v>
          </cell>
          <cell r="AQ82">
            <v>59.7</v>
          </cell>
          <cell r="AR82">
            <v>60.5</v>
          </cell>
          <cell r="AS82">
            <v>58.1</v>
          </cell>
          <cell r="AT82">
            <v>77.121212121212125</v>
          </cell>
          <cell r="AV82">
            <v>26.3</v>
          </cell>
          <cell r="AW82">
            <v>47.9</v>
          </cell>
          <cell r="AX82">
            <v>54.4</v>
          </cell>
          <cell r="AY82">
            <v>71.099999999999994</v>
          </cell>
          <cell r="BD82">
            <v>101.69999999999999</v>
          </cell>
          <cell r="BE82">
            <v>121.9</v>
          </cell>
        </row>
        <row r="83">
          <cell r="A83" t="str">
            <v>Total Revenues</v>
          </cell>
          <cell r="B83">
            <v>1338.1999999999998</v>
          </cell>
          <cell r="C83">
            <v>1252.8</v>
          </cell>
          <cell r="D83">
            <v>1580</v>
          </cell>
          <cell r="E83">
            <v>1783.5</v>
          </cell>
          <cell r="F83">
            <v>2038.5</v>
          </cell>
          <cell r="G83">
            <v>2072.8000000000002</v>
          </cell>
          <cell r="H83">
            <v>2346.6999999999998</v>
          </cell>
          <cell r="I83">
            <v>2876.7</v>
          </cell>
          <cell r="J83">
            <v>3090.2729035608399</v>
          </cell>
          <cell r="K83">
            <v>3396.6815582892941</v>
          </cell>
          <cell r="L83">
            <v>3744.9669213690786</v>
          </cell>
          <cell r="M83">
            <v>4108.6543982477087</v>
          </cell>
          <cell r="O83">
            <v>693.5</v>
          </cell>
          <cell r="P83">
            <v>763.01065425487104</v>
          </cell>
          <cell r="Q83">
            <v>751.20636867273936</v>
          </cell>
          <cell r="R83">
            <v>882.55588063322989</v>
          </cell>
          <cell r="W83">
            <v>409.9</v>
          </cell>
          <cell r="X83">
            <v>428.6</v>
          </cell>
          <cell r="Y83">
            <v>432.9</v>
          </cell>
          <cell r="Z83">
            <v>512.1</v>
          </cell>
          <cell r="AB83">
            <v>312</v>
          </cell>
          <cell r="AC83">
            <v>391.9</v>
          </cell>
          <cell r="AD83">
            <v>408.8</v>
          </cell>
          <cell r="AE83">
            <v>467.29999999999995</v>
          </cell>
          <cell r="AG83">
            <v>310.7</v>
          </cell>
          <cell r="AH83">
            <v>311.2</v>
          </cell>
          <cell r="AI83">
            <v>291.8</v>
          </cell>
          <cell r="AJ83">
            <v>339.1</v>
          </cell>
          <cell r="AL83">
            <v>307.89999999999998</v>
          </cell>
          <cell r="AM83">
            <v>326.20000000000005</v>
          </cell>
          <cell r="AN83">
            <v>319.7</v>
          </cell>
          <cell r="AO83">
            <v>384.40000000000003</v>
          </cell>
          <cell r="AQ83">
            <v>294.7</v>
          </cell>
          <cell r="AR83">
            <v>308.8</v>
          </cell>
          <cell r="AS83">
            <v>301.3</v>
          </cell>
          <cell r="AT83">
            <v>371.09999999999997</v>
          </cell>
          <cell r="AV83">
            <v>256</v>
          </cell>
          <cell r="AW83">
            <v>286</v>
          </cell>
          <cell r="AX83">
            <v>282.29999999999995</v>
          </cell>
          <cell r="AY83">
            <v>353.2</v>
          </cell>
          <cell r="BD83">
            <v>796.59999999999991</v>
          </cell>
          <cell r="BE83">
            <v>943.6</v>
          </cell>
        </row>
        <row r="85">
          <cell r="A85" t="str">
            <v>% change organic</v>
          </cell>
        </row>
        <row r="86">
          <cell r="A86" t="str">
            <v>Europe</v>
          </cell>
          <cell r="B86">
            <v>5.8959438644532014</v>
          </cell>
          <cell r="C86">
            <v>-6.8276972624798704</v>
          </cell>
          <cell r="D86">
            <v>9.5921066297386162</v>
          </cell>
          <cell r="E86">
            <v>12.226383626065473</v>
          </cell>
          <cell r="F86">
            <v>9.4648040545946888</v>
          </cell>
          <cell r="G86">
            <v>2.3041277857064779</v>
          </cell>
          <cell r="H86">
            <v>3.1844892930582125</v>
          </cell>
          <cell r="I86">
            <v>10.372298727021988</v>
          </cell>
          <cell r="J86">
            <v>5.8747102079482971</v>
          </cell>
          <cell r="K86">
            <v>10.000000000000009</v>
          </cell>
          <cell r="L86">
            <v>9.0000000000000071</v>
          </cell>
          <cell r="M86">
            <v>8.0000000000000071</v>
          </cell>
          <cell r="O86">
            <v>1.7595818815331121</v>
          </cell>
          <cell r="P86">
            <v>4.0000000000000036</v>
          </cell>
          <cell r="Q86">
            <v>8.0000000000000071</v>
          </cell>
          <cell r="R86">
            <v>9.0000000000000071</v>
          </cell>
          <cell r="W86">
            <v>13.727750177430798</v>
          </cell>
          <cell r="X86">
            <v>5.5353882288591727</v>
          </cell>
          <cell r="Y86">
            <v>14.796400177569712</v>
          </cell>
          <cell r="Z86">
            <v>14.565582797194709</v>
          </cell>
          <cell r="AB86">
            <v>2.3238925199709604</v>
          </cell>
          <cell r="AC86">
            <v>4.6721914008321708</v>
          </cell>
          <cell r="AD86">
            <v>11.974480712166159</v>
          </cell>
          <cell r="AE86">
            <v>18.220310559006215</v>
          </cell>
          <cell r="AG86">
            <v>-0.53995680345574337</v>
          </cell>
          <cell r="AH86">
            <v>-7.92488860598346</v>
          </cell>
          <cell r="AI86">
            <v>-7.7975376196990247</v>
          </cell>
          <cell r="AJ86">
            <v>-9.9552572706935187</v>
          </cell>
          <cell r="AL86">
            <v>10.386473429951693</v>
          </cell>
          <cell r="AM86">
            <v>9.3661971830985902</v>
          </cell>
          <cell r="AN86">
            <v>11.637604245640642</v>
          </cell>
          <cell r="AO86">
            <v>-3.8131041890440254</v>
          </cell>
          <cell r="AQ86">
            <v>3.2059276352051747</v>
          </cell>
          <cell r="AR86">
            <v>0.80159035688476266</v>
          </cell>
          <cell r="AS86">
            <v>3.7619426751592577</v>
          </cell>
          <cell r="AT86">
            <v>6.5002901915264033</v>
          </cell>
          <cell r="AV86">
            <v>9.8112136883256262</v>
          </cell>
          <cell r="AW86">
            <v>19.131753875819157</v>
          </cell>
          <cell r="AX86">
            <v>27.381395485822924</v>
          </cell>
          <cell r="AY86">
            <v>0.46452924646647187</v>
          </cell>
          <cell r="BD86">
            <v>4.8067250635772885</v>
          </cell>
          <cell r="BE86">
            <v>11.897463272860588</v>
          </cell>
        </row>
        <row r="87">
          <cell r="A87" t="str">
            <v>Americas</v>
          </cell>
          <cell r="B87">
            <v>10.953195228877654</v>
          </cell>
          <cell r="C87">
            <v>-10.573297623487798</v>
          </cell>
          <cell r="D87">
            <v>1.640168640725248</v>
          </cell>
          <cell r="E87">
            <v>6.1769605630314972</v>
          </cell>
          <cell r="F87">
            <v>6.1249370595304775</v>
          </cell>
          <cell r="G87">
            <v>0.52073235916241245</v>
          </cell>
          <cell r="H87">
            <v>3.6298157190500779</v>
          </cell>
          <cell r="I87">
            <v>7.5360837696737404</v>
          </cell>
          <cell r="J87">
            <v>5.7592218820793795</v>
          </cell>
          <cell r="K87">
            <v>10.078337117921565</v>
          </cell>
          <cell r="L87">
            <v>10.446928550338551</v>
          </cell>
          <cell r="M87">
            <v>10.000000000000009</v>
          </cell>
          <cell r="O87">
            <v>3.731422447204058</v>
          </cell>
          <cell r="P87">
            <v>4.4999999999999929</v>
          </cell>
          <cell r="Q87">
            <v>6.0000000000000053</v>
          </cell>
          <cell r="R87">
            <v>9.0000000000000071</v>
          </cell>
          <cell r="W87">
            <v>3.4740295046386871</v>
          </cell>
          <cell r="X87">
            <v>18.054950705016527</v>
          </cell>
          <cell r="Y87">
            <v>5.8484937102194046</v>
          </cell>
          <cell r="Z87">
            <v>-0.84596543676620506</v>
          </cell>
          <cell r="AB87">
            <v>-0.43706447470001075</v>
          </cell>
          <cell r="AC87">
            <v>-2.1827820019753919</v>
          </cell>
          <cell r="AD87">
            <v>5.3093196096994477</v>
          </cell>
          <cell r="AE87">
            <v>3.3783518854940908</v>
          </cell>
          <cell r="AG87">
            <v>-8.8111055616484464</v>
          </cell>
          <cell r="AH87">
            <v>-11.387119504276022</v>
          </cell>
          <cell r="AI87">
            <v>-17.222381876613703</v>
          </cell>
          <cell r="AJ87">
            <v>-2.8785615381223706</v>
          </cell>
          <cell r="AL87">
            <v>8.2121950649775464</v>
          </cell>
          <cell r="AM87">
            <v>15.110087788809889</v>
          </cell>
          <cell r="AN87">
            <v>17.807237284247137</v>
          </cell>
          <cell r="AO87">
            <v>1.0646000611155948</v>
          </cell>
          <cell r="AQ87">
            <v>15.265476406284129</v>
          </cell>
          <cell r="AR87">
            <v>10.618254402824267</v>
          </cell>
          <cell r="AS87">
            <v>8.7551931069177691</v>
          </cell>
          <cell r="AT87">
            <v>7.8268725585149079</v>
          </cell>
          <cell r="AV87">
            <v>5.2665805772663443</v>
          </cell>
          <cell r="AW87">
            <v>-12.061287947423594</v>
          </cell>
          <cell r="AX87">
            <v>-1.7799370695732231</v>
          </cell>
          <cell r="AY87">
            <v>21.376954859016941</v>
          </cell>
          <cell r="BD87">
            <v>15.382579884400016</v>
          </cell>
          <cell r="BE87">
            <v>15.605721950679708</v>
          </cell>
        </row>
        <row r="88">
          <cell r="A88" t="str">
            <v>Asia-Pacific</v>
          </cell>
          <cell r="B88">
            <v>-0.43939679088407235</v>
          </cell>
          <cell r="C88">
            <v>-14.960344937608049</v>
          </cell>
          <cell r="D88">
            <v>20.863784439973678</v>
          </cell>
          <cell r="E88">
            <v>7.7907507885190519</v>
          </cell>
          <cell r="F88">
            <v>13.470987188423432</v>
          </cell>
          <cell r="G88">
            <v>4.8825021876711228</v>
          </cell>
          <cell r="H88">
            <v>12.937308639043653</v>
          </cell>
          <cell r="I88">
            <v>15.259730765785573</v>
          </cell>
          <cell r="J88">
            <v>9.4211121482222318</v>
          </cell>
          <cell r="K88">
            <v>10.265907469502711</v>
          </cell>
          <cell r="L88">
            <v>12.000000000000032</v>
          </cell>
          <cell r="M88">
            <v>11.999999999999989</v>
          </cell>
          <cell r="O88">
            <v>2.5217595569096307</v>
          </cell>
          <cell r="P88">
            <v>6.9810261391291206</v>
          </cell>
          <cell r="Q88">
            <v>14.040527119539558</v>
          </cell>
          <cell r="R88">
            <v>14.04983928595842</v>
          </cell>
          <cell r="W88">
            <v>16.212778915245842</v>
          </cell>
          <cell r="X88">
            <v>16.280616648596524</v>
          </cell>
          <cell r="Y88">
            <v>-0.4988193562496801</v>
          </cell>
          <cell r="Z88">
            <v>3.7254814427142069</v>
          </cell>
          <cell r="AB88">
            <v>7.4899739496025131</v>
          </cell>
          <cell r="AC88">
            <v>15.128041578118911</v>
          </cell>
          <cell r="AD88">
            <v>37.635272190165935</v>
          </cell>
          <cell r="AE88">
            <v>22.561261749546624</v>
          </cell>
          <cell r="AG88">
            <v>-15.153342215522036</v>
          </cell>
          <cell r="AH88">
            <v>-16.241145248842258</v>
          </cell>
          <cell r="AI88">
            <v>-15.780956142375924</v>
          </cell>
          <cell r="AJ88">
            <v>-10.243789938890513</v>
          </cell>
          <cell r="AL88">
            <v>2.7545381621404186</v>
          </cell>
          <cell r="AM88">
            <v>1.2024481169494949</v>
          </cell>
          <cell r="AN88">
            <v>-1.5976457429484614</v>
          </cell>
          <cell r="AO88">
            <v>-5.8181786149158139</v>
          </cell>
          <cell r="AQ88">
            <v>14.900907654207774</v>
          </cell>
          <cell r="AR88">
            <v>19.111578051936217</v>
          </cell>
          <cell r="AS88">
            <v>23.730945968102681</v>
          </cell>
          <cell r="AT88">
            <v>13.07674628099682</v>
          </cell>
          <cell r="AV88">
            <v>25.193577582597058</v>
          </cell>
          <cell r="AW88">
            <v>33.511897603150096</v>
          </cell>
          <cell r="AX88">
            <v>7.0757055169180516</v>
          </cell>
          <cell r="AY88">
            <v>8.8171215804472514</v>
          </cell>
          <cell r="BD88">
            <v>6.8498127004543941</v>
          </cell>
          <cell r="BE88">
            <v>9.909606392448179</v>
          </cell>
        </row>
        <row r="89">
          <cell r="A89" t="str">
            <v>Total Revenues</v>
          </cell>
          <cell r="B89">
            <v>6.0147547175231297</v>
          </cell>
          <cell r="C89">
            <v>-9.8359995520597607</v>
          </cell>
          <cell r="D89">
            <v>9.7293134759714341</v>
          </cell>
          <cell r="E89">
            <v>9.310056157036616</v>
          </cell>
          <cell r="F89">
            <v>9.5993501771425738</v>
          </cell>
          <cell r="G89">
            <v>2.5165108869781516</v>
          </cell>
          <cell r="H89">
            <v>5.9558590460661032</v>
          </cell>
          <cell r="I89">
            <v>10.790292135855717</v>
          </cell>
          <cell r="J89">
            <v>6.7370333637434721</v>
          </cell>
          <cell r="K89">
            <v>10.095578863647535</v>
          </cell>
          <cell r="L89">
            <v>10.253694881400509</v>
          </cell>
          <cell r="M89">
            <v>9.7113668695816955</v>
          </cell>
          <cell r="O89">
            <v>2.5644435678164212</v>
          </cell>
          <cell r="P89">
            <v>4.9438376028240638</v>
          </cell>
          <cell r="Q89">
            <v>8.8162799256022097</v>
          </cell>
          <cell r="R89">
            <v>10.239008068166843</v>
          </cell>
          <cell r="W89">
            <v>11.342401527259071</v>
          </cell>
          <cell r="X89">
            <v>12.010298850985945</v>
          </cell>
          <cell r="Y89">
            <v>7.8731030254562073</v>
          </cell>
          <cell r="Z89">
            <v>7.4868748509884675</v>
          </cell>
          <cell r="AB89">
            <v>2.705185501720142</v>
          </cell>
          <cell r="AC89">
            <v>4.9096638358250289</v>
          </cell>
          <cell r="AD89">
            <v>15.899324070179709</v>
          </cell>
          <cell r="AE89">
            <v>14.656550069706942</v>
          </cell>
          <cell r="AG89">
            <v>-6.6226384062803572</v>
          </cell>
          <cell r="AH89">
            <v>-10.808941117950111</v>
          </cell>
          <cell r="AI89">
            <v>-12.593150808909737</v>
          </cell>
          <cell r="AJ89">
            <v>-7.8256711396054275</v>
          </cell>
          <cell r="AL89">
            <v>7.7858810082218621</v>
          </cell>
          <cell r="AM89">
            <v>9.2395883377625943</v>
          </cell>
          <cell r="AN89">
            <v>10.443519630874555</v>
          </cell>
          <cell r="AO89">
            <v>-2.8127665982801142</v>
          </cell>
          <cell r="AQ89">
            <v>9.8394739413530949</v>
          </cell>
          <cell r="AR89">
            <v>7.8274236357953608</v>
          </cell>
          <cell r="AS89">
            <v>9.8067400332593646</v>
          </cell>
          <cell r="AT89">
            <v>8.2320846698388017</v>
          </cell>
          <cell r="AV89">
            <v>12.390604171613418</v>
          </cell>
          <cell r="AW89">
            <v>12.030365844822999</v>
          </cell>
          <cell r="AX89">
            <v>12.054504142484079</v>
          </cell>
          <cell r="AY89">
            <v>7.9498037038718383</v>
          </cell>
          <cell r="BD89">
            <v>8.3257746241595765</v>
          </cell>
          <cell r="BE89">
            <v>12.48644411611175</v>
          </cell>
        </row>
        <row r="91">
          <cell r="A91" t="str">
            <v xml:space="preserve">% change stated </v>
          </cell>
        </row>
        <row r="92">
          <cell r="A92" t="str">
            <v>Europe</v>
          </cell>
          <cell r="B92">
            <v>6.2810200239602931</v>
          </cell>
          <cell r="C92">
            <v>-6.9726247987117462</v>
          </cell>
          <cell r="D92">
            <v>22.762679591483458</v>
          </cell>
          <cell r="E92">
            <v>16.652566271855605</v>
          </cell>
          <cell r="F92">
            <v>10.105161368306504</v>
          </cell>
          <cell r="G92">
            <v>3.2165989680535967</v>
          </cell>
          <cell r="H92">
            <v>14.39055520102106</v>
          </cell>
          <cell r="I92">
            <v>15.11854951185494</v>
          </cell>
          <cell r="J92">
            <v>5.9004119214926209</v>
          </cell>
          <cell r="K92">
            <v>10.000000000000009</v>
          </cell>
          <cell r="L92">
            <v>9.0000000000000071</v>
          </cell>
          <cell r="M92">
            <v>8.0000000000000071</v>
          </cell>
          <cell r="O92">
            <v>2.0209059233449622</v>
          </cell>
          <cell r="P92">
            <v>4.0000000000000036</v>
          </cell>
          <cell r="Q92">
            <v>8.0000000000000071</v>
          </cell>
          <cell r="R92">
            <v>9.0000000000000071</v>
          </cell>
          <cell r="W92">
            <v>32.576295244854506</v>
          </cell>
          <cell r="X92">
            <v>7.5956596230725371</v>
          </cell>
          <cell r="Y92">
            <v>15.014326647564458</v>
          </cell>
          <cell r="Z92">
            <v>14.951989026063117</v>
          </cell>
          <cell r="AB92">
            <v>2.3238925199709604</v>
          </cell>
          <cell r="AC92">
            <v>21.428571428571441</v>
          </cell>
          <cell r="AD92">
            <v>29.451038575667642</v>
          </cell>
          <cell r="AE92">
            <v>35.838509316770171</v>
          </cell>
          <cell r="AG92">
            <v>-0.86393088552917385</v>
          </cell>
          <cell r="AH92">
            <v>-8.2113303628262297</v>
          </cell>
          <cell r="AI92">
            <v>-7.7975376196990247</v>
          </cell>
          <cell r="AJ92">
            <v>-9.9552572706935187</v>
          </cell>
          <cell r="AL92">
            <v>11.83574879227054</v>
          </cell>
          <cell r="AM92">
            <v>10.633802816901404</v>
          </cell>
          <cell r="AN92">
            <v>10.841546626231979</v>
          </cell>
          <cell r="AO92">
            <v>-3.9742212674543365</v>
          </cell>
          <cell r="AQ92">
            <v>9.7173144876325104</v>
          </cell>
          <cell r="AR92">
            <v>3.4985422740524852</v>
          </cell>
          <cell r="AS92">
            <v>5.0159235668789881</v>
          </cell>
          <cell r="AT92">
            <v>8.0673244341264994</v>
          </cell>
          <cell r="AV92">
            <v>20.553780617678385</v>
          </cell>
          <cell r="AW92">
            <v>35.172413793103431</v>
          </cell>
          <cell r="AX92">
            <v>47.764705882352928</v>
          </cell>
          <cell r="AY92">
            <v>6.753407682775725</v>
          </cell>
          <cell r="BD92">
            <v>4.8067250635772885</v>
          </cell>
          <cell r="BE92">
            <v>19.112132020889106</v>
          </cell>
        </row>
        <row r="93">
          <cell r="A93" t="str">
            <v>Americas</v>
          </cell>
          <cell r="B93">
            <v>3.5184719778838858</v>
          </cell>
          <cell r="C93">
            <v>-6.0694343287205683</v>
          </cell>
          <cell r="D93">
            <v>19.359007495476853</v>
          </cell>
          <cell r="E93">
            <v>5.8466868774361247</v>
          </cell>
          <cell r="F93">
            <v>16.059738134206224</v>
          </cell>
          <cell r="G93">
            <v>0.40542922615900423</v>
          </cell>
          <cell r="H93">
            <v>18.925561797752799</v>
          </cell>
          <cell r="I93">
            <v>34.263359905521121</v>
          </cell>
          <cell r="J93">
            <v>4.174362936642817</v>
          </cell>
          <cell r="K93">
            <v>9.0626557484407844</v>
          </cell>
          <cell r="L93">
            <v>10.446928550338551</v>
          </cell>
          <cell r="M93">
            <v>10.000000000000009</v>
          </cell>
          <cell r="O93">
            <v>5.9716103768967077</v>
          </cell>
          <cell r="P93">
            <v>2.3477641132992666</v>
          </cell>
          <cell r="Q93">
            <v>3.5958858951254946</v>
          </cell>
          <cell r="R93">
            <v>4.8433299635180838</v>
          </cell>
          <cell r="W93">
            <v>22.87581699346406</v>
          </cell>
          <cell r="X93">
            <v>6.1433447098976135</v>
          </cell>
          <cell r="Y93">
            <v>-2.2746419545071617</v>
          </cell>
          <cell r="Z93">
            <v>1.1185682326621871</v>
          </cell>
          <cell r="AB93">
            <v>-6.1349693251533726</v>
          </cell>
          <cell r="AC93">
            <v>21.325051759834366</v>
          </cell>
          <cell r="AD93">
            <v>33.071748878923771</v>
          </cell>
          <cell r="AE93">
            <v>29.816069699903203</v>
          </cell>
          <cell r="AG93">
            <v>3.9319872476089257</v>
          </cell>
          <cell r="AH93">
            <v>0.72992700729925808</v>
          </cell>
          <cell r="AI93">
            <v>-13.145082765335925</v>
          </cell>
          <cell r="AJ93">
            <v>-13.338926174496645</v>
          </cell>
          <cell r="AL93">
            <v>-3.9795918367346972</v>
          </cell>
          <cell r="AM93">
            <v>0.84121976866458059</v>
          </cell>
          <cell r="AN93">
            <v>5.8762886597938158</v>
          </cell>
          <cell r="AO93">
            <v>10.575139146567714</v>
          </cell>
          <cell r="AQ93">
            <v>26.943005181347136</v>
          </cell>
          <cell r="AR93">
            <v>12.945368171021364</v>
          </cell>
          <cell r="AS93">
            <v>2.1052631578947434</v>
          </cell>
          <cell r="AT93">
            <v>-2.0890099909173454</v>
          </cell>
          <cell r="AV93">
            <v>39.099099099099099</v>
          </cell>
          <cell r="AW93">
            <v>19.60227272727273</v>
          </cell>
          <cell r="AX93">
            <v>27.175368139223565</v>
          </cell>
          <cell r="AY93">
            <v>28.471411901983657</v>
          </cell>
          <cell r="BD93">
            <v>7.2484904784022364</v>
          </cell>
          <cell r="BE93">
            <v>23.989848683013861</v>
          </cell>
        </row>
        <row r="94">
          <cell r="A94" t="str">
            <v>Asia-Pacific</v>
          </cell>
          <cell r="B94">
            <v>3.9496084439905044</v>
          </cell>
          <cell r="C94">
            <v>-5.6010481493612874</v>
          </cell>
          <cell r="D94">
            <v>41.915336571825094</v>
          </cell>
          <cell r="E94">
            <v>14.278728606356971</v>
          </cell>
          <cell r="F94">
            <v>19.875909285408632</v>
          </cell>
          <cell r="G94">
            <v>0.48188470462253719</v>
          </cell>
          <cell r="H94">
            <v>5.47069271758438</v>
          </cell>
          <cell r="I94">
            <v>22.785449646345548</v>
          </cell>
          <cell r="J94">
            <v>14.065844555215158</v>
          </cell>
          <cell r="K94">
            <v>10.753003091046098</v>
          </cell>
          <cell r="L94">
            <v>12.000000000000032</v>
          </cell>
          <cell r="M94">
            <v>11.999999999999989</v>
          </cell>
          <cell r="O94">
            <v>5.9838895281933091</v>
          </cell>
          <cell r="P94">
            <v>11.452565347822796</v>
          </cell>
          <cell r="Q94">
            <v>20.101317798848918</v>
          </cell>
          <cell r="R94">
            <v>18.624598214896039</v>
          </cell>
          <cell r="W94">
            <v>39.092055485498101</v>
          </cell>
          <cell r="X94">
            <v>16.265060240963859</v>
          </cell>
          <cell r="Y94">
            <v>0.51903114186850896</v>
          </cell>
          <cell r="Z94">
            <v>9.2576419213973757</v>
          </cell>
          <cell r="AB94">
            <v>5.4521276595744572</v>
          </cell>
          <cell r="AC94">
            <v>41.477272727272705</v>
          </cell>
          <cell r="AD94">
            <v>70.501474926253692</v>
          </cell>
          <cell r="AE94">
            <v>53.074866310160431</v>
          </cell>
          <cell r="AG94">
            <v>0.40053404539386328</v>
          </cell>
          <cell r="AH94">
            <v>-3.8251366120218511</v>
          </cell>
          <cell r="AI94">
            <v>-4.2372881355932197</v>
          </cell>
          <cell r="AJ94">
            <v>-13.425925925925931</v>
          </cell>
          <cell r="AL94">
            <v>3.3103448275862091</v>
          </cell>
          <cell r="AM94">
            <v>2.0920502092050208</v>
          </cell>
          <cell r="AN94">
            <v>-2.209944751381232</v>
          </cell>
          <cell r="AO94">
            <v>12.062256809338546</v>
          </cell>
          <cell r="AQ94">
            <v>10.518292682926834</v>
          </cell>
          <cell r="AR94">
            <v>10.990712074303421</v>
          </cell>
          <cell r="AS94">
            <v>17.341977309562395</v>
          </cell>
          <cell r="AT94">
            <v>8.8983050847457612</v>
          </cell>
          <cell r="AV94">
            <v>31.726907630522085</v>
          </cell>
          <cell r="AW94">
            <v>42.290748898678409</v>
          </cell>
          <cell r="AX94">
            <v>14.048059149722736</v>
          </cell>
          <cell r="AY94">
            <v>6.9486404833836835</v>
          </cell>
          <cell r="BD94">
            <v>4.9218750000000089</v>
          </cell>
          <cell r="BE94">
            <v>10.663208976301108</v>
          </cell>
        </row>
        <row r="95">
          <cell r="A95" t="str">
            <v>Total Revenues</v>
          </cell>
          <cell r="B95">
            <v>4.8828278078219212</v>
          </cell>
          <cell r="C95">
            <v>-6.3817067702884422</v>
          </cell>
          <cell r="D95">
            <v>26.117496807151962</v>
          </cell>
          <cell r="E95">
            <v>12.87974683544304</v>
          </cell>
          <cell r="F95">
            <v>14.297729184188391</v>
          </cell>
          <cell r="G95">
            <v>1.6826097620799896</v>
          </cell>
          <cell r="H95">
            <v>13.214010034735612</v>
          </cell>
          <cell r="I95">
            <v>22.584906464396816</v>
          </cell>
          <cell r="J95">
            <v>7.4242327514457696</v>
          </cell>
          <cell r="K95">
            <v>9.9152619943496667</v>
          </cell>
          <cell r="L95">
            <v>10.253694881400509</v>
          </cell>
          <cell r="M95">
            <v>9.7113668695816724</v>
          </cell>
          <cell r="O95">
            <v>4.2700345812659801</v>
          </cell>
          <cell r="P95">
            <v>5.4610441264507426</v>
          </cell>
          <cell r="Q95">
            <v>9.5053015557929008</v>
          </cell>
          <cell r="R95">
            <v>10.030654610800372</v>
          </cell>
          <cell r="W95">
            <v>31.378205128205128</v>
          </cell>
          <cell r="X95">
            <v>9.3646338351620386</v>
          </cell>
          <cell r="Y95">
            <v>5.895303326810164</v>
          </cell>
          <cell r="Z95">
            <v>9.5869890862401164</v>
          </cell>
          <cell r="AB95">
            <v>0.41841004184099972</v>
          </cell>
          <cell r="AC95">
            <v>25.931876606683812</v>
          </cell>
          <cell r="AD95">
            <v>40.095956134338586</v>
          </cell>
          <cell r="AE95">
            <v>37.805956944854003</v>
          </cell>
          <cell r="AG95">
            <v>0.90938616433906549</v>
          </cell>
          <cell r="AH95">
            <v>-4.598405885959556</v>
          </cell>
          <cell r="AI95">
            <v>-8.7269314982796331</v>
          </cell>
          <cell r="AJ95">
            <v>-11.784599375650362</v>
          </cell>
          <cell r="AL95">
            <v>4.4791313199864291</v>
          </cell>
          <cell r="AM95">
            <v>5.6347150259067558</v>
          </cell>
          <cell r="AN95">
            <v>6.1068702290076216</v>
          </cell>
          <cell r="AO95">
            <v>3.5839396389113709</v>
          </cell>
          <cell r="AQ95">
            <v>15.117187499999996</v>
          </cell>
          <cell r="AR95">
            <v>7.9720279720279841</v>
          </cell>
          <cell r="AS95">
            <v>6.7304286220333243</v>
          </cell>
          <cell r="AT95">
            <v>5.0679501698754237</v>
          </cell>
          <cell r="AV95">
            <v>28.514056224899598</v>
          </cell>
          <cell r="AW95">
            <v>31.615278416935098</v>
          </cell>
          <cell r="AX95">
            <v>32.03928905519173</v>
          </cell>
          <cell r="AY95">
            <v>12.735397382700286</v>
          </cell>
          <cell r="BD95">
            <v>5.5283159098225676</v>
          </cell>
          <cell r="BE95">
            <v>18.460565035302157</v>
          </cell>
        </row>
        <row r="97">
          <cell r="A97" t="str">
            <v>Balance Sheet</v>
          </cell>
        </row>
        <row r="98">
          <cell r="A98" t="str">
            <v>Y/E Dec 31</v>
          </cell>
          <cell r="B98" t="str">
            <v>FY</v>
          </cell>
          <cell r="C98" t="str">
            <v>FY</v>
          </cell>
          <cell r="D98" t="str">
            <v>FY</v>
          </cell>
          <cell r="E98" t="str">
            <v>FY</v>
          </cell>
          <cell r="F98" t="str">
            <v>FY</v>
          </cell>
          <cell r="G98" t="str">
            <v>FY</v>
          </cell>
          <cell r="H98" t="str">
            <v>FY</v>
          </cell>
          <cell r="I98" t="str">
            <v>FY</v>
          </cell>
          <cell r="J98" t="str">
            <v>FY</v>
          </cell>
          <cell r="K98" t="str">
            <v>FY</v>
          </cell>
          <cell r="L98" t="str">
            <v>FY</v>
          </cell>
          <cell r="M98" t="str">
            <v>FY</v>
          </cell>
        </row>
        <row r="99">
          <cell r="A99" t="str">
            <v>Year end 31 December</v>
          </cell>
          <cell r="B99">
            <v>2008</v>
          </cell>
          <cell r="C99">
            <v>2009</v>
          </cell>
          <cell r="D99">
            <v>2010</v>
          </cell>
          <cell r="E99">
            <v>2011</v>
          </cell>
          <cell r="F99">
            <v>2012</v>
          </cell>
          <cell r="G99">
            <v>2013</v>
          </cell>
          <cell r="H99">
            <v>2014</v>
          </cell>
          <cell r="I99">
            <v>2015</v>
          </cell>
          <cell r="J99">
            <v>2016</v>
          </cell>
          <cell r="K99">
            <v>2017</v>
          </cell>
          <cell r="L99">
            <v>2018</v>
          </cell>
          <cell r="M99">
            <v>2019</v>
          </cell>
          <cell r="AK99">
            <v>1999</v>
          </cell>
          <cell r="AL99">
            <v>2000</v>
          </cell>
          <cell r="AM99">
            <v>2001</v>
          </cell>
          <cell r="AN99">
            <v>2002</v>
          </cell>
          <cell r="AO99">
            <v>2003</v>
          </cell>
          <cell r="AP99">
            <v>2004</v>
          </cell>
          <cell r="AQ99">
            <v>2005</v>
          </cell>
        </row>
        <row r="100">
          <cell r="A100" t="str">
            <v>Net Working Capital</v>
          </cell>
          <cell r="B100">
            <v>-55.277000000000157</v>
          </cell>
          <cell r="C100">
            <v>-41.938999999999965</v>
          </cell>
          <cell r="D100">
            <v>-214.35000000000002</v>
          </cell>
          <cell r="E100">
            <v>-275.47800000000007</v>
          </cell>
          <cell r="F100">
            <v>-290.64800000000002</v>
          </cell>
          <cell r="G100">
            <v>-251.76900000000012</v>
          </cell>
          <cell r="H100">
            <v>-325.1339999999999</v>
          </cell>
          <cell r="I100">
            <v>-421.97199999999998</v>
          </cell>
          <cell r="J100">
            <v>-468.75154794373492</v>
          </cell>
          <cell r="K100">
            <v>-532.21289981637233</v>
          </cell>
          <cell r="L100">
            <v>-605.50922128984234</v>
          </cell>
          <cell r="M100">
            <v>-684.8557151896847</v>
          </cell>
          <cell r="AK100">
            <v>10.652999999999992</v>
          </cell>
          <cell r="AL100">
            <v>44.986000000000047</v>
          </cell>
          <cell r="AM100">
            <v>42.450000000000017</v>
          </cell>
          <cell r="AN100">
            <v>84.257999999999981</v>
          </cell>
          <cell r="AO100">
            <v>65.423999999999921</v>
          </cell>
          <cell r="AP100">
            <v>38.33299999999997</v>
          </cell>
          <cell r="AQ100">
            <v>8.5800000000000409</v>
          </cell>
        </row>
        <row r="101">
          <cell r="A101" t="str">
            <v>as % of sales</v>
          </cell>
          <cell r="B101">
            <v>-4.1306979524734828</v>
          </cell>
          <cell r="C101">
            <v>-3.3476213282247729</v>
          </cell>
          <cell r="D101">
            <v>-13.566455696202533</v>
          </cell>
          <cell r="E101">
            <v>-15.445920941968044</v>
          </cell>
          <cell r="F101">
            <v>-14.257934755948003</v>
          </cell>
          <cell r="G101">
            <v>-12.146323813199542</v>
          </cell>
          <cell r="H101">
            <v>-13.854945242255079</v>
          </cell>
          <cell r="I101">
            <v>-14.668613341676226</v>
          </cell>
          <cell r="J101">
            <v>-15.168613341676226</v>
          </cell>
          <cell r="K101">
            <v>-15.668613341676227</v>
          </cell>
          <cell r="L101">
            <v>-16.168613341676227</v>
          </cell>
          <cell r="M101">
            <v>-16.668613341676227</v>
          </cell>
          <cell r="AK101">
            <v>2.1108717097254184</v>
          </cell>
          <cell r="AL101">
            <v>7.1135357368754022</v>
          </cell>
          <cell r="AM101">
            <v>5.6899442800980653</v>
          </cell>
          <cell r="AN101">
            <v>10.884429316057689</v>
          </cell>
          <cell r="AO101">
            <v>8.6674624382139793</v>
          </cell>
          <cell r="AP101">
            <v>4.8123662987475981</v>
          </cell>
          <cell r="AQ101">
            <v>0.90928359474353959</v>
          </cell>
        </row>
        <row r="103">
          <cell r="A103" t="str">
            <v>Gross Tangible Fixed Assets</v>
          </cell>
          <cell r="B103">
            <v>169.57499999999999</v>
          </cell>
          <cell r="C103">
            <v>173.02100000000002</v>
          </cell>
          <cell r="D103">
            <v>188.00899999999999</v>
          </cell>
          <cell r="E103">
            <v>238.44200000000001</v>
          </cell>
          <cell r="F103">
            <v>251.20400000000001</v>
          </cell>
          <cell r="G103">
            <v>249.23699999999999</v>
          </cell>
          <cell r="H103">
            <v>301.13599999999997</v>
          </cell>
          <cell r="I103">
            <v>336.16899999999998</v>
          </cell>
          <cell r="J103">
            <v>382.98340639075252</v>
          </cell>
          <cell r="K103">
            <v>433.03566462271385</v>
          </cell>
          <cell r="L103">
            <v>488.22012869503118</v>
          </cell>
          <cell r="M103">
            <v>548.76375852842375</v>
          </cell>
          <cell r="AK103">
            <v>108.512</v>
          </cell>
          <cell r="AL103">
            <v>129.715</v>
          </cell>
          <cell r="AM103">
            <v>148.15499999999997</v>
          </cell>
          <cell r="AN103">
            <v>136.13400000000001</v>
          </cell>
          <cell r="AO103">
            <v>139.87900000000002</v>
          </cell>
          <cell r="AP103">
            <v>138.13900000000001</v>
          </cell>
          <cell r="AQ103">
            <v>168.053</v>
          </cell>
        </row>
        <row r="104">
          <cell r="A104" t="str">
            <v>Accumulated Depreciation</v>
          </cell>
          <cell r="B104">
            <v>-100.313</v>
          </cell>
          <cell r="C104">
            <v>-113.462</v>
          </cell>
          <cell r="D104">
            <v>-121.614</v>
          </cell>
          <cell r="E104">
            <v>-131.84100000000001</v>
          </cell>
          <cell r="F104">
            <v>-143.36099999999999</v>
          </cell>
          <cell r="G104">
            <v>-148.78899999999999</v>
          </cell>
          <cell r="H104">
            <v>-164.399</v>
          </cell>
          <cell r="I104">
            <v>-200.84299999999999</v>
          </cell>
          <cell r="J104">
            <v>-246.38013226333786</v>
          </cell>
          <cell r="K104">
            <v>-296.43239049529922</v>
          </cell>
          <cell r="L104">
            <v>-351.61685456761654</v>
          </cell>
          <cell r="M104">
            <v>-412.16048440100911</v>
          </cell>
          <cell r="AK104">
            <v>-49.484999999999999</v>
          </cell>
          <cell r="AL104">
            <v>-65.634</v>
          </cell>
          <cell r="AM104">
            <v>-82.778999999999996</v>
          </cell>
          <cell r="AN104">
            <v>-76.260999999999996</v>
          </cell>
          <cell r="AO104">
            <v>-83.34</v>
          </cell>
          <cell r="AP104">
            <v>-80.956000000000003</v>
          </cell>
          <cell r="AQ104">
            <v>-98.669000000000011</v>
          </cell>
        </row>
        <row r="105">
          <cell r="A105" t="str">
            <v>Tangible Fixed Assets</v>
          </cell>
          <cell r="B105">
            <v>69.261999999999986</v>
          </cell>
          <cell r="C105">
            <v>59.559000000000012</v>
          </cell>
          <cell r="D105">
            <v>66.394999999999982</v>
          </cell>
          <cell r="E105">
            <v>106.601</v>
          </cell>
          <cell r="F105">
            <v>107.84300000000002</v>
          </cell>
          <cell r="G105">
            <v>100.44800000000001</v>
          </cell>
          <cell r="H105">
            <v>136.73699999999997</v>
          </cell>
          <cell r="I105">
            <v>135.32599999999999</v>
          </cell>
          <cell r="J105">
            <v>136.60327412741466</v>
          </cell>
          <cell r="K105">
            <v>136.60327412741464</v>
          </cell>
          <cell r="L105">
            <v>136.60327412741464</v>
          </cell>
          <cell r="M105">
            <v>136.60327412741464</v>
          </cell>
          <cell r="AK105">
            <v>59.027000000000001</v>
          </cell>
          <cell r="AL105">
            <v>64.081000000000003</v>
          </cell>
          <cell r="AM105">
            <v>65.375999999999976</v>
          </cell>
          <cell r="AN105">
            <v>59.873000000000019</v>
          </cell>
          <cell r="AO105">
            <v>56.539000000000016</v>
          </cell>
          <cell r="AP105">
            <v>57.183000000000007</v>
          </cell>
          <cell r="AQ105">
            <v>69.383999999999986</v>
          </cell>
        </row>
        <row r="107">
          <cell r="A107" t="str">
            <v>Gross Intangibles</v>
          </cell>
          <cell r="B107">
            <v>1138.0805304112919</v>
          </cell>
          <cell r="C107">
            <v>1045.6595304112921</v>
          </cell>
          <cell r="D107">
            <v>1708.708530411292</v>
          </cell>
          <cell r="E107">
            <v>1800.6855304112919</v>
          </cell>
          <cell r="F107">
            <v>2114.8015304112923</v>
          </cell>
          <cell r="G107">
            <v>2313.402530411292</v>
          </cell>
          <cell r="H107">
            <v>3667.2155304112921</v>
          </cell>
          <cell r="I107">
            <v>3840.9195304112923</v>
          </cell>
          <cell r="J107">
            <v>3840.9195304112923</v>
          </cell>
          <cell r="K107">
            <v>3840.9195304112923</v>
          </cell>
          <cell r="L107">
            <v>3840.9195304112923</v>
          </cell>
          <cell r="M107">
            <v>3840.9195304112923</v>
          </cell>
          <cell r="AK107">
            <v>86.789530411292205</v>
          </cell>
          <cell r="AL107">
            <v>165.0525304112922</v>
          </cell>
          <cell r="AM107">
            <v>213.5305304112922</v>
          </cell>
          <cell r="AN107">
            <v>239.79653041129222</v>
          </cell>
          <cell r="AO107">
            <v>250.73453041129224</v>
          </cell>
          <cell r="AP107">
            <v>279.04953041129221</v>
          </cell>
          <cell r="AQ107">
            <v>750.36053041129219</v>
          </cell>
        </row>
        <row r="108">
          <cell r="A108" t="str">
            <v>Accumulated Amortisation</v>
          </cell>
          <cell r="B108">
            <v>-416.12153041129187</v>
          </cell>
          <cell r="C108">
            <v>-384.87953041129214</v>
          </cell>
          <cell r="D108">
            <v>-475.39253041129206</v>
          </cell>
          <cell r="E108">
            <v>-558.82953041129213</v>
          </cell>
          <cell r="F108">
            <v>-655.26553041129227</v>
          </cell>
          <cell r="G108">
            <v>-781.66253041129221</v>
          </cell>
          <cell r="H108">
            <v>-964.55853041129217</v>
          </cell>
          <cell r="I108">
            <v>-1153.777530411292</v>
          </cell>
          <cell r="J108">
            <v>-1315.0775304112919</v>
          </cell>
          <cell r="K108">
            <v>-1432.6775304112919</v>
          </cell>
          <cell r="L108">
            <v>-1432.6775304112919</v>
          </cell>
          <cell r="M108">
            <v>-1432.6775304112919</v>
          </cell>
          <cell r="AK108">
            <v>-32.11795895157762</v>
          </cell>
          <cell r="AL108">
            <v>-75.12095895157762</v>
          </cell>
          <cell r="AM108">
            <v>-134.29595895157763</v>
          </cell>
          <cell r="AN108">
            <v>-156.02995895157764</v>
          </cell>
          <cell r="AO108">
            <v>-169.60695895157764</v>
          </cell>
          <cell r="AP108">
            <v>-175.29095895157764</v>
          </cell>
          <cell r="AQ108">
            <v>-193.12553041129217</v>
          </cell>
        </row>
        <row r="109">
          <cell r="A109" t="str">
            <v>Net Intangibles</v>
          </cell>
          <cell r="B109">
            <v>721.95900000000006</v>
          </cell>
          <cell r="C109">
            <v>660.78</v>
          </cell>
          <cell r="D109">
            <v>1233.316</v>
          </cell>
          <cell r="E109">
            <v>1241.8559999999998</v>
          </cell>
          <cell r="F109">
            <v>1459.5360000000001</v>
          </cell>
          <cell r="G109">
            <v>1531.7399999999998</v>
          </cell>
          <cell r="H109">
            <v>2702.6570000000002</v>
          </cell>
          <cell r="I109">
            <v>2687.1420000000003</v>
          </cell>
          <cell r="J109">
            <v>2525.8420000000006</v>
          </cell>
          <cell r="K109">
            <v>2408.2420000000002</v>
          </cell>
          <cell r="L109">
            <v>2408.2420000000002</v>
          </cell>
          <cell r="M109">
            <v>2408.2420000000002</v>
          </cell>
          <cell r="AK109">
            <v>54.671571459714585</v>
          </cell>
          <cell r="AL109">
            <v>89.930999999999997</v>
          </cell>
          <cell r="AM109">
            <v>79.233999999999995</v>
          </cell>
          <cell r="AN109">
            <v>83.766000000000005</v>
          </cell>
          <cell r="AO109">
            <v>81.12700000000001</v>
          </cell>
          <cell r="AP109">
            <v>103.75857145971457</v>
          </cell>
          <cell r="AQ109">
            <v>557.23500000000001</v>
          </cell>
        </row>
        <row r="111">
          <cell r="A111" t="str">
            <v>Other Non Current Assets</v>
          </cell>
          <cell r="B111">
            <v>4.3220000000000001</v>
          </cell>
          <cell r="C111">
            <v>0</v>
          </cell>
          <cell r="D111">
            <v>0</v>
          </cell>
          <cell r="E111">
            <v>0</v>
          </cell>
          <cell r="F111">
            <v>0</v>
          </cell>
          <cell r="G111">
            <v>0</v>
          </cell>
          <cell r="H111">
            <v>0</v>
          </cell>
          <cell r="I111">
            <v>0</v>
          </cell>
          <cell r="J111">
            <v>0</v>
          </cell>
          <cell r="K111">
            <v>0</v>
          </cell>
          <cell r="L111">
            <v>0</v>
          </cell>
          <cell r="M111">
            <v>0</v>
          </cell>
          <cell r="AK111">
            <v>14.894</v>
          </cell>
          <cell r="AL111">
            <v>26.141999999999999</v>
          </cell>
          <cell r="AM111">
            <v>19.337</v>
          </cell>
          <cell r="AN111">
            <v>39.167000000000002</v>
          </cell>
          <cell r="AO111">
            <v>39.506999999999998</v>
          </cell>
          <cell r="AP111">
            <v>22.038</v>
          </cell>
          <cell r="AQ111">
            <v>2.2989999999999999</v>
          </cell>
        </row>
        <row r="112">
          <cell r="A112" t="str">
            <v>Long Term Deferred Tax Assets</v>
          </cell>
          <cell r="B112">
            <v>38.302</v>
          </cell>
          <cell r="C112">
            <v>50.997</v>
          </cell>
          <cell r="D112">
            <v>72.766000000000005</v>
          </cell>
          <cell r="E112">
            <v>82.995000000000005</v>
          </cell>
          <cell r="F112">
            <v>65.308000000000007</v>
          </cell>
          <cell r="G112">
            <v>87.471000000000004</v>
          </cell>
          <cell r="H112">
            <v>79.575000000000003</v>
          </cell>
          <cell r="I112">
            <v>115.28400000000001</v>
          </cell>
          <cell r="J112">
            <v>115.28400000000001</v>
          </cell>
          <cell r="K112">
            <v>115.28400000000001</v>
          </cell>
          <cell r="L112">
            <v>115.28400000000001</v>
          </cell>
          <cell r="M112">
            <v>115.28400000000001</v>
          </cell>
          <cell r="AK112">
            <v>7.92</v>
          </cell>
          <cell r="AL112">
            <v>12.298</v>
          </cell>
          <cell r="AM112">
            <v>14.939</v>
          </cell>
          <cell r="AN112">
            <v>15.404999999999999</v>
          </cell>
          <cell r="AO112">
            <v>19.292000000000002</v>
          </cell>
          <cell r="AP112">
            <v>25.419</v>
          </cell>
          <cell r="AQ112">
            <v>31.001000000000001</v>
          </cell>
        </row>
        <row r="113">
          <cell r="A113" t="str">
            <v>Short Term Investments</v>
          </cell>
          <cell r="B113">
            <v>46.298000000000002</v>
          </cell>
          <cell r="C113">
            <v>118.902</v>
          </cell>
          <cell r="D113">
            <v>162.64599999999999</v>
          </cell>
          <cell r="E113">
            <v>268.69299999999998</v>
          </cell>
          <cell r="F113">
            <v>159.76499999999999</v>
          </cell>
          <cell r="G113">
            <v>65.784999999999997</v>
          </cell>
          <cell r="H113">
            <v>71.286000000000001</v>
          </cell>
          <cell r="I113">
            <v>70.751999999999995</v>
          </cell>
          <cell r="J113">
            <v>70.751999999999995</v>
          </cell>
          <cell r="K113">
            <v>70.751999999999995</v>
          </cell>
          <cell r="L113">
            <v>70.751999999999995</v>
          </cell>
          <cell r="M113">
            <v>70.751999999999995</v>
          </cell>
          <cell r="AK113">
            <v>9.4670000000000005</v>
          </cell>
          <cell r="AL113">
            <v>8.2680000000000007</v>
          </cell>
          <cell r="AM113">
            <v>6.1</v>
          </cell>
          <cell r="AN113">
            <v>16.436</v>
          </cell>
          <cell r="AO113">
            <v>20.102</v>
          </cell>
          <cell r="AP113">
            <v>11.73</v>
          </cell>
          <cell r="AQ113">
            <v>66.766999999999996</v>
          </cell>
        </row>
        <row r="114">
          <cell r="A114" t="str">
            <v>Net Capital Employed</v>
          </cell>
          <cell r="B114">
            <v>824.86599999999987</v>
          </cell>
          <cell r="C114">
            <v>874.92899999999997</v>
          </cell>
          <cell r="D114">
            <v>1346.934</v>
          </cell>
          <cell r="E114">
            <v>1453.2859999999996</v>
          </cell>
          <cell r="F114">
            <v>1541.643</v>
          </cell>
          <cell r="G114">
            <v>1581.8779999999997</v>
          </cell>
          <cell r="H114">
            <v>2734.6469999999999</v>
          </cell>
          <cell r="I114">
            <v>2719.03</v>
          </cell>
          <cell r="J114">
            <v>2512.2277261836803</v>
          </cell>
          <cell r="K114">
            <v>2331.1663743110425</v>
          </cell>
          <cell r="L114">
            <v>2257.8700528375725</v>
          </cell>
          <cell r="M114">
            <v>2178.5235589377303</v>
          </cell>
          <cell r="AK114">
            <v>156.63257145971457</v>
          </cell>
          <cell r="AL114">
            <v>245.70600000000005</v>
          </cell>
          <cell r="AM114">
            <v>227.43599999999998</v>
          </cell>
          <cell r="AN114">
            <v>299.20899999999989</v>
          </cell>
          <cell r="AO114">
            <v>282.46599999999995</v>
          </cell>
          <cell r="AP114">
            <v>259.23257145971456</v>
          </cell>
          <cell r="AQ114">
            <v>735.26600000000008</v>
          </cell>
        </row>
        <row r="115">
          <cell r="A115" t="str">
            <v>Net Cash/(Debt)</v>
          </cell>
          <cell r="B115">
            <v>594.14499999999998</v>
          </cell>
          <cell r="C115">
            <v>739.05700000000002</v>
          </cell>
          <cell r="D115">
            <v>656.37199999999984</v>
          </cell>
          <cell r="E115">
            <v>852.97800000000007</v>
          </cell>
          <cell r="F115">
            <v>1095.4849999999999</v>
          </cell>
          <cell r="G115">
            <v>1357.8019999999999</v>
          </cell>
          <cell r="H115">
            <v>744.22199999999998</v>
          </cell>
          <cell r="I115">
            <v>1280.5340000000001</v>
          </cell>
          <cell r="J115">
            <v>1846.1464508032032</v>
          </cell>
          <cell r="K115">
            <v>2458.3561734690097</v>
          </cell>
          <cell r="L115">
            <v>3125.8845809431295</v>
          </cell>
          <cell r="M115">
            <v>3813.9941503469081</v>
          </cell>
          <cell r="AK115">
            <v>249.983</v>
          </cell>
          <cell r="AL115">
            <v>265.93799999999999</v>
          </cell>
          <cell r="AM115">
            <v>363.13600000000002</v>
          </cell>
          <cell r="AN115">
            <v>371.99200000000002</v>
          </cell>
          <cell r="AO115">
            <v>419.572</v>
          </cell>
          <cell r="AP115">
            <v>541.14</v>
          </cell>
          <cell r="AQ115">
            <v>313.15199999999999</v>
          </cell>
        </row>
        <row r="116">
          <cell r="A116" t="str">
            <v>Capital Lease / Other</v>
          </cell>
          <cell r="B116">
            <v>-4.0689999999999991</v>
          </cell>
          <cell r="C116">
            <v>-2.0350000000000001</v>
          </cell>
          <cell r="D116">
            <v>-12.436</v>
          </cell>
          <cell r="E116">
            <v>-4.92</v>
          </cell>
          <cell r="F116">
            <v>-8.1780000000000008</v>
          </cell>
          <cell r="G116">
            <v>-17.835999999999999</v>
          </cell>
          <cell r="H116">
            <v>-33.506</v>
          </cell>
          <cell r="I116">
            <v>-29.841000000000001</v>
          </cell>
          <cell r="J116">
            <v>-29.841000000000001</v>
          </cell>
          <cell r="K116">
            <v>-29.841000000000001</v>
          </cell>
          <cell r="L116">
            <v>-29.841000000000001</v>
          </cell>
          <cell r="M116">
            <v>-29.841000000000001</v>
          </cell>
          <cell r="AK116">
            <v>-11.409000000000001</v>
          </cell>
          <cell r="AL116">
            <v>-9.766</v>
          </cell>
          <cell r="AM116">
            <v>-7.7190000000000003</v>
          </cell>
          <cell r="AN116">
            <v>-5.9160000000000004</v>
          </cell>
          <cell r="AO116">
            <v>-4.2050000000000001</v>
          </cell>
          <cell r="AP116">
            <v>-2.0550000000000002</v>
          </cell>
          <cell r="AQ116">
            <v>-4.0689999999999991</v>
          </cell>
        </row>
        <row r="117">
          <cell r="A117" t="str">
            <v>Employee Profit Sharing / Other non current provisions</v>
          </cell>
          <cell r="B117">
            <v>-59.753</v>
          </cell>
          <cell r="C117">
            <v>-89.972999999999999</v>
          </cell>
          <cell r="D117">
            <v>-107.46299999999999</v>
          </cell>
          <cell r="E117">
            <v>-120.43299999999999</v>
          </cell>
          <cell r="F117">
            <v>-114.94600000000001</v>
          </cell>
          <cell r="G117">
            <v>-117.937</v>
          </cell>
          <cell r="H117">
            <v>-152.316</v>
          </cell>
          <cell r="I117">
            <v>-151.333</v>
          </cell>
          <cell r="J117">
            <v>-151.333</v>
          </cell>
          <cell r="K117">
            <v>-151.333</v>
          </cell>
          <cell r="L117">
            <v>-151.333</v>
          </cell>
          <cell r="M117">
            <v>-151.333</v>
          </cell>
          <cell r="AK117">
            <v>-21.565000000000001</v>
          </cell>
          <cell r="AL117">
            <v>-21.327000000000002</v>
          </cell>
          <cell r="AM117">
            <v>-22.324000000000002</v>
          </cell>
          <cell r="AN117">
            <v>-22.655000000000001</v>
          </cell>
          <cell r="AO117">
            <v>-19.260999999999999</v>
          </cell>
          <cell r="AP117">
            <v>-18.986000000000001</v>
          </cell>
          <cell r="AQ117">
            <v>-18.614999999999998</v>
          </cell>
        </row>
        <row r="118">
          <cell r="A118" t="str">
            <v>Pension &amp; Post Retirement Benefits</v>
          </cell>
          <cell r="B118">
            <v>-24.614000000000001</v>
          </cell>
          <cell r="C118">
            <v>-26.111999999999998</v>
          </cell>
          <cell r="D118">
            <v>-34.378</v>
          </cell>
          <cell r="E118">
            <v>-37.902000000000001</v>
          </cell>
          <cell r="F118">
            <v>-56.112000000000002</v>
          </cell>
          <cell r="G118">
            <v>-77.042000000000002</v>
          </cell>
          <cell r="H118">
            <v>-114.91500000000001</v>
          </cell>
          <cell r="I118">
            <v>-116.83799999999999</v>
          </cell>
          <cell r="J118">
            <v>-116.83799999999999</v>
          </cell>
          <cell r="K118">
            <v>-116.83799999999999</v>
          </cell>
          <cell r="L118">
            <v>-116.83799999999999</v>
          </cell>
          <cell r="M118">
            <v>-116.83799999999999</v>
          </cell>
          <cell r="AK118">
            <v>-6.1070000000000002</v>
          </cell>
          <cell r="AL118">
            <v>-7.3979999999999997</v>
          </cell>
          <cell r="AM118">
            <v>-6.3040000000000003</v>
          </cell>
          <cell r="AN118">
            <v>-8.3879999999999999</v>
          </cell>
          <cell r="AO118">
            <v>-10.688000000000001</v>
          </cell>
          <cell r="AP118">
            <v>-13.723000000000001</v>
          </cell>
          <cell r="AQ118">
            <v>-15.192</v>
          </cell>
        </row>
        <row r="119">
          <cell r="A119" t="str">
            <v>Deferred Taxes</v>
          </cell>
          <cell r="B119">
            <v>-26.082000000000001</v>
          </cell>
          <cell r="C119">
            <v>-47.103000000000002</v>
          </cell>
          <cell r="D119">
            <v>-57.222000000000001</v>
          </cell>
          <cell r="E119">
            <v>-59.35</v>
          </cell>
          <cell r="F119">
            <v>-76.944000000000003</v>
          </cell>
          <cell r="G119">
            <v>-102.714</v>
          </cell>
          <cell r="H119">
            <v>-218.62799999999999</v>
          </cell>
          <cell r="I119">
            <v>-213.85400000000001</v>
          </cell>
          <cell r="J119">
            <v>-213.85400000000001</v>
          </cell>
          <cell r="K119">
            <v>-213.85400000000001</v>
          </cell>
          <cell r="L119">
            <v>-213.85400000000001</v>
          </cell>
          <cell r="M119">
            <v>-213.85400000000001</v>
          </cell>
          <cell r="AK119">
            <v>-6.1159999999999997</v>
          </cell>
          <cell r="AL119">
            <v>-7.4880000000000004</v>
          </cell>
          <cell r="AM119">
            <v>-3.194</v>
          </cell>
          <cell r="AN119">
            <v>-5.9809999999999999</v>
          </cell>
          <cell r="AO119">
            <v>-10.206</v>
          </cell>
          <cell r="AP119">
            <v>-6.359</v>
          </cell>
          <cell r="AQ119">
            <v>-19.64</v>
          </cell>
        </row>
        <row r="120">
          <cell r="A120" t="str">
            <v>Total Shareholders Equity</v>
          </cell>
          <cell r="B120">
            <v>1302.855</v>
          </cell>
          <cell r="C120">
            <v>1447.65</v>
          </cell>
          <cell r="D120">
            <v>1790.7909999999999</v>
          </cell>
          <cell r="E120">
            <v>2066.1999999999998</v>
          </cell>
          <cell r="F120">
            <v>2364.7190000000001</v>
          </cell>
          <cell r="G120">
            <v>2610.5270000000005</v>
          </cell>
          <cell r="H120">
            <v>2943.4599999999996</v>
          </cell>
          <cell r="I120">
            <v>3468.5309999999999</v>
          </cell>
          <cell r="J120">
            <v>3827.3411769868826</v>
          </cell>
          <cell r="K120">
            <v>4258.4895477800519</v>
          </cell>
          <cell r="L120">
            <v>4852.7216337807022</v>
          </cell>
          <cell r="M120">
            <v>5461.4847092846385</v>
          </cell>
          <cell r="AK120">
            <v>361.41900000000004</v>
          </cell>
          <cell r="AL120">
            <v>465.66500000000002</v>
          </cell>
          <cell r="AM120">
            <v>550.87800000000016</v>
          </cell>
          <cell r="AN120">
            <v>628.26099999999997</v>
          </cell>
          <cell r="AO120">
            <v>657.678</v>
          </cell>
          <cell r="AP120">
            <v>759.24900000000002</v>
          </cell>
          <cell r="AQ120">
            <v>986.10537799999997</v>
          </cell>
        </row>
        <row r="121">
          <cell r="A121" t="str">
            <v>Minority interest</v>
          </cell>
          <cell r="B121">
            <v>-1.6379999999999999</v>
          </cell>
          <cell r="C121">
            <v>-1.113</v>
          </cell>
          <cell r="D121">
            <v>-1.016</v>
          </cell>
          <cell r="E121">
            <v>-17.466000000000001</v>
          </cell>
          <cell r="F121">
            <v>-16.228999999999999</v>
          </cell>
          <cell r="G121">
            <v>-13.624000000000001</v>
          </cell>
          <cell r="H121">
            <v>-16.044</v>
          </cell>
          <cell r="I121">
            <v>-19.167000000000002</v>
          </cell>
          <cell r="J121">
            <v>-19.167000000000002</v>
          </cell>
          <cell r="K121">
            <v>-19.167000000000002</v>
          </cell>
          <cell r="L121">
            <v>-19.167000000000002</v>
          </cell>
          <cell r="M121">
            <v>-19.167000000000002</v>
          </cell>
        </row>
        <row r="123">
          <cell r="A123" t="str">
            <v>check</v>
          </cell>
          <cell r="B123">
            <v>0</v>
          </cell>
          <cell r="C123">
            <v>0</v>
          </cell>
          <cell r="D123">
            <v>0</v>
          </cell>
          <cell r="E123">
            <v>-7.0000000000618456E-3</v>
          </cell>
          <cell r="F123">
            <v>0</v>
          </cell>
          <cell r="G123">
            <v>0</v>
          </cell>
          <cell r="H123">
            <v>0</v>
          </cell>
          <cell r="I123">
            <v>0</v>
          </cell>
          <cell r="J123">
            <v>0</v>
          </cell>
          <cell r="K123">
            <v>0</v>
          </cell>
          <cell r="L123">
            <v>0</v>
          </cell>
          <cell r="M123">
            <v>0</v>
          </cell>
        </row>
        <row r="124">
          <cell r="A124" t="str">
            <v>Cash Flow</v>
          </cell>
        </row>
        <row r="125">
          <cell r="A125" t="str">
            <v>Y/E Dec 31</v>
          </cell>
          <cell r="B125" t="str">
            <v>FY</v>
          </cell>
          <cell r="C125" t="str">
            <v>FY</v>
          </cell>
          <cell r="D125" t="str">
            <v>FY</v>
          </cell>
          <cell r="E125" t="str">
            <v>FY</v>
          </cell>
          <cell r="F125" t="str">
            <v>FY</v>
          </cell>
          <cell r="G125" t="str">
            <v>FY</v>
          </cell>
          <cell r="H125" t="str">
            <v>FY</v>
          </cell>
          <cell r="I125" t="str">
            <v>FY</v>
          </cell>
          <cell r="J125" t="str">
            <v>FY</v>
          </cell>
          <cell r="K125" t="str">
            <v>FY</v>
          </cell>
          <cell r="L125" t="str">
            <v>FY</v>
          </cell>
          <cell r="M125" t="str">
            <v>FY</v>
          </cell>
        </row>
        <row r="126">
          <cell r="A126" t="str">
            <v>Year end 31 December</v>
          </cell>
          <cell r="B126">
            <v>2006</v>
          </cell>
          <cell r="C126">
            <v>2007</v>
          </cell>
          <cell r="D126">
            <v>2010</v>
          </cell>
          <cell r="E126">
            <v>2011</v>
          </cell>
          <cell r="F126">
            <v>2012</v>
          </cell>
          <cell r="G126">
            <v>2013</v>
          </cell>
          <cell r="H126">
            <v>2014</v>
          </cell>
          <cell r="I126">
            <v>2015</v>
          </cell>
          <cell r="J126">
            <v>2016</v>
          </cell>
          <cell r="K126">
            <v>2017</v>
          </cell>
          <cell r="L126">
            <v>2018</v>
          </cell>
          <cell r="M126">
            <v>2019</v>
          </cell>
          <cell r="AK126">
            <v>1999</v>
          </cell>
          <cell r="AL126">
            <v>2000</v>
          </cell>
          <cell r="AM126">
            <v>2001</v>
          </cell>
          <cell r="AN126">
            <v>2002</v>
          </cell>
          <cell r="AO126">
            <v>2003</v>
          </cell>
          <cell r="AP126">
            <v>2004</v>
          </cell>
          <cell r="AQ126">
            <v>2005</v>
          </cell>
        </row>
        <row r="127">
          <cell r="A127" t="str">
            <v>Net Income</v>
          </cell>
          <cell r="B127">
            <v>179.7999999999999</v>
          </cell>
          <cell r="C127">
            <v>178.48300000000037</v>
          </cell>
          <cell r="D127">
            <v>220.49999999999994</v>
          </cell>
          <cell r="E127">
            <v>290.5</v>
          </cell>
          <cell r="F127">
            <v>338.8</v>
          </cell>
          <cell r="G127">
            <v>355.30000000000018</v>
          </cell>
          <cell r="H127">
            <v>292.60000000000008</v>
          </cell>
          <cell r="I127">
            <v>406.20000000000061</v>
          </cell>
          <cell r="J127">
            <v>473.77891298688263</v>
          </cell>
          <cell r="K127">
            <v>568.77594811816903</v>
          </cell>
          <cell r="L127">
            <v>732.87684982564997</v>
          </cell>
          <cell r="M127">
            <v>829.6976046313622</v>
          </cell>
          <cell r="AK127">
            <v>99.996452206470835</v>
          </cell>
          <cell r="AL127">
            <v>103.70000000000007</v>
          </cell>
          <cell r="AM127">
            <v>88.740999999999929</v>
          </cell>
          <cell r="AN127">
            <v>126.41499999999996</v>
          </cell>
          <cell r="AO127">
            <v>135.4190000000001</v>
          </cell>
          <cell r="AP127">
            <v>156.37699999999998</v>
          </cell>
          <cell r="AQ127">
            <v>175.48400000000009</v>
          </cell>
        </row>
        <row r="128">
          <cell r="A128" t="str">
            <v>Depreciation</v>
          </cell>
          <cell r="B128">
            <v>24.951000000000001</v>
          </cell>
          <cell r="C128">
            <v>24.687999999999999</v>
          </cell>
          <cell r="D128">
            <v>24.16</v>
          </cell>
          <cell r="E128">
            <v>25.055</v>
          </cell>
          <cell r="F128">
            <v>32.722000000000001</v>
          </cell>
          <cell r="G128">
            <v>33.380000000000003</v>
          </cell>
          <cell r="H128">
            <v>37.01</v>
          </cell>
          <cell r="I128">
            <v>42.39</v>
          </cell>
          <cell r="J128">
            <v>45.53713226333786</v>
          </cell>
          <cell r="K128">
            <v>50.052258231961346</v>
          </cell>
          <cell r="L128">
            <v>55.184464072317333</v>
          </cell>
          <cell r="M128">
            <v>60.543629833392558</v>
          </cell>
          <cell r="AK128">
            <v>13.66</v>
          </cell>
          <cell r="AL128">
            <v>15.53</v>
          </cell>
          <cell r="AM128">
            <v>18.173999999999999</v>
          </cell>
          <cell r="AN128">
            <v>19.050999999999998</v>
          </cell>
          <cell r="AO128">
            <v>15.302</v>
          </cell>
          <cell r="AP128">
            <v>14.884</v>
          </cell>
          <cell r="AQ128">
            <v>17.713000000000001</v>
          </cell>
        </row>
        <row r="129">
          <cell r="A129" t="str">
            <v>Amortisation</v>
          </cell>
          <cell r="B129">
            <v>41.536000000000001</v>
          </cell>
          <cell r="C129">
            <v>50.530999999999999</v>
          </cell>
          <cell r="D129">
            <v>75.849999999999994</v>
          </cell>
          <cell r="E129">
            <v>87.256</v>
          </cell>
          <cell r="F129">
            <v>99.397000000000006</v>
          </cell>
          <cell r="G129">
            <v>107.944</v>
          </cell>
          <cell r="H129">
            <v>139.33199999999999</v>
          </cell>
          <cell r="I129">
            <v>169.00299999999999</v>
          </cell>
          <cell r="J129">
            <v>161.30000000000001</v>
          </cell>
          <cell r="K129">
            <v>117.60000000000001</v>
          </cell>
          <cell r="L129">
            <v>0</v>
          </cell>
          <cell r="M129">
            <v>0</v>
          </cell>
          <cell r="AK129">
            <v>27.437000000000001</v>
          </cell>
          <cell r="AL129">
            <v>42.296999999999997</v>
          </cell>
          <cell r="AM129">
            <v>60.808999999999997</v>
          </cell>
          <cell r="AN129">
            <v>13.999000000000001</v>
          </cell>
          <cell r="AO129">
            <v>7.7510000000000003</v>
          </cell>
          <cell r="AP129">
            <v>3.1429999999999998</v>
          </cell>
          <cell r="AQ129">
            <v>28.027000000000001</v>
          </cell>
        </row>
        <row r="130">
          <cell r="A130" t="str">
            <v>Total Depreciation &amp; Amortisation</v>
          </cell>
          <cell r="B130">
            <v>66.486999999999995</v>
          </cell>
          <cell r="C130">
            <v>75.218999999999994</v>
          </cell>
          <cell r="D130">
            <v>100.00999999999999</v>
          </cell>
          <cell r="E130">
            <v>112.31100000000001</v>
          </cell>
          <cell r="F130">
            <v>132.119</v>
          </cell>
          <cell r="G130">
            <v>141.32400000000001</v>
          </cell>
          <cell r="H130">
            <v>176.34199999999998</v>
          </cell>
          <cell r="I130">
            <v>211.39299999999997</v>
          </cell>
          <cell r="J130">
            <v>206.83713226333788</v>
          </cell>
          <cell r="K130">
            <v>167.65225823196135</v>
          </cell>
          <cell r="L130">
            <v>55.184464072317333</v>
          </cell>
          <cell r="M130">
            <v>60.543629833392558</v>
          </cell>
          <cell r="AK130">
            <v>41.097000000000001</v>
          </cell>
          <cell r="AL130">
            <v>57.826999999999998</v>
          </cell>
          <cell r="AM130">
            <v>78.983000000000004</v>
          </cell>
          <cell r="AN130">
            <v>33.049999999999997</v>
          </cell>
          <cell r="AO130">
            <v>23.053000000000001</v>
          </cell>
          <cell r="AP130">
            <v>18.027000000000001</v>
          </cell>
          <cell r="AQ130">
            <v>45.74</v>
          </cell>
        </row>
        <row r="131">
          <cell r="A131" t="str">
            <v>Loss on Disposal</v>
          </cell>
          <cell r="B131">
            <v>0</v>
          </cell>
          <cell r="C131">
            <v>0</v>
          </cell>
          <cell r="D131">
            <v>0</v>
          </cell>
          <cell r="E131">
            <v>0</v>
          </cell>
          <cell r="F131">
            <v>0</v>
          </cell>
          <cell r="G131">
            <v>0</v>
          </cell>
          <cell r="H131">
            <v>0</v>
          </cell>
          <cell r="I131">
            <v>0</v>
          </cell>
          <cell r="J131">
            <v>0</v>
          </cell>
          <cell r="K131">
            <v>0</v>
          </cell>
          <cell r="L131">
            <v>0</v>
          </cell>
          <cell r="M131">
            <v>0</v>
          </cell>
          <cell r="AK131">
            <v>0.38400000000000001</v>
          </cell>
          <cell r="AL131">
            <v>0.27600000000000002</v>
          </cell>
          <cell r="AM131">
            <v>0.16500000000000001</v>
          </cell>
          <cell r="AN131">
            <v>0.19700000000000001</v>
          </cell>
          <cell r="AO131">
            <v>0</v>
          </cell>
          <cell r="AP131">
            <v>0</v>
          </cell>
          <cell r="AQ131">
            <v>-14.705</v>
          </cell>
        </row>
        <row r="132">
          <cell r="A132" t="str">
            <v>Deferred Income Taxes</v>
          </cell>
          <cell r="B132">
            <v>-30.370999999999999</v>
          </cell>
          <cell r="C132">
            <v>15.923</v>
          </cell>
          <cell r="D132">
            <v>-3.1280000000000001</v>
          </cell>
          <cell r="E132">
            <v>0</v>
          </cell>
          <cell r="F132">
            <v>0</v>
          </cell>
          <cell r="G132">
            <v>0</v>
          </cell>
          <cell r="H132">
            <v>0</v>
          </cell>
          <cell r="I132">
            <v>0</v>
          </cell>
          <cell r="J132">
            <v>0</v>
          </cell>
          <cell r="K132">
            <v>0</v>
          </cell>
          <cell r="L132">
            <v>0</v>
          </cell>
          <cell r="M132">
            <v>0</v>
          </cell>
          <cell r="AK132">
            <v>-4.4630000000000001</v>
          </cell>
          <cell r="AL132">
            <v>-3.71</v>
          </cell>
          <cell r="AM132">
            <v>-9.8780000000000001</v>
          </cell>
          <cell r="AN132">
            <v>-8.0039999999999996</v>
          </cell>
          <cell r="AO132">
            <v>-10.92</v>
          </cell>
          <cell r="AP132">
            <v>3.9529999999999998</v>
          </cell>
          <cell r="AQ132">
            <v>-3.794</v>
          </cell>
        </row>
        <row r="133">
          <cell r="A133" t="str">
            <v>Tax Benefits</v>
          </cell>
          <cell r="B133">
            <v>25.805</v>
          </cell>
          <cell r="C133">
            <v>18.992000000000001</v>
          </cell>
          <cell r="D133">
            <v>0.72199999999999998</v>
          </cell>
          <cell r="E133">
            <v>0</v>
          </cell>
          <cell r="F133">
            <v>0</v>
          </cell>
          <cell r="G133">
            <v>0</v>
          </cell>
          <cell r="H133">
            <v>0</v>
          </cell>
          <cell r="I133">
            <v>0</v>
          </cell>
          <cell r="J133">
            <v>0</v>
          </cell>
          <cell r="K133">
            <v>0</v>
          </cell>
          <cell r="L133">
            <v>0</v>
          </cell>
          <cell r="M133">
            <v>0</v>
          </cell>
          <cell r="AK133">
            <v>3.585</v>
          </cell>
          <cell r="AL133">
            <v>4.4610000000000003</v>
          </cell>
          <cell r="AM133">
            <v>0</v>
          </cell>
          <cell r="AN133">
            <v>5.2539999999999996</v>
          </cell>
          <cell r="AO133">
            <v>0.81399999999999995</v>
          </cell>
          <cell r="AP133">
            <v>2.4209999999999998</v>
          </cell>
          <cell r="AQ133">
            <v>3.169</v>
          </cell>
        </row>
        <row r="134">
          <cell r="A134" t="str">
            <v>Profit Sharing</v>
          </cell>
          <cell r="B134">
            <v>0</v>
          </cell>
          <cell r="C134">
            <v>0</v>
          </cell>
          <cell r="D134">
            <v>19.091999999999999</v>
          </cell>
          <cell r="E134">
            <v>17.29</v>
          </cell>
          <cell r="F134">
            <v>25.048999999999999</v>
          </cell>
          <cell r="G134">
            <v>34.017000000000003</v>
          </cell>
          <cell r="H134">
            <v>29.95</v>
          </cell>
          <cell r="I134">
            <v>40.194000000000003</v>
          </cell>
          <cell r="J134">
            <v>0</v>
          </cell>
          <cell r="K134">
            <v>0</v>
          </cell>
          <cell r="L134">
            <v>0</v>
          </cell>
          <cell r="M134">
            <v>0</v>
          </cell>
          <cell r="AK134">
            <v>4.9829999999999997</v>
          </cell>
          <cell r="AL134">
            <v>1.0609999999999999</v>
          </cell>
          <cell r="AM134">
            <v>-0.751</v>
          </cell>
          <cell r="AN134">
            <v>0.70899999999999996</v>
          </cell>
          <cell r="AO134">
            <v>0</v>
          </cell>
          <cell r="AP134">
            <v>0</v>
          </cell>
          <cell r="AQ134">
            <v>0</v>
          </cell>
        </row>
        <row r="135">
          <cell r="A135" t="str">
            <v>Other</v>
          </cell>
          <cell r="B135">
            <v>21.471</v>
          </cell>
          <cell r="C135">
            <v>5.8780000000000001</v>
          </cell>
          <cell r="D135">
            <v>15.608000000000001</v>
          </cell>
          <cell r="E135">
            <v>32.253999999999998</v>
          </cell>
          <cell r="F135">
            <v>9.0559999999999992</v>
          </cell>
          <cell r="G135">
            <v>-6.8630000000000004</v>
          </cell>
          <cell r="H135">
            <v>-18.544</v>
          </cell>
          <cell r="I135">
            <v>-48.057000000000002</v>
          </cell>
          <cell r="J135">
            <v>0</v>
          </cell>
          <cell r="K135">
            <v>0</v>
          </cell>
          <cell r="L135">
            <v>0</v>
          </cell>
          <cell r="M135">
            <v>0</v>
          </cell>
          <cell r="AK135">
            <v>0</v>
          </cell>
          <cell r="AL135">
            <v>0</v>
          </cell>
          <cell r="AM135">
            <v>1.3380000000000001</v>
          </cell>
          <cell r="AN135">
            <v>6.5229999999999997</v>
          </cell>
          <cell r="AO135">
            <v>0.53300000000000003</v>
          </cell>
          <cell r="AP135">
            <v>0.81</v>
          </cell>
          <cell r="AQ135">
            <v>0.1769999999999996</v>
          </cell>
        </row>
        <row r="136">
          <cell r="A136" t="str">
            <v>Total adjustments</v>
          </cell>
          <cell r="B136">
            <v>263.19199999999989</v>
          </cell>
          <cell r="C136">
            <v>294.49500000000035</v>
          </cell>
          <cell r="D136">
            <v>352.80399999999992</v>
          </cell>
          <cell r="E136">
            <v>452.35500000000008</v>
          </cell>
          <cell r="F136">
            <v>505.02399999999994</v>
          </cell>
          <cell r="G136">
            <v>523.77800000000013</v>
          </cell>
          <cell r="H136">
            <v>480.34800000000007</v>
          </cell>
          <cell r="I136">
            <v>609.73000000000047</v>
          </cell>
          <cell r="J136">
            <v>680.61604525022051</v>
          </cell>
          <cell r="K136">
            <v>736.42820635013038</v>
          </cell>
          <cell r="L136">
            <v>788.06131389796735</v>
          </cell>
          <cell r="M136">
            <v>890.24123446475471</v>
          </cell>
          <cell r="AK136">
            <v>145.58245220647083</v>
          </cell>
          <cell r="AL136">
            <v>163.61500000000009</v>
          </cell>
          <cell r="AM136">
            <v>158.5979999999999</v>
          </cell>
          <cell r="AN136">
            <v>164.14399999999998</v>
          </cell>
          <cell r="AO136">
            <v>148.89900000000009</v>
          </cell>
          <cell r="AP136">
            <v>181.58799999999999</v>
          </cell>
          <cell r="AQ136">
            <v>206.07100000000008</v>
          </cell>
        </row>
        <row r="137">
          <cell r="A137" t="str">
            <v>Change in Net Working Capital</v>
          </cell>
          <cell r="B137">
            <v>10.791000000000002</v>
          </cell>
          <cell r="C137">
            <v>16.855999999999998</v>
          </cell>
          <cell r="D137">
            <v>55.356999999999999</v>
          </cell>
          <cell r="E137">
            <v>-1.4929999999999994</v>
          </cell>
          <cell r="F137">
            <v>61.244999999999997</v>
          </cell>
          <cell r="G137">
            <v>-16.800999999999995</v>
          </cell>
          <cell r="H137">
            <v>19.25500000000001</v>
          </cell>
          <cell r="I137">
            <v>23.779999999999987</v>
          </cell>
          <cell r="J137">
            <v>46.77954794373494</v>
          </cell>
          <cell r="K137">
            <v>63.461351872637408</v>
          </cell>
          <cell r="L137">
            <v>73.296321473470016</v>
          </cell>
          <cell r="M137">
            <v>79.346493899842358</v>
          </cell>
          <cell r="AK137">
            <v>-25.865999999999996</v>
          </cell>
          <cell r="AL137">
            <v>-40.412999999999997</v>
          </cell>
          <cell r="AM137">
            <v>0.58899999999999952</v>
          </cell>
          <cell r="AN137">
            <v>-21.38</v>
          </cell>
          <cell r="AO137">
            <v>28.475999999999999</v>
          </cell>
          <cell r="AP137">
            <v>27.253000000000004</v>
          </cell>
          <cell r="AQ137">
            <v>-11.648</v>
          </cell>
        </row>
        <row r="138">
          <cell r="A138" t="str">
            <v>Net Cash From Operating Activities</v>
          </cell>
          <cell r="B138">
            <v>273.98299999999989</v>
          </cell>
          <cell r="C138">
            <v>311.35100000000034</v>
          </cell>
          <cell r="D138">
            <v>408.16099999999994</v>
          </cell>
          <cell r="E138">
            <v>450.86200000000008</v>
          </cell>
          <cell r="F138">
            <v>566.26899999999989</v>
          </cell>
          <cell r="G138">
            <v>506.97700000000015</v>
          </cell>
          <cell r="H138">
            <v>499.60300000000007</v>
          </cell>
          <cell r="I138">
            <v>633.51000000000045</v>
          </cell>
          <cell r="J138">
            <v>727.39559319395539</v>
          </cell>
          <cell r="K138">
            <v>799.88955822276785</v>
          </cell>
          <cell r="L138">
            <v>861.35763537143737</v>
          </cell>
          <cell r="M138">
            <v>969.58772836459707</v>
          </cell>
          <cell r="AK138">
            <v>119.71645220647083</v>
          </cell>
          <cell r="AL138">
            <v>123.2020000000001</v>
          </cell>
          <cell r="AM138">
            <v>159.1869999999999</v>
          </cell>
          <cell r="AN138">
            <v>142.76399999999998</v>
          </cell>
          <cell r="AO138">
            <v>177.37500000000009</v>
          </cell>
          <cell r="AP138">
            <v>208.84100000000001</v>
          </cell>
          <cell r="AQ138">
            <v>194.42300000000009</v>
          </cell>
        </row>
        <row r="139">
          <cell r="A139" t="str">
            <v>Sale of PPE</v>
          </cell>
          <cell r="B139">
            <v>0</v>
          </cell>
          <cell r="C139">
            <v>0</v>
          </cell>
          <cell r="D139">
            <v>1.27</v>
          </cell>
          <cell r="E139">
            <v>0.3</v>
          </cell>
          <cell r="F139">
            <v>0</v>
          </cell>
          <cell r="G139">
            <v>0</v>
          </cell>
          <cell r="H139">
            <v>0</v>
          </cell>
          <cell r="I139">
            <v>0</v>
          </cell>
          <cell r="J139">
            <v>0</v>
          </cell>
          <cell r="K139">
            <v>0</v>
          </cell>
          <cell r="L139">
            <v>0</v>
          </cell>
          <cell r="M139">
            <v>0</v>
          </cell>
          <cell r="AK139">
            <v>0.61699999999999999</v>
          </cell>
          <cell r="AL139">
            <v>9.6000000000000002E-2</v>
          </cell>
          <cell r="AM139">
            <v>0.14099999999999999</v>
          </cell>
          <cell r="AN139">
            <v>0.216</v>
          </cell>
          <cell r="AO139">
            <v>-0.27</v>
          </cell>
          <cell r="AP139">
            <v>3.097</v>
          </cell>
          <cell r="AQ139">
            <v>9.0999999999999998E-2</v>
          </cell>
        </row>
        <row r="140">
          <cell r="A140" t="str">
            <v>Capex</v>
          </cell>
          <cell r="B140">
            <v>-25.850999999999999</v>
          </cell>
          <cell r="C140">
            <v>-30.123000000000001</v>
          </cell>
          <cell r="D140">
            <v>-37.29</v>
          </cell>
          <cell r="E140">
            <v>-71.400000000000006</v>
          </cell>
          <cell r="F140">
            <v>-40.625999999999998</v>
          </cell>
          <cell r="G140">
            <v>-42.39</v>
          </cell>
          <cell r="H140">
            <v>-45.393000000000001</v>
          </cell>
          <cell r="I140">
            <v>-43.579000000000001</v>
          </cell>
          <cell r="J140">
            <v>-46.814406390752552</v>
          </cell>
          <cell r="K140">
            <v>-50.052258231961346</v>
          </cell>
          <cell r="L140">
            <v>-55.184464072317333</v>
          </cell>
          <cell r="M140">
            <v>-60.543629833392558</v>
          </cell>
          <cell r="AK140">
            <v>-22.314</v>
          </cell>
          <cell r="AL140">
            <v>-21.405999999999999</v>
          </cell>
          <cell r="AM140">
            <v>-22.956</v>
          </cell>
          <cell r="AN140">
            <v>-20.427</v>
          </cell>
          <cell r="AO140">
            <v>-19.236000000000001</v>
          </cell>
          <cell r="AP140">
            <v>-26.800999999999998</v>
          </cell>
          <cell r="AQ140">
            <v>-43.19</v>
          </cell>
        </row>
        <row r="141">
          <cell r="A141" t="str">
            <v>Purchase - Investments</v>
          </cell>
          <cell r="B141">
            <v>-20.606999999999999</v>
          </cell>
          <cell r="C141">
            <v>-26.986000000000001</v>
          </cell>
          <cell r="D141">
            <v>-147.077</v>
          </cell>
          <cell r="E141">
            <v>-103.8</v>
          </cell>
          <cell r="F141">
            <v>-160.19800000000001</v>
          </cell>
          <cell r="G141">
            <v>-174.203</v>
          </cell>
          <cell r="H141">
            <v>-95.141000000000005</v>
          </cell>
          <cell r="I141">
            <v>-93.283000000000001</v>
          </cell>
          <cell r="J141">
            <v>0</v>
          </cell>
          <cell r="K141">
            <v>0</v>
          </cell>
          <cell r="L141">
            <v>0</v>
          </cell>
          <cell r="M141">
            <v>0</v>
          </cell>
          <cell r="AK141">
            <v>-4.6159999999999997</v>
          </cell>
          <cell r="AL141">
            <v>-1.998</v>
          </cell>
          <cell r="AM141">
            <v>-5.0019999999999998</v>
          </cell>
          <cell r="AN141">
            <v>-10.351000000000001</v>
          </cell>
          <cell r="AO141">
            <v>-63.962000000000003</v>
          </cell>
          <cell r="AP141">
            <v>-0.19800000000000001</v>
          </cell>
          <cell r="AQ141">
            <v>-68.3</v>
          </cell>
        </row>
        <row r="142">
          <cell r="A142" t="str">
            <v>Sale - Investments</v>
          </cell>
          <cell r="B142">
            <v>38.609000000000002</v>
          </cell>
          <cell r="C142">
            <v>46.128</v>
          </cell>
          <cell r="D142">
            <v>105.235</v>
          </cell>
          <cell r="E142">
            <v>0</v>
          </cell>
          <cell r="F142">
            <v>268.06400000000002</v>
          </cell>
          <cell r="G142">
            <v>265.596</v>
          </cell>
          <cell r="H142">
            <v>94.783000000000001</v>
          </cell>
          <cell r="I142">
            <v>99.087000000000003</v>
          </cell>
          <cell r="J142">
            <v>0</v>
          </cell>
          <cell r="K142">
            <v>0</v>
          </cell>
          <cell r="L142">
            <v>0</v>
          </cell>
          <cell r="M142">
            <v>0</v>
          </cell>
          <cell r="AK142">
            <v>1.8839999999999999</v>
          </cell>
          <cell r="AL142">
            <v>3.706</v>
          </cell>
          <cell r="AM142">
            <v>7.7519999999999998</v>
          </cell>
          <cell r="AN142">
            <v>0</v>
          </cell>
          <cell r="AO142">
            <v>58.029000000000003</v>
          </cell>
          <cell r="AP142">
            <v>7.7869999999999999</v>
          </cell>
          <cell r="AQ142">
            <v>13.263</v>
          </cell>
        </row>
        <row r="143">
          <cell r="A143" t="str">
            <v>Acquisitions</v>
          </cell>
          <cell r="B143">
            <v>-260.86200000000002</v>
          </cell>
          <cell r="C143">
            <v>-75.88</v>
          </cell>
          <cell r="D143">
            <v>-462.51499999999999</v>
          </cell>
          <cell r="E143">
            <v>-37.4</v>
          </cell>
          <cell r="F143">
            <v>-281.46800000000002</v>
          </cell>
          <cell r="G143">
            <v>-213.41800000000001</v>
          </cell>
          <cell r="H143">
            <v>-952.91300000000001</v>
          </cell>
          <cell r="I143">
            <v>-20.209</v>
          </cell>
          <cell r="J143">
            <v>0</v>
          </cell>
          <cell r="K143">
            <v>0</v>
          </cell>
          <cell r="L143">
            <v>0</v>
          </cell>
          <cell r="M143">
            <v>0</v>
          </cell>
          <cell r="AK143">
            <v>-63.813000000000002</v>
          </cell>
          <cell r="AL143">
            <v>-86.677999999999997</v>
          </cell>
          <cell r="AM143">
            <v>-14.565000000000001</v>
          </cell>
          <cell r="AN143">
            <v>-55.524000000000001</v>
          </cell>
          <cell r="AO143">
            <v>-19.754999999999999</v>
          </cell>
          <cell r="AP143">
            <v>-9.8999999999999986</v>
          </cell>
          <cell r="AQ143">
            <v>-329.36399999999998</v>
          </cell>
        </row>
        <row r="144">
          <cell r="A144" t="str">
            <v>Cash used in Investing Activities</v>
          </cell>
          <cell r="B144">
            <v>-268.58300000000003</v>
          </cell>
          <cell r="C144">
            <v>-86.841999999999985</v>
          </cell>
          <cell r="D144">
            <v>-541.44899999999996</v>
          </cell>
          <cell r="E144">
            <v>-214.9</v>
          </cell>
          <cell r="F144">
            <v>-218.77800000000002</v>
          </cell>
          <cell r="G144">
            <v>-168.63600000000002</v>
          </cell>
          <cell r="H144">
            <v>-1000.861</v>
          </cell>
          <cell r="I144">
            <v>-60.521999999999991</v>
          </cell>
          <cell r="J144">
            <v>-46.814406390752552</v>
          </cell>
          <cell r="K144">
            <v>-50.052258231961346</v>
          </cell>
          <cell r="L144">
            <v>-55.184464072317333</v>
          </cell>
          <cell r="M144">
            <v>-60.543629833392558</v>
          </cell>
          <cell r="AK144">
            <v>-88.242000000000004</v>
          </cell>
          <cell r="AL144">
            <v>-106.28</v>
          </cell>
          <cell r="AM144">
            <v>-34.630000000000003</v>
          </cell>
          <cell r="AN144">
            <v>-75.998000000000005</v>
          </cell>
          <cell r="AO144">
            <v>-45.194000000000003</v>
          </cell>
          <cell r="AP144">
            <v>-26.014999999999997</v>
          </cell>
          <cell r="AQ144">
            <v>-406.36799999999999</v>
          </cell>
        </row>
        <row r="145">
          <cell r="A145" t="str">
            <v>Payments on Capital Leases</v>
          </cell>
          <cell r="B145">
            <v>-1.6890000000000001</v>
          </cell>
          <cell r="C145">
            <v>-0.433</v>
          </cell>
          <cell r="D145">
            <v>0</v>
          </cell>
          <cell r="E145">
            <v>0</v>
          </cell>
          <cell r="F145">
            <v>0</v>
          </cell>
          <cell r="G145">
            <v>0</v>
          </cell>
          <cell r="H145">
            <v>0</v>
          </cell>
          <cell r="I145">
            <v>0</v>
          </cell>
          <cell r="J145">
            <v>0</v>
          </cell>
          <cell r="K145">
            <v>0</v>
          </cell>
          <cell r="L145">
            <v>0</v>
          </cell>
          <cell r="M145">
            <v>0</v>
          </cell>
          <cell r="AK145">
            <v>-1.643</v>
          </cell>
          <cell r="AL145">
            <v>-1.643</v>
          </cell>
          <cell r="AM145">
            <v>-1.643</v>
          </cell>
          <cell r="AN145">
            <v>-1.643</v>
          </cell>
          <cell r="AO145">
            <v>-0.21099999999999999</v>
          </cell>
          <cell r="AP145">
            <v>-1.8979999999999999</v>
          </cell>
          <cell r="AQ145">
            <v>-1.8779999999999999</v>
          </cell>
        </row>
        <row r="146">
          <cell r="A146" t="str">
            <v>Proceeds from Stock Options</v>
          </cell>
          <cell r="B146">
            <v>23.81</v>
          </cell>
          <cell r="C146">
            <v>47.042000000000002</v>
          </cell>
          <cell r="D146">
            <v>97.363</v>
          </cell>
          <cell r="E146">
            <v>233.4</v>
          </cell>
          <cell r="F146">
            <v>98.698999999999998</v>
          </cell>
          <cell r="G146">
            <v>40.194000000000003</v>
          </cell>
          <cell r="H146">
            <v>57.893000000000001</v>
          </cell>
          <cell r="I146">
            <v>35.927</v>
          </cell>
          <cell r="J146">
            <v>11.271645000000063</v>
          </cell>
          <cell r="K146">
            <v>8.845100000000059</v>
          </cell>
          <cell r="L146">
            <v>8.845100000000059</v>
          </cell>
          <cell r="M146">
            <v>8.8450999999997748</v>
          </cell>
          <cell r="AK146">
            <v>1.544</v>
          </cell>
          <cell r="AL146">
            <v>24.146999999999998</v>
          </cell>
          <cell r="AM146">
            <v>3.3649999999999998</v>
          </cell>
          <cell r="AN146">
            <v>4.149</v>
          </cell>
          <cell r="AO146">
            <v>4.4580000000000002</v>
          </cell>
          <cell r="AP146">
            <v>9.2720000000000002</v>
          </cell>
          <cell r="AQ146">
            <v>29.276</v>
          </cell>
        </row>
        <row r="147">
          <cell r="A147" t="str">
            <v>Cash Dividends Paid</v>
          </cell>
          <cell r="B147">
            <v>-48.2</v>
          </cell>
          <cell r="C147">
            <v>-50.826999999999998</v>
          </cell>
          <cell r="D147">
            <v>-54.496000000000002</v>
          </cell>
          <cell r="E147">
            <v>-65.8</v>
          </cell>
          <cell r="F147">
            <v>-87.800000000000011</v>
          </cell>
          <cell r="G147">
            <v>-34.793999999999997</v>
          </cell>
          <cell r="H147">
            <v>-35.764000000000003</v>
          </cell>
          <cell r="I147">
            <v>-98.418000000000006</v>
          </cell>
          <cell r="J147">
            <v>-126.240381</v>
          </cell>
          <cell r="K147">
            <v>-146.47267732500001</v>
          </cell>
          <cell r="L147">
            <v>-147.48986382500001</v>
          </cell>
          <cell r="M147">
            <v>-229.77962912742561</v>
          </cell>
          <cell r="AK147">
            <v>-24.727</v>
          </cell>
          <cell r="AL147">
            <v>-29.984999999999999</v>
          </cell>
          <cell r="AM147">
            <v>-35.134999999999998</v>
          </cell>
          <cell r="AN147">
            <v>-37.600999999999999</v>
          </cell>
          <cell r="AO147">
            <v>-37.225000000000001</v>
          </cell>
          <cell r="AP147">
            <v>-38.435000000000002</v>
          </cell>
          <cell r="AQ147">
            <v>-43.12</v>
          </cell>
        </row>
        <row r="148">
          <cell r="A148" t="str">
            <v>Net Cash from Financing</v>
          </cell>
          <cell r="B148">
            <v>-89.322000000000003</v>
          </cell>
          <cell r="C148">
            <v>-4.2179999999999964</v>
          </cell>
          <cell r="D148">
            <v>35.695</v>
          </cell>
          <cell r="E148">
            <v>-59.100000000000009</v>
          </cell>
          <cell r="F148">
            <v>-64.201000000000022</v>
          </cell>
          <cell r="G148">
            <v>-51.527999999999992</v>
          </cell>
          <cell r="H148">
            <v>-149.53100000000001</v>
          </cell>
          <cell r="I148">
            <v>-90.786000000000001</v>
          </cell>
          <cell r="J148">
            <v>-114.96873599999994</v>
          </cell>
          <cell r="K148">
            <v>-137.62757732499995</v>
          </cell>
          <cell r="L148">
            <v>-138.64476382499996</v>
          </cell>
          <cell r="M148">
            <v>-220.93452912742583</v>
          </cell>
          <cell r="AK148">
            <v>-24.826000000000001</v>
          </cell>
          <cell r="AL148">
            <v>-7.4810000000000016</v>
          </cell>
          <cell r="AM148">
            <v>-33.412999999999997</v>
          </cell>
          <cell r="AN148">
            <v>-35.094999999999999</v>
          </cell>
          <cell r="AO148">
            <v>-62.427999999999997</v>
          </cell>
          <cell r="AP148">
            <v>-45.423000000000002</v>
          </cell>
          <cell r="AQ148">
            <v>-44.944000000000003</v>
          </cell>
        </row>
        <row r="149">
          <cell r="A149" t="str">
            <v xml:space="preserve">FX impact </v>
          </cell>
          <cell r="B149">
            <v>-20.486000000000001</v>
          </cell>
          <cell r="C149">
            <v>-31.791</v>
          </cell>
          <cell r="D149">
            <v>32.512</v>
          </cell>
          <cell r="E149">
            <v>27.1</v>
          </cell>
          <cell r="F149">
            <v>-13.548</v>
          </cell>
          <cell r="G149">
            <v>-35.886000000000003</v>
          </cell>
          <cell r="H149">
            <v>37.97</v>
          </cell>
          <cell r="I149">
            <v>55.170999999999999</v>
          </cell>
          <cell r="J149">
            <v>0</v>
          </cell>
          <cell r="K149">
            <v>0</v>
          </cell>
          <cell r="L149">
            <v>0</v>
          </cell>
          <cell r="M149">
            <v>0</v>
          </cell>
          <cell r="AK149">
            <v>9.6809999999999992</v>
          </cell>
          <cell r="AL149">
            <v>6.3339999999999996</v>
          </cell>
          <cell r="AM149">
            <v>6.0359999999999996</v>
          </cell>
          <cell r="AN149">
            <v>-22.815000000000001</v>
          </cell>
          <cell r="AO149">
            <v>-22.172000000000001</v>
          </cell>
          <cell r="AP149">
            <v>-15.92</v>
          </cell>
          <cell r="AQ149">
            <v>26.756</v>
          </cell>
        </row>
        <row r="150">
          <cell r="A150" t="str">
            <v>Other</v>
          </cell>
          <cell r="B150">
            <v>2.0000000001374474E-3</v>
          </cell>
          <cell r="C150">
            <v>-3.694822225952521E-13</v>
          </cell>
          <cell r="D150">
            <v>-17.604000000000156</v>
          </cell>
          <cell r="E150">
            <v>-7.3559999999998524</v>
          </cell>
          <cell r="F150">
            <v>-27.235000000000014</v>
          </cell>
          <cell r="G150">
            <v>11.389999999999901</v>
          </cell>
          <cell r="H150">
            <v>-0.76099999999996726</v>
          </cell>
          <cell r="I150">
            <v>-1.0610000000003765</v>
          </cell>
          <cell r="J150">
            <v>0</v>
          </cell>
          <cell r="K150">
            <v>0</v>
          </cell>
          <cell r="L150">
            <v>0</v>
          </cell>
          <cell r="M150">
            <v>0</v>
          </cell>
          <cell r="AK150">
            <v>-2.5336645542303415E-2</v>
          </cell>
          <cell r="AL150">
            <v>0.17999999999988958</v>
          </cell>
          <cell r="AM150">
            <v>1.800000000012858E-2</v>
          </cell>
          <cell r="AN150">
            <v>1.7763568394002505E-14</v>
          </cell>
          <cell r="AO150">
            <v>-1.0000000001184617E-3</v>
          </cell>
          <cell r="AP150">
            <v>8.4999999999965326E-2</v>
          </cell>
          <cell r="AQ150">
            <v>2.1449999999998965</v>
          </cell>
        </row>
        <row r="151">
          <cell r="A151" t="str">
            <v>Change in Net Debt</v>
          </cell>
          <cell r="B151">
            <v>-104.40600000000001</v>
          </cell>
          <cell r="C151">
            <v>188.5</v>
          </cell>
          <cell r="D151">
            <v>-82.685000000000173</v>
          </cell>
          <cell r="E151">
            <v>196.60600000000022</v>
          </cell>
          <cell r="F151">
            <v>242.50699999999983</v>
          </cell>
          <cell r="G151">
            <v>262.31700000000001</v>
          </cell>
          <cell r="H151">
            <v>-613.57999999999993</v>
          </cell>
          <cell r="I151">
            <v>536.31200000000013</v>
          </cell>
          <cell r="J151">
            <v>565.61245080320293</v>
          </cell>
          <cell r="K151">
            <v>612.20972266580657</v>
          </cell>
          <cell r="L151">
            <v>667.52840747412006</v>
          </cell>
          <cell r="M151">
            <v>688.10956940377878</v>
          </cell>
          <cell r="AK151">
            <v>16.304115560928523</v>
          </cell>
          <cell r="AL151">
            <v>15.954999999999984</v>
          </cell>
          <cell r="AM151">
            <v>97.198000000000036</v>
          </cell>
          <cell r="AN151">
            <v>8.8559999999999945</v>
          </cell>
          <cell r="AO151">
            <v>47.579999999999984</v>
          </cell>
          <cell r="AP151">
            <v>121.56799999999998</v>
          </cell>
          <cell r="AQ151">
            <v>-227.988</v>
          </cell>
        </row>
        <row r="153">
          <cell r="A153" t="str">
            <v>Free Cash Flow (OCF - Capex)</v>
          </cell>
          <cell r="D153">
            <v>370.87099999999992</v>
          </cell>
          <cell r="E153">
            <v>379.4620000000001</v>
          </cell>
          <cell r="F153">
            <v>525.64299999999992</v>
          </cell>
          <cell r="G153">
            <v>464.58700000000016</v>
          </cell>
          <cell r="H153">
            <v>454.21000000000004</v>
          </cell>
          <cell r="I153">
            <v>589.93100000000049</v>
          </cell>
          <cell r="J153">
            <v>680.58118680320285</v>
          </cell>
          <cell r="K153">
            <v>749.83729999080651</v>
          </cell>
          <cell r="L153">
            <v>806.17317129911999</v>
          </cell>
          <cell r="M153">
            <v>909.04409853120455</v>
          </cell>
        </row>
        <row r="155">
          <cell r="A155" t="str">
            <v>check</v>
          </cell>
          <cell r="B155">
            <v>-104.40600000000001</v>
          </cell>
          <cell r="C155">
            <v>188.5</v>
          </cell>
          <cell r="D155">
            <v>-82.685000000000173</v>
          </cell>
          <cell r="E155">
            <v>196.60600000000022</v>
          </cell>
          <cell r="F155">
            <v>242.50699999999983</v>
          </cell>
          <cell r="G155">
            <v>262.31700000000001</v>
          </cell>
          <cell r="H155">
            <v>-613.57999999999993</v>
          </cell>
          <cell r="I155">
            <v>536.31200000000013</v>
          </cell>
          <cell r="J155">
            <v>565.61245080320305</v>
          </cell>
          <cell r="K155">
            <v>612.20972266580657</v>
          </cell>
          <cell r="L155">
            <v>667.52840747411983</v>
          </cell>
          <cell r="M155">
            <v>688.10956940377855</v>
          </cell>
          <cell r="AK155">
            <v>16.304115560928523</v>
          </cell>
          <cell r="AL155">
            <v>15.954999999999984</v>
          </cell>
          <cell r="AM155">
            <v>97.198000000000036</v>
          </cell>
          <cell r="AN155">
            <v>8.8559999999999945</v>
          </cell>
          <cell r="AO155">
            <v>47.579999999999984</v>
          </cell>
          <cell r="AP155">
            <v>121.56799999999998</v>
          </cell>
          <cell r="AQ155">
            <v>-227.988</v>
          </cell>
        </row>
      </sheetData>
      <sheetData sheetId="4">
        <row r="476">
          <cell r="A476" t="str">
            <v>Depreciation</v>
          </cell>
          <cell r="D476">
            <v>14.950675120472836</v>
          </cell>
          <cell r="E476">
            <v>15.257859890206218</v>
          </cell>
          <cell r="F476">
            <v>13.708825426056892</v>
          </cell>
          <cell r="G476">
            <v>11.930964987034212</v>
          </cell>
          <cell r="H476">
            <v>10.888823505199275</v>
          </cell>
          <cell r="I476">
            <v>11.737</v>
          </cell>
          <cell r="J476">
            <v>13.66</v>
          </cell>
          <cell r="K476">
            <v>15.53</v>
          </cell>
          <cell r="L476">
            <v>18.173999999999999</v>
          </cell>
          <cell r="M476">
            <v>19.050999999999998</v>
          </cell>
          <cell r="N476">
            <v>15.302</v>
          </cell>
          <cell r="O476">
            <v>14.884</v>
          </cell>
          <cell r="P476">
            <v>17.713000000000001</v>
          </cell>
          <cell r="Q476">
            <v>24.951000000000001</v>
          </cell>
          <cell r="R476">
            <v>24.687999999999999</v>
          </cell>
          <cell r="S476">
            <v>22.956</v>
          </cell>
          <cell r="T476">
            <v>23.065999999999999</v>
          </cell>
          <cell r="U476">
            <v>24.16</v>
          </cell>
          <cell r="V476">
            <v>25.055</v>
          </cell>
          <cell r="W476">
            <v>32.722000000000001</v>
          </cell>
          <cell r="X476">
            <v>33.380000000000003</v>
          </cell>
          <cell r="Y476">
            <v>37.01</v>
          </cell>
          <cell r="Z476">
            <v>42.39</v>
          </cell>
          <cell r="AA476">
            <v>45.53713226333786</v>
          </cell>
          <cell r="AB476">
            <v>50.052258231961346</v>
          </cell>
          <cell r="AC476">
            <v>55.184464072317333</v>
          </cell>
          <cell r="AD476">
            <v>60.543629833392558</v>
          </cell>
          <cell r="AE476">
            <v>62.506298751474155</v>
          </cell>
          <cell r="AH476" t="str">
            <v>mstag:depreciation</v>
          </cell>
          <cell r="AI476">
            <v>6</v>
          </cell>
          <cell r="AJ476" t="str">
            <v>ISO4217:EUR</v>
          </cell>
          <cell r="AK476" t="b">
            <v>0</v>
          </cell>
        </row>
        <row r="504">
          <cell r="A504" t="str">
            <v>Capex</v>
          </cell>
          <cell r="D504">
            <v>-8.3032881728527936</v>
          </cell>
          <cell r="E504">
            <v>-7.3899661105834689</v>
          </cell>
          <cell r="F504">
            <v>-7.9752178877578865</v>
          </cell>
          <cell r="G504">
            <v>-12.139515242614989</v>
          </cell>
          <cell r="H504">
            <v>-10.676004677135849</v>
          </cell>
          <cell r="I504">
            <v>-20.477</v>
          </cell>
          <cell r="J504">
            <v>-22.314</v>
          </cell>
          <cell r="K504">
            <v>-21.405999999999999</v>
          </cell>
          <cell r="L504">
            <v>-22.956</v>
          </cell>
          <cell r="M504">
            <v>-20.427</v>
          </cell>
          <cell r="N504">
            <v>-19.236000000000001</v>
          </cell>
          <cell r="O504">
            <v>-26.800999999999998</v>
          </cell>
          <cell r="P504">
            <v>-43.19</v>
          </cell>
          <cell r="Q504">
            <v>-25.850999999999999</v>
          </cell>
          <cell r="R504">
            <v>-30.123000000000001</v>
          </cell>
          <cell r="S504">
            <v>-53.576999999999998</v>
          </cell>
          <cell r="T504">
            <v>-16.254000000000001</v>
          </cell>
          <cell r="U504">
            <v>-37.29</v>
          </cell>
          <cell r="V504">
            <v>-71.400000000000006</v>
          </cell>
          <cell r="W504">
            <v>-40.625999999999998</v>
          </cell>
          <cell r="X504">
            <v>-42.39</v>
          </cell>
          <cell r="Y504">
            <v>-45.393000000000001</v>
          </cell>
          <cell r="Z504">
            <v>-43.579000000000001</v>
          </cell>
          <cell r="AA504">
            <v>-46.814406390752552</v>
          </cell>
          <cell r="AB504">
            <v>-50.052258231961346</v>
          </cell>
          <cell r="AC504">
            <v>-55.184464072317333</v>
          </cell>
          <cell r="AD504">
            <v>-60.543629833392558</v>
          </cell>
          <cell r="AE504">
            <v>-62.506298751474155</v>
          </cell>
          <cell r="AH504" t="str">
            <v>mstag:capitalExpenditures</v>
          </cell>
          <cell r="AI504">
            <v>6</v>
          </cell>
          <cell r="AJ504" t="str">
            <v>ISO4217:EUR</v>
          </cell>
          <cell r="AK504" t="b">
            <v>1</v>
          </cell>
        </row>
        <row r="560">
          <cell r="A560" t="str">
            <v>Gross Tangible Fixed Assets</v>
          </cell>
          <cell r="B560">
            <v>0</v>
          </cell>
          <cell r="C560">
            <v>0</v>
          </cell>
          <cell r="D560">
            <v>97.950170514225789</v>
          </cell>
          <cell r="E560">
            <v>98.010692774069042</v>
          </cell>
          <cell r="F560">
            <v>101.11973803160879</v>
          </cell>
          <cell r="G560">
            <v>93.866366240470043</v>
          </cell>
          <cell r="H560">
            <v>97.257289730881752</v>
          </cell>
          <cell r="I560">
            <v>92.38852546737057</v>
          </cell>
          <cell r="J560">
            <v>108.512</v>
          </cell>
          <cell r="K560">
            <v>129.715</v>
          </cell>
          <cell r="L560">
            <v>148.15499999999997</v>
          </cell>
          <cell r="M560">
            <v>136.13400000000001</v>
          </cell>
          <cell r="N560">
            <v>139.87900000000002</v>
          </cell>
          <cell r="O560">
            <v>138.13900000000001</v>
          </cell>
          <cell r="P560">
            <v>168.053</v>
          </cell>
          <cell r="Q560">
            <v>192.49799999999999</v>
          </cell>
          <cell r="R560">
            <v>194.09200000000001</v>
          </cell>
          <cell r="S560">
            <v>169.57499999999999</v>
          </cell>
          <cell r="T560">
            <v>173.02100000000002</v>
          </cell>
          <cell r="U560">
            <v>188.00899999999999</v>
          </cell>
          <cell r="V560">
            <v>238.44200000000001</v>
          </cell>
          <cell r="W560">
            <v>251.20400000000001</v>
          </cell>
          <cell r="X560">
            <v>249.23699999999999</v>
          </cell>
          <cell r="Y560">
            <v>301.13599999999997</v>
          </cell>
          <cell r="Z560">
            <v>336.16899999999998</v>
          </cell>
          <cell r="AA560">
            <v>382.98340639075252</v>
          </cell>
          <cell r="AB560">
            <v>433.03566462271385</v>
          </cell>
          <cell r="AC560">
            <v>488.22012869503118</v>
          </cell>
          <cell r="AD560">
            <v>548.76375852842375</v>
          </cell>
          <cell r="AE560">
            <v>611.27005727989786</v>
          </cell>
        </row>
        <row r="561">
          <cell r="A561" t="str">
            <v>Accumulated Depreciation</v>
          </cell>
          <cell r="D561">
            <v>-27.210015290636427</v>
          </cell>
          <cell r="E561">
            <v>-38.452672964843735</v>
          </cell>
          <cell r="F561">
            <v>-49.427477715764908</v>
          </cell>
          <cell r="G561">
            <v>-44.586916520442649</v>
          </cell>
          <cell r="H561">
            <v>-46.82624013464298</v>
          </cell>
          <cell r="I561">
            <v>-36.526327183031817</v>
          </cell>
          <cell r="J561">
            <v>-49.484999999999999</v>
          </cell>
          <cell r="K561">
            <v>-65.634</v>
          </cell>
          <cell r="L561">
            <v>-82.778999999999996</v>
          </cell>
          <cell r="M561">
            <v>-76.260999999999996</v>
          </cell>
          <cell r="N561">
            <v>-83.34</v>
          </cell>
          <cell r="O561">
            <v>-80.956000000000003</v>
          </cell>
          <cell r="P561">
            <v>-98.669000000000011</v>
          </cell>
          <cell r="Q561">
            <v>-128.626</v>
          </cell>
          <cell r="R561">
            <v>-132.96</v>
          </cell>
          <cell r="S561">
            <v>-100.313</v>
          </cell>
          <cell r="T561">
            <v>-113.462</v>
          </cell>
          <cell r="U561">
            <v>-121.614</v>
          </cell>
          <cell r="V561">
            <v>-131.84100000000001</v>
          </cell>
          <cell r="W561">
            <v>-143.36099999999999</v>
          </cell>
          <cell r="X561">
            <v>-148.78899999999999</v>
          </cell>
          <cell r="Y561">
            <v>-164.399</v>
          </cell>
          <cell r="Z561">
            <v>-200.84299999999999</v>
          </cell>
          <cell r="AA561">
            <v>-246.38013226333786</v>
          </cell>
          <cell r="AB561">
            <v>-296.43239049529922</v>
          </cell>
          <cell r="AC561">
            <v>-351.61685456761654</v>
          </cell>
          <cell r="AD561">
            <v>-412.16048440100911</v>
          </cell>
          <cell r="AE561">
            <v>-474.66678315248328</v>
          </cell>
        </row>
      </sheetData>
      <sheetData sheetId="5" refreshError="1">
        <row r="70">
          <cell r="A70" t="str">
            <v>FFr-Euro</v>
          </cell>
          <cell r="B70">
            <v>6.5595699999999999</v>
          </cell>
          <cell r="C70">
            <v>6.5595699999999999</v>
          </cell>
          <cell r="D70">
            <v>6.5595699999999999</v>
          </cell>
          <cell r="E70">
            <v>6.5595699999999999</v>
          </cell>
          <cell r="F70">
            <v>6.5595699999999999</v>
          </cell>
          <cell r="G70">
            <v>6.5595699999999999</v>
          </cell>
          <cell r="H70">
            <v>6.5595699999999999</v>
          </cell>
          <cell r="I70">
            <v>6.5595699999999999</v>
          </cell>
          <cell r="J70">
            <v>6.5595699999999999</v>
          </cell>
          <cell r="K70">
            <v>6.5595699999999999</v>
          </cell>
          <cell r="L70">
            <v>6.5595699999999999</v>
          </cell>
          <cell r="M70">
            <v>6.5595699999999999</v>
          </cell>
          <cell r="N70">
            <v>6.5595699999999999</v>
          </cell>
          <cell r="O70">
            <v>6.5595699999999999</v>
          </cell>
          <cell r="P70">
            <v>6.5595699999999999</v>
          </cell>
          <cell r="Q70">
            <v>6.5595699999999999</v>
          </cell>
          <cell r="R70">
            <v>6.5595699999999999</v>
          </cell>
          <cell r="S70">
            <v>6.5595699999999999</v>
          </cell>
          <cell r="T70">
            <v>6.5595699999999999</v>
          </cell>
          <cell r="U70">
            <v>6.5595699999999999</v>
          </cell>
        </row>
        <row r="348">
          <cell r="A348" t="str">
            <v>Licences</v>
          </cell>
          <cell r="B348">
            <v>34.804110635300795</v>
          </cell>
          <cell r="C348">
            <v>30.093436002664809</v>
          </cell>
          <cell r="D348">
            <v>34.301028878417334</v>
          </cell>
          <cell r="E348">
            <v>48.143399643574199</v>
          </cell>
          <cell r="F348">
            <v>44.316929310915199</v>
          </cell>
          <cell r="G348">
            <v>36.618253940425973</v>
          </cell>
          <cell r="H348">
            <v>45.262113217787139</v>
          </cell>
          <cell r="I348">
            <v>54.25660523479435</v>
          </cell>
          <cell r="J348">
            <v>60.03442298809221</v>
          </cell>
          <cell r="K348">
            <v>53.052257998618813</v>
          </cell>
          <cell r="L348">
            <v>65.415873296572798</v>
          </cell>
          <cell r="M348">
            <v>79.929019737574251</v>
          </cell>
          <cell r="N348">
            <v>80.828468939274998</v>
          </cell>
          <cell r="O348">
            <v>76.986753704892237</v>
          </cell>
          <cell r="P348">
            <v>91.942002295882205</v>
          </cell>
          <cell r="Q348">
            <v>108.75712889716856</v>
          </cell>
          <cell r="R348">
            <v>98.3</v>
          </cell>
          <cell r="S348">
            <v>101.3</v>
          </cell>
          <cell r="T348">
            <v>105.5</v>
          </cell>
          <cell r="U348">
            <v>126.4</v>
          </cell>
          <cell r="V348">
            <v>117.7</v>
          </cell>
          <cell r="W348">
            <v>126</v>
          </cell>
          <cell r="X348">
            <v>134.80000000000001</v>
          </cell>
          <cell r="Y348">
            <v>163.19999999999999</v>
          </cell>
          <cell r="Z348">
            <v>144.69999999999999</v>
          </cell>
          <cell r="AA348">
            <v>151.30000000000001</v>
          </cell>
          <cell r="AB348">
            <v>155.30000000000001</v>
          </cell>
          <cell r="AC348">
            <v>191.70000000000002</v>
          </cell>
          <cell r="AD348">
            <v>159.30000000000001</v>
          </cell>
          <cell r="AE348">
            <v>166.70000000000002</v>
          </cell>
          <cell r="AF348">
            <v>149.5</v>
          </cell>
          <cell r="AG348">
            <v>194.4</v>
          </cell>
          <cell r="AH348">
            <v>145.1</v>
          </cell>
          <cell r="AI348">
            <v>151.80000000000001</v>
          </cell>
          <cell r="AJ348">
            <v>152.20000000000002</v>
          </cell>
          <cell r="AK348">
            <v>196.5</v>
          </cell>
          <cell r="AL348">
            <v>148.9</v>
          </cell>
          <cell r="AM348">
            <v>158.9</v>
          </cell>
          <cell r="AN348">
            <v>156.69999999999999</v>
          </cell>
          <cell r="AO348">
            <v>206.4</v>
          </cell>
          <cell r="AP348">
            <v>167.2</v>
          </cell>
          <cell r="AQ348">
            <v>180.9</v>
          </cell>
          <cell r="AR348">
            <v>183.3</v>
          </cell>
          <cell r="AS348">
            <v>261.3</v>
          </cell>
          <cell r="AT348">
            <v>217</v>
          </cell>
          <cell r="AU348">
            <v>244</v>
          </cell>
          <cell r="AV348">
            <v>231.4</v>
          </cell>
          <cell r="AW348">
            <v>290.39999999999998</v>
          </cell>
          <cell r="AX348">
            <v>249.6</v>
          </cell>
          <cell r="AY348">
            <v>256.39999999999998</v>
          </cell>
          <cell r="AZ348">
            <v>258.10000000000002</v>
          </cell>
          <cell r="BA348">
            <v>316.29999999999995</v>
          </cell>
          <cell r="BB348">
            <v>269.59999999999997</v>
          </cell>
          <cell r="BC348">
            <v>278.00000000000006</v>
          </cell>
          <cell r="BD348">
            <v>277.89999999999998</v>
          </cell>
          <cell r="BE348">
            <v>332.3</v>
          </cell>
          <cell r="BF348">
            <v>272.8</v>
          </cell>
          <cell r="BG348">
            <v>271.59999999999997</v>
          </cell>
          <cell r="BH348">
            <v>255.70000000000002</v>
          </cell>
          <cell r="BI348">
            <v>301.20000000000005</v>
          </cell>
          <cell r="BJ348">
            <v>279.8</v>
          </cell>
          <cell r="BK348">
            <v>352.7</v>
          </cell>
          <cell r="BL348">
            <v>371.90000000000003</v>
          </cell>
          <cell r="BM348">
            <v>422.79999999999995</v>
          </cell>
          <cell r="BN348">
            <v>372.59999999999997</v>
          </cell>
          <cell r="BO348">
            <v>388.40000000000003</v>
          </cell>
          <cell r="BP348">
            <v>394.29999999999995</v>
          </cell>
          <cell r="BQ348">
            <v>462.1</v>
          </cell>
          <cell r="BR348">
            <v>419.9</v>
          </cell>
          <cell r="BS348">
            <v>457.79999999999995</v>
          </cell>
          <cell r="BT348">
            <v>460.2</v>
          </cell>
          <cell r="BU348">
            <v>515.5</v>
          </cell>
          <cell r="BV348">
            <v>449.90000000000003</v>
          </cell>
          <cell r="BW348">
            <v>474.4</v>
          </cell>
          <cell r="BX348">
            <v>451.5</v>
          </cell>
          <cell r="BY348">
            <v>511.7</v>
          </cell>
          <cell r="BZ348">
            <v>450.10000000000008</v>
          </cell>
          <cell r="CA348">
            <v>507.99999999999989</v>
          </cell>
          <cell r="CB348">
            <v>511.70000000000005</v>
          </cell>
          <cell r="CC348">
            <v>608.79999999999995</v>
          </cell>
          <cell r="CD348">
            <v>591</v>
          </cell>
          <cell r="CE348">
            <v>635.4</v>
          </cell>
          <cell r="CF348">
            <v>602.79999999999995</v>
          </cell>
          <cell r="CG348">
            <v>708.7</v>
          </cell>
          <cell r="CH348">
            <v>613.9</v>
          </cell>
          <cell r="CI348">
            <v>673.14865425487119</v>
          </cell>
          <cell r="CJ348">
            <v>664.67836867273934</v>
          </cell>
          <cell r="CK348">
            <v>783.55188063322987</v>
          </cell>
          <cell r="CL348">
            <v>676.26782986390322</v>
          </cell>
          <cell r="CM348">
            <v>745.34015418882473</v>
          </cell>
          <cell r="CN348">
            <v>735.47260554001343</v>
          </cell>
          <cell r="CO348">
            <v>866.85726869655298</v>
          </cell>
          <cell r="CP348">
            <v>756.95136944757166</v>
          </cell>
          <cell r="CQ348">
            <v>829.57864924104206</v>
          </cell>
          <cell r="CR348">
            <v>818.10943650994454</v>
          </cell>
          <cell r="CS348">
            <v>963.85632917052044</v>
          </cell>
          <cell r="CT348">
            <v>837.85614038204517</v>
          </cell>
          <cell r="CU348">
            <v>918.73648466448128</v>
          </cell>
          <cell r="CV348">
            <v>905.49140158678028</v>
          </cell>
          <cell r="CW348">
            <v>1066.3345232444021</v>
          </cell>
          <cell r="CX348">
            <v>867.08507305171361</v>
          </cell>
          <cell r="CY348">
            <v>950.86715081277305</v>
          </cell>
          <cell r="CZ348">
            <v>936.69210808880109</v>
          </cell>
          <cell r="DA348">
            <v>1103.1638782339587</v>
          </cell>
          <cell r="DE348">
            <v>147.34197515995714</v>
          </cell>
          <cell r="DF348">
            <v>180.45390170392267</v>
          </cell>
          <cell r="DG348">
            <v>258.43157402085808</v>
          </cell>
          <cell r="DH348">
            <v>358.51435383721804</v>
          </cell>
          <cell r="DI348">
            <v>431.5</v>
          </cell>
          <cell r="DJ348">
            <v>541.70000000000005</v>
          </cell>
          <cell r="DK348">
            <v>643</v>
          </cell>
          <cell r="DL348">
            <v>669.9</v>
          </cell>
          <cell r="DM348">
            <v>645.6</v>
          </cell>
          <cell r="DN348">
            <v>670.9</v>
          </cell>
          <cell r="DO348">
            <v>792.7</v>
          </cell>
          <cell r="DP348">
            <v>982.8</v>
          </cell>
          <cell r="DQ348">
            <v>1080.4000000000001</v>
          </cell>
          <cell r="DR348">
            <v>1157.8</v>
          </cell>
          <cell r="DS348">
            <v>1101.3000000000002</v>
          </cell>
          <cell r="DT348">
            <v>1427.2</v>
          </cell>
          <cell r="DU348">
            <v>1617.4</v>
          </cell>
          <cell r="DV348">
            <v>1853.3999999999999</v>
          </cell>
          <cell r="DW348">
            <v>1887.5</v>
          </cell>
          <cell r="DX348">
            <v>2078.6</v>
          </cell>
          <cell r="DY348">
            <v>2537.9</v>
          </cell>
          <cell r="DZ348">
            <v>2735.2789035608403</v>
          </cell>
          <cell r="EA348">
            <v>3023.9378582892946</v>
          </cell>
          <cell r="EB348">
            <v>3368.495784369079</v>
          </cell>
          <cell r="EC348">
            <v>3728.4185498777088</v>
          </cell>
          <cell r="ED348">
            <v>3857.8082101872465</v>
          </cell>
        </row>
        <row r="350">
          <cell r="A350" t="str">
            <v>Services/Other Revenues</v>
          </cell>
          <cell r="B350">
            <v>4.8631236498733905</v>
          </cell>
          <cell r="C350">
            <v>6.7230016601697979</v>
          </cell>
          <cell r="D350">
            <v>5.6558585395079257</v>
          </cell>
          <cell r="E350">
            <v>8.5676347687424634</v>
          </cell>
          <cell r="F350">
            <v>6.0827157877726741</v>
          </cell>
          <cell r="G350">
            <v>7.7748998791079291</v>
          </cell>
          <cell r="H350">
            <v>6.1589402963913793</v>
          </cell>
          <cell r="I350">
            <v>12.150186673821608</v>
          </cell>
          <cell r="J350">
            <v>8.3237163411626067</v>
          </cell>
          <cell r="K350">
            <v>10.13785964628779</v>
          </cell>
          <cell r="L350">
            <v>8.5523898670187233</v>
          </cell>
          <cell r="M350">
            <v>13.796636059985639</v>
          </cell>
          <cell r="N350">
            <v>10.061635137669086</v>
          </cell>
          <cell r="O350">
            <v>13.308799204825926</v>
          </cell>
          <cell r="P350">
            <v>14.894268984094994</v>
          </cell>
          <cell r="Q350">
            <v>16.601697977153993</v>
          </cell>
          <cell r="R350">
            <v>14.3</v>
          </cell>
          <cell r="S350">
            <v>17.8</v>
          </cell>
          <cell r="T350">
            <v>20</v>
          </cell>
          <cell r="U350">
            <v>21.1</v>
          </cell>
          <cell r="V350">
            <v>17</v>
          </cell>
          <cell r="W350">
            <v>19.8</v>
          </cell>
          <cell r="X350">
            <v>20.6</v>
          </cell>
          <cell r="Y350">
            <v>33.299999999999997</v>
          </cell>
          <cell r="Z350">
            <v>20.399999999999999</v>
          </cell>
          <cell r="AA350">
            <v>25.6</v>
          </cell>
          <cell r="AB350">
            <v>23.5</v>
          </cell>
          <cell r="AC350">
            <v>33.6</v>
          </cell>
          <cell r="AD350">
            <v>23.2</v>
          </cell>
          <cell r="AE350">
            <v>24.6</v>
          </cell>
          <cell r="AF350">
            <v>26.4</v>
          </cell>
          <cell r="AG350">
            <v>30</v>
          </cell>
          <cell r="AH350">
            <v>24.3</v>
          </cell>
          <cell r="AI350">
            <v>29.5</v>
          </cell>
          <cell r="AJ350">
            <v>24.1</v>
          </cell>
          <cell r="AK350">
            <v>31.3</v>
          </cell>
          <cell r="AL350">
            <v>27.3</v>
          </cell>
          <cell r="AM350">
            <v>33.6</v>
          </cell>
          <cell r="AN350">
            <v>31.251999999999999</v>
          </cell>
          <cell r="AO350">
            <v>33.5</v>
          </cell>
          <cell r="AP350">
            <v>32</v>
          </cell>
          <cell r="AQ350">
            <v>36.4</v>
          </cell>
          <cell r="AR350">
            <v>30.5</v>
          </cell>
          <cell r="AS350">
            <v>52</v>
          </cell>
          <cell r="AT350">
            <v>39</v>
          </cell>
          <cell r="AU350">
            <v>42</v>
          </cell>
          <cell r="AV350">
            <v>50.9</v>
          </cell>
          <cell r="AW350">
            <v>62.8</v>
          </cell>
          <cell r="AX350">
            <v>45.1</v>
          </cell>
          <cell r="AY350">
            <v>52.4</v>
          </cell>
          <cell r="AZ350">
            <v>43.2</v>
          </cell>
          <cell r="BA350">
            <v>54.8</v>
          </cell>
          <cell r="BB350">
            <v>38.299999999999997</v>
          </cell>
          <cell r="BC350">
            <v>48.2</v>
          </cell>
          <cell r="BD350">
            <v>41.8</v>
          </cell>
          <cell r="BE350">
            <v>52.1</v>
          </cell>
          <cell r="BF350">
            <v>37.9</v>
          </cell>
          <cell r="BG350">
            <v>39.6</v>
          </cell>
          <cell r="BH350">
            <v>36.1</v>
          </cell>
          <cell r="BI350">
            <v>37.9</v>
          </cell>
          <cell r="BJ350">
            <v>32.200000000000003</v>
          </cell>
          <cell r="BK350">
            <v>39.200000000000003</v>
          </cell>
          <cell r="BL350">
            <v>36.9</v>
          </cell>
          <cell r="BM350">
            <v>44.5</v>
          </cell>
          <cell r="BN350">
            <v>37.299999999999997</v>
          </cell>
          <cell r="BO350">
            <v>40.200000000000003</v>
          </cell>
          <cell r="BP350">
            <v>38.6</v>
          </cell>
          <cell r="BQ350">
            <v>50</v>
          </cell>
          <cell r="BR350">
            <v>42.5</v>
          </cell>
          <cell r="BS350">
            <v>45.1</v>
          </cell>
          <cell r="BT350">
            <v>44.8</v>
          </cell>
          <cell r="BU350">
            <v>52.7</v>
          </cell>
          <cell r="BV350">
            <v>38.9</v>
          </cell>
          <cell r="BW350">
            <v>47.5</v>
          </cell>
          <cell r="BX350">
            <v>44.6</v>
          </cell>
          <cell r="BY350">
            <v>54.3</v>
          </cell>
          <cell r="BZ350">
            <v>52.7</v>
          </cell>
          <cell r="CA350">
            <v>62.1</v>
          </cell>
          <cell r="CB350">
            <v>68</v>
          </cell>
          <cell r="CC350">
            <v>85.3</v>
          </cell>
          <cell r="CD350">
            <v>74.099999999999994</v>
          </cell>
          <cell r="CE350">
            <v>88.1</v>
          </cell>
          <cell r="CF350">
            <v>83.2</v>
          </cell>
          <cell r="CG350">
            <v>93.4</v>
          </cell>
          <cell r="CH350">
            <v>79.599999999999994</v>
          </cell>
          <cell r="CI350">
            <v>89.861999999999995</v>
          </cell>
          <cell r="CJ350">
            <v>86.528000000000006</v>
          </cell>
          <cell r="CK350">
            <v>99.004000000000005</v>
          </cell>
          <cell r="CL350">
            <v>83.58</v>
          </cell>
          <cell r="CM350">
            <v>94.355099999999993</v>
          </cell>
          <cell r="CN350">
            <v>90.854400000000012</v>
          </cell>
          <cell r="CO350">
            <v>103.95420000000001</v>
          </cell>
          <cell r="CP350">
            <v>84.415800000000004</v>
          </cell>
          <cell r="CQ350">
            <v>95.298650999999992</v>
          </cell>
          <cell r="CR350">
            <v>91.762944000000019</v>
          </cell>
          <cell r="CS350">
            <v>104.99374200000001</v>
          </cell>
          <cell r="CT350">
            <v>85.259958000000012</v>
          </cell>
          <cell r="CU350">
            <v>96.251637509999995</v>
          </cell>
          <cell r="CV350">
            <v>92.680573440000018</v>
          </cell>
          <cell r="CW350">
            <v>106.04367942000002</v>
          </cell>
          <cell r="CX350">
            <v>86.112557580000015</v>
          </cell>
          <cell r="CY350">
            <v>97.214153885099989</v>
          </cell>
          <cell r="CZ350">
            <v>93.607379174400023</v>
          </cell>
          <cell r="DA350">
            <v>107.10411621420002</v>
          </cell>
          <cell r="DE350">
            <v>25.809618618293577</v>
          </cell>
          <cell r="DF350">
            <v>32.166742637093591</v>
          </cell>
          <cell r="DG350">
            <v>40.810601914454757</v>
          </cell>
          <cell r="DH350">
            <v>54.866401303743999</v>
          </cell>
          <cell r="DI350">
            <v>73.2</v>
          </cell>
          <cell r="DJ350">
            <v>90.699999999999989</v>
          </cell>
          <cell r="DK350">
            <v>103.1</v>
          </cell>
          <cell r="DL350">
            <v>104.19999999999999</v>
          </cell>
          <cell r="DM350">
            <v>109.2</v>
          </cell>
          <cell r="DN350">
            <v>125.652</v>
          </cell>
          <cell r="DO350">
            <v>150.9</v>
          </cell>
          <cell r="DP350">
            <v>194.7</v>
          </cell>
          <cell r="DQ350">
            <v>195.5</v>
          </cell>
          <cell r="DR350">
            <v>180.4</v>
          </cell>
          <cell r="DS350">
            <v>151.5</v>
          </cell>
          <cell r="DT350">
            <v>152.80000000000001</v>
          </cell>
          <cell r="DU350">
            <v>166.1</v>
          </cell>
          <cell r="DV350">
            <v>185.09999999999997</v>
          </cell>
          <cell r="DW350">
            <v>185.3</v>
          </cell>
          <cell r="DX350">
            <v>268.10000000000002</v>
          </cell>
          <cell r="DY350">
            <v>338.79999999999995</v>
          </cell>
          <cell r="DZ350">
            <v>354.99400000000003</v>
          </cell>
          <cell r="EA350">
            <v>372.74369999999999</v>
          </cell>
          <cell r="EB350">
            <v>376.471137</v>
          </cell>
          <cell r="EC350">
            <v>380.23584836999999</v>
          </cell>
          <cell r="ED350">
            <v>384.03820685370005</v>
          </cell>
        </row>
        <row r="354">
          <cell r="A354" t="str">
            <v>Total Revenues</v>
          </cell>
          <cell r="B354">
            <v>39.667234285174189</v>
          </cell>
          <cell r="C354">
            <v>36.816437662834609</v>
          </cell>
          <cell r="D354">
            <v>39.956887417925259</v>
          </cell>
          <cell r="E354">
            <v>56.711034412316664</v>
          </cell>
          <cell r="F354">
            <v>50.39964509868787</v>
          </cell>
          <cell r="G354">
            <v>44.3931538195339</v>
          </cell>
          <cell r="H354">
            <v>51.421053514178517</v>
          </cell>
          <cell r="I354">
            <v>66.406791908615958</v>
          </cell>
          <cell r="J354">
            <v>68.358139329254811</v>
          </cell>
          <cell r="K354">
            <v>63.190117644906607</v>
          </cell>
          <cell r="L354">
            <v>73.968263163591516</v>
          </cell>
          <cell r="M354">
            <v>93.725655797559895</v>
          </cell>
          <cell r="N354">
            <v>90.890104076944084</v>
          </cell>
          <cell r="O354">
            <v>90.295552909718168</v>
          </cell>
          <cell r="P354">
            <v>106.8362712799772</v>
          </cell>
          <cell r="Q354">
            <v>125.35882687432255</v>
          </cell>
          <cell r="R354">
            <v>112.6</v>
          </cell>
          <cell r="S354">
            <v>119.1</v>
          </cell>
          <cell r="T354">
            <v>125.5</v>
          </cell>
          <cell r="U354">
            <v>147.5</v>
          </cell>
          <cell r="V354">
            <v>134.69999999999999</v>
          </cell>
          <cell r="W354">
            <v>145.80000000000001</v>
          </cell>
          <cell r="X354">
            <v>155.4</v>
          </cell>
          <cell r="Y354">
            <v>196.5</v>
          </cell>
          <cell r="Z354">
            <v>165.1</v>
          </cell>
          <cell r="AA354">
            <v>176.9</v>
          </cell>
          <cell r="AB354">
            <v>178.84840000000003</v>
          </cell>
          <cell r="AC354">
            <v>225.3</v>
          </cell>
          <cell r="AD354">
            <v>182.5</v>
          </cell>
          <cell r="AE354">
            <v>191.3</v>
          </cell>
          <cell r="AF354">
            <v>175.9</v>
          </cell>
          <cell r="AG354">
            <v>224.4</v>
          </cell>
          <cell r="AH354">
            <v>169.4</v>
          </cell>
          <cell r="AI354">
            <v>181.3</v>
          </cell>
          <cell r="AJ354">
            <v>176.3</v>
          </cell>
          <cell r="AK354">
            <v>227.79999999999998</v>
          </cell>
          <cell r="AL354">
            <v>176.20000000000002</v>
          </cell>
          <cell r="AM354">
            <v>192.5</v>
          </cell>
          <cell r="AN354">
            <v>188</v>
          </cell>
          <cell r="AO354">
            <v>239.89999999999998</v>
          </cell>
          <cell r="AP354">
            <v>199.2</v>
          </cell>
          <cell r="AQ354">
            <v>217.3</v>
          </cell>
          <cell r="AR354">
            <v>213.8</v>
          </cell>
          <cell r="AS354">
            <v>313.3</v>
          </cell>
          <cell r="AT354">
            <v>256</v>
          </cell>
          <cell r="AU354">
            <v>286</v>
          </cell>
          <cell r="AV354">
            <v>282.29999999999995</v>
          </cell>
          <cell r="AW354">
            <v>353.2</v>
          </cell>
          <cell r="AX354">
            <v>294.7</v>
          </cell>
          <cell r="AY354">
            <v>308.8</v>
          </cell>
          <cell r="AZ354">
            <v>301.3</v>
          </cell>
          <cell r="BA354">
            <v>371.09999999999997</v>
          </cell>
          <cell r="BB354">
            <v>307.89999999999998</v>
          </cell>
          <cell r="BC354">
            <v>326.20000000000005</v>
          </cell>
          <cell r="BD354">
            <v>319.7</v>
          </cell>
          <cell r="BE354">
            <v>384.40000000000003</v>
          </cell>
          <cell r="BF354">
            <v>310.7</v>
          </cell>
          <cell r="BG354">
            <v>311.2</v>
          </cell>
          <cell r="BH354">
            <v>291.8</v>
          </cell>
          <cell r="BI354">
            <v>339.1</v>
          </cell>
          <cell r="BJ354">
            <v>312</v>
          </cell>
          <cell r="BK354">
            <v>391.9</v>
          </cell>
          <cell r="BL354">
            <v>408.8</v>
          </cell>
          <cell r="BM354">
            <v>467.29999999999995</v>
          </cell>
          <cell r="BN354">
            <v>409.9</v>
          </cell>
          <cell r="BO354">
            <v>428.6</v>
          </cell>
          <cell r="BP354">
            <v>432.9</v>
          </cell>
          <cell r="BQ354">
            <v>512.1</v>
          </cell>
          <cell r="BR354">
            <v>462.4</v>
          </cell>
          <cell r="BS354">
            <v>502.9</v>
          </cell>
          <cell r="BT354">
            <v>505</v>
          </cell>
          <cell r="BU354">
            <v>568.20000000000005</v>
          </cell>
          <cell r="BV354">
            <v>488.8</v>
          </cell>
          <cell r="BW354">
            <v>521.9</v>
          </cell>
          <cell r="BX354">
            <v>496.1</v>
          </cell>
          <cell r="BY354">
            <v>566</v>
          </cell>
          <cell r="BZ354">
            <v>502.80000000000007</v>
          </cell>
          <cell r="CA354">
            <v>570.09999999999991</v>
          </cell>
          <cell r="CB354">
            <v>579.70000000000005</v>
          </cell>
          <cell r="CC354">
            <v>694.09999999999991</v>
          </cell>
          <cell r="CD354">
            <v>665.1</v>
          </cell>
          <cell r="CE354">
            <v>723.5</v>
          </cell>
          <cell r="CF354">
            <v>686</v>
          </cell>
          <cell r="CG354">
            <v>802.1</v>
          </cell>
          <cell r="CH354">
            <v>693.5</v>
          </cell>
          <cell r="CI354">
            <v>763.01065425487104</v>
          </cell>
          <cell r="CJ354">
            <v>751.20636867273936</v>
          </cell>
          <cell r="CK354">
            <v>882.55588063322989</v>
          </cell>
          <cell r="CL354">
            <v>759.84782986390314</v>
          </cell>
          <cell r="CM354">
            <v>839.69525418882472</v>
          </cell>
          <cell r="CN354">
            <v>826.32700554001349</v>
          </cell>
          <cell r="CO354">
            <v>970.81146869655299</v>
          </cell>
          <cell r="CP354">
            <v>841.36716944757165</v>
          </cell>
          <cell r="CQ354">
            <v>924.87730024104201</v>
          </cell>
          <cell r="CR354">
            <v>909.87238050994461</v>
          </cell>
          <cell r="CS354">
            <v>1068.8500711705206</v>
          </cell>
          <cell r="CT354">
            <v>923.11609838204527</v>
          </cell>
          <cell r="CU354">
            <v>1014.9881221744813</v>
          </cell>
          <cell r="CV354">
            <v>998.17197502678027</v>
          </cell>
          <cell r="CW354">
            <v>1172.3782026644021</v>
          </cell>
          <cell r="CX354">
            <v>953.19763063171365</v>
          </cell>
          <cell r="CY354">
            <v>1048.0813046978731</v>
          </cell>
          <cell r="CZ354">
            <v>1030.2994872632012</v>
          </cell>
          <cell r="DA354">
            <v>1210.2679944481588</v>
          </cell>
          <cell r="DE354">
            <v>173.15159377825071</v>
          </cell>
          <cell r="DF354">
            <v>212.62064434101626</v>
          </cell>
          <cell r="DG354">
            <v>299.24217593531284</v>
          </cell>
          <cell r="DH354">
            <v>413.38075514096204</v>
          </cell>
          <cell r="DI354">
            <v>504.7</v>
          </cell>
          <cell r="DJ354">
            <v>632.40000000000009</v>
          </cell>
          <cell r="DK354">
            <v>746.1</v>
          </cell>
          <cell r="DL354">
            <v>774.09999999999991</v>
          </cell>
          <cell r="DM354">
            <v>754.80000000000007</v>
          </cell>
          <cell r="DN354">
            <v>796.55200000000002</v>
          </cell>
          <cell r="DO354">
            <v>943.6</v>
          </cell>
          <cell r="DP354">
            <v>1177.5</v>
          </cell>
          <cell r="DQ354">
            <v>1275.9000000000001</v>
          </cell>
          <cell r="DR354">
            <v>1338.2</v>
          </cell>
          <cell r="DS354">
            <v>1252.8000000000002</v>
          </cell>
          <cell r="DT354">
            <v>1580</v>
          </cell>
          <cell r="DU354">
            <v>1783.5</v>
          </cell>
          <cell r="DV354">
            <v>2038.4999999999998</v>
          </cell>
          <cell r="DW354">
            <v>2072.8000000000002</v>
          </cell>
          <cell r="DX354">
            <v>2346.6999999999998</v>
          </cell>
          <cell r="DY354">
            <v>2876.7</v>
          </cell>
          <cell r="DZ354">
            <v>3090.2729035608404</v>
          </cell>
          <cell r="EA354">
            <v>3396.6815582892946</v>
          </cell>
          <cell r="EB354">
            <v>3744.966921369079</v>
          </cell>
          <cell r="EC354">
            <v>4108.6543982477087</v>
          </cell>
          <cell r="ED354">
            <v>4241.8464170409461</v>
          </cell>
        </row>
      </sheetData>
      <sheetData sheetId="6"/>
      <sheetData sheetId="7"/>
      <sheetData sheetId="8"/>
      <sheetData sheetId="9"/>
      <sheetData sheetId="10"/>
      <sheetData sheetId="11"/>
      <sheetData sheetId="12"/>
      <sheetData sheetId="13" refreshError="1">
        <row r="2">
          <cell r="B2" t="str">
            <v>Dassault Systemes 1Q16 Results</v>
          </cell>
        </row>
        <row r="3">
          <cell r="B3" t="str">
            <v>EUR (m)</v>
          </cell>
          <cell r="C3" t="str">
            <v>1Q16 Results</v>
          </cell>
          <cell r="G3" t="str">
            <v>% Difference vs</v>
          </cell>
          <cell r="M3" t="str">
            <v>Guide</v>
          </cell>
          <cell r="N3" t="str">
            <v>Mse</v>
          </cell>
          <cell r="O3" t="str">
            <v>Cons</v>
          </cell>
          <cell r="P3" t="str">
            <v>% Difference</v>
          </cell>
        </row>
        <row r="4">
          <cell r="C4" t="str">
            <v>Actual</v>
          </cell>
          <cell r="D4" t="str">
            <v>MSe</v>
          </cell>
          <cell r="E4" t="str">
            <v>Cons</v>
          </cell>
          <cell r="F4" t="str">
            <v>1Q15A</v>
          </cell>
          <cell r="G4" t="str">
            <v>MSe</v>
          </cell>
          <cell r="H4" t="str">
            <v>Cons</v>
          </cell>
          <cell r="I4" t="str">
            <v>1Q15A</v>
          </cell>
          <cell r="M4" t="str">
            <v>2Q16</v>
          </cell>
          <cell r="N4" t="str">
            <v>2Q16</v>
          </cell>
          <cell r="O4" t="str">
            <v>2Q16</v>
          </cell>
          <cell r="P4" t="str">
            <v>Mse</v>
          </cell>
          <cell r="Q4" t="str">
            <v>Cons</v>
          </cell>
        </row>
        <row r="5">
          <cell r="L5" t="str">
            <v>Revenues *</v>
          </cell>
          <cell r="M5" t="str">
            <v>€735-745</v>
          </cell>
          <cell r="N5">
            <v>763.01065425487104</v>
          </cell>
          <cell r="O5">
            <v>765</v>
          </cell>
          <cell r="P5">
            <v>-3.0157710284324124E-2</v>
          </cell>
          <cell r="Q5">
            <v>-3.2679738562091498E-2</v>
          </cell>
        </row>
        <row r="6">
          <cell r="B6" t="str">
            <v>Non-IFRS Revenue breakdown by activity:</v>
          </cell>
          <cell r="L6" t="str">
            <v>non-IFRS EBITA (%)</v>
          </cell>
          <cell r="M6" t="str">
            <v>29-30%</v>
          </cell>
          <cell r="N6">
            <v>0.29448560275119973</v>
          </cell>
          <cell r="O6">
            <v>0.29755555555555557</v>
          </cell>
        </row>
        <row r="7">
          <cell r="B7" t="str">
            <v>Software revenue</v>
          </cell>
          <cell r="C7">
            <v>613.9</v>
          </cell>
          <cell r="D7">
            <v>613.9</v>
          </cell>
          <cell r="E7">
            <v>628.29999999999995</v>
          </cell>
          <cell r="F7">
            <v>591</v>
          </cell>
          <cell r="G7">
            <v>0</v>
          </cell>
          <cell r="H7">
            <v>-2.2918987744707908E-2</v>
          </cell>
          <cell r="I7">
            <v>3.8747884940778299E-2</v>
          </cell>
          <cell r="L7" t="str">
            <v>non-IFRS EPS</v>
          </cell>
          <cell r="M7" t="str">
            <v>0.53-0.55</v>
          </cell>
          <cell r="N7">
            <v>0.56614304025749185</v>
          </cell>
          <cell r="O7">
            <v>0.57999999999999996</v>
          </cell>
          <cell r="P7">
            <v>-4.617744703812221E-2</v>
          </cell>
          <cell r="Q7">
            <v>-6.8965517241379226E-2</v>
          </cell>
        </row>
        <row r="8">
          <cell r="B8" t="str">
            <v>% change cc</v>
          </cell>
          <cell r="C8">
            <v>0.04</v>
          </cell>
          <cell r="D8">
            <v>2.2880002461056259E-2</v>
          </cell>
          <cell r="F8">
            <v>0.14792845652834719</v>
          </cell>
          <cell r="M8">
            <v>2016</v>
          </cell>
          <cell r="N8">
            <v>2016</v>
          </cell>
          <cell r="O8">
            <v>2016</v>
          </cell>
        </row>
        <row r="9">
          <cell r="B9" t="str">
            <v>of which new licenses revenue</v>
          </cell>
          <cell r="C9">
            <v>157.9</v>
          </cell>
          <cell r="D9">
            <v>157.9</v>
          </cell>
          <cell r="F9">
            <v>163.6</v>
          </cell>
          <cell r="G9">
            <v>0</v>
          </cell>
          <cell r="I9">
            <v>-3.4841075794620924E-2</v>
          </cell>
          <cell r="L9" t="str">
            <v>Revenues *</v>
          </cell>
          <cell r="M9" t="str">
            <v>€2,985-3,015m</v>
          </cell>
          <cell r="N9">
            <v>3090.2729035608404</v>
          </cell>
          <cell r="O9">
            <v>3062</v>
          </cell>
          <cell r="P9">
            <v>-3.0829932026734563E-2</v>
          </cell>
          <cell r="Q9">
            <v>-2.1881123448726281E-2</v>
          </cell>
        </row>
        <row r="10">
          <cell r="B10" t="str">
            <v>% change cc</v>
          </cell>
          <cell r="C10">
            <v>-0.03</v>
          </cell>
          <cell r="D10">
            <v>-4.9584815450388509E-2</v>
          </cell>
          <cell r="F10">
            <v>0.2031838125013623</v>
          </cell>
          <cell r="L10" t="str">
            <v>non-IFRS EBITA (%)</v>
          </cell>
          <cell r="M10">
            <v>0.31</v>
          </cell>
          <cell r="N10">
            <v>0.31180572691096431</v>
          </cell>
          <cell r="O10">
            <v>0.31221423905943829</v>
          </cell>
        </row>
        <row r="11">
          <cell r="B11" t="str">
            <v>of which periodic licenses, maintenance etc</v>
          </cell>
          <cell r="C11">
            <v>456</v>
          </cell>
          <cell r="D11">
            <v>456</v>
          </cell>
          <cell r="F11">
            <v>427.4</v>
          </cell>
          <cell r="G11">
            <v>0</v>
          </cell>
          <cell r="I11">
            <v>6.6916237716424964E-2</v>
          </cell>
          <cell r="L11" t="str">
            <v>non-IFRS EPS</v>
          </cell>
          <cell r="M11">
            <v>2.4</v>
          </cell>
          <cell r="N11">
            <v>2.4746286343110886</v>
          </cell>
          <cell r="O11">
            <v>2.46</v>
          </cell>
          <cell r="P11">
            <v>-3.0157508595977434E-2</v>
          </cell>
          <cell r="Q11">
            <v>-2.4390243902439046E-2</v>
          </cell>
        </row>
        <row r="12">
          <cell r="B12" t="str">
            <v>% change cc</v>
          </cell>
          <cell r="C12">
            <v>7.0000000000000007E-2</v>
          </cell>
          <cell r="D12">
            <v>5.0618056298942005E-2</v>
          </cell>
          <cell r="F12">
            <v>0.12827286152710315</v>
          </cell>
        </row>
        <row r="13">
          <cell r="B13" t="str">
            <v>Services and other revenue</v>
          </cell>
          <cell r="C13">
            <v>79.600000000000023</v>
          </cell>
          <cell r="D13">
            <v>79.599999999999994</v>
          </cell>
          <cell r="E13">
            <v>74.400000000000091</v>
          </cell>
          <cell r="F13">
            <v>74.099999999999994</v>
          </cell>
          <cell r="G13">
            <v>0</v>
          </cell>
          <cell r="H13">
            <v>6.989247311827862E-2</v>
          </cell>
          <cell r="I13">
            <v>7.4224021592443012E-2</v>
          </cell>
        </row>
        <row r="14">
          <cell r="B14" t="str">
            <v>Total Non-IFRS Revenue</v>
          </cell>
          <cell r="C14">
            <v>693.5</v>
          </cell>
          <cell r="D14">
            <v>693.5</v>
          </cell>
          <cell r="E14">
            <v>702.7</v>
          </cell>
          <cell r="F14">
            <v>665.1</v>
          </cell>
          <cell r="G14">
            <v>0</v>
          </cell>
          <cell r="H14">
            <v>-1.3092358047531061E-2</v>
          </cell>
          <cell r="I14">
            <v>4.2700345812659801E-2</v>
          </cell>
          <cell r="M14" t="str">
            <v>Organic Calculation</v>
          </cell>
        </row>
        <row r="15">
          <cell r="B15" t="str">
            <v>% change cc</v>
          </cell>
          <cell r="C15">
            <v>0.05</v>
          </cell>
          <cell r="D15">
            <v>2.5593172020407361E-2</v>
          </cell>
          <cell r="F15">
            <v>0.11859417881947384</v>
          </cell>
        </row>
        <row r="16">
          <cell r="M16" t="str">
            <v>2Q14</v>
          </cell>
          <cell r="N16" t="str">
            <v>2Q15</v>
          </cell>
        </row>
        <row r="17">
          <cell r="B17" t="str">
            <v>DS non IFRS EBITA (pre options)</v>
          </cell>
          <cell r="C17">
            <v>181.7</v>
          </cell>
          <cell r="D17">
            <v>181.69999999999987</v>
          </cell>
          <cell r="E17">
            <v>179.6</v>
          </cell>
          <cell r="F17">
            <v>171.69999999999993</v>
          </cell>
          <cell r="G17">
            <v>0</v>
          </cell>
          <cell r="H17">
            <v>1.1692650334075738E-2</v>
          </cell>
          <cell r="I17">
            <v>5.8241118229470423E-2</v>
          </cell>
          <cell r="L17" t="str">
            <v>Total rev</v>
          </cell>
          <cell r="M17">
            <v>665.1</v>
          </cell>
          <cell r="N17">
            <v>693.5</v>
          </cell>
          <cell r="O17">
            <v>4.2700345812659801E-2</v>
          </cell>
        </row>
        <row r="18">
          <cell r="B18" t="str">
            <v>Margin (%)</v>
          </cell>
          <cell r="C18">
            <v>0.26200432588320116</v>
          </cell>
          <cell r="D18">
            <v>0.26200432588320099</v>
          </cell>
          <cell r="E18">
            <v>0.2555855984061477</v>
          </cell>
          <cell r="F18">
            <v>0.25815666817019983</v>
          </cell>
          <cell r="L18" t="str">
            <v>FX</v>
          </cell>
          <cell r="N18">
            <v>64.714000000000055</v>
          </cell>
        </row>
        <row r="19">
          <cell r="B19" t="str">
            <v>MS EBIT (post options)</v>
          </cell>
          <cell r="C19">
            <v>161.1</v>
          </cell>
          <cell r="D19">
            <v>166.19999999999987</v>
          </cell>
          <cell r="F19">
            <v>166.49999999999994</v>
          </cell>
          <cell r="G19">
            <v>-3.0685920577616654E-2</v>
          </cell>
          <cell r="I19">
            <v>-3.2432432432432101E-2</v>
          </cell>
          <cell r="L19" t="str">
            <v>Ex-FX</v>
          </cell>
          <cell r="N19">
            <v>758.21400000000006</v>
          </cell>
          <cell r="O19">
            <v>0.14000000000000001</v>
          </cell>
        </row>
        <row r="20">
          <cell r="B20" t="str">
            <v>Margin (%)</v>
          </cell>
          <cell r="C20">
            <v>0.23229992790194665</v>
          </cell>
          <cell r="D20">
            <v>0.23965392934390753</v>
          </cell>
          <cell r="F20">
            <v>0.25033829499323401</v>
          </cell>
          <cell r="L20" t="str">
            <v>M&amp;A</v>
          </cell>
          <cell r="N20">
            <v>-39.8125</v>
          </cell>
          <cell r="R20">
            <v>256.19999999999993</v>
          </cell>
          <cell r="S20">
            <v>300.5</v>
          </cell>
          <cell r="T20">
            <v>0.17291178766588633</v>
          </cell>
        </row>
        <row r="21">
          <cell r="L21" t="str">
            <v>Organic Ex-FX</v>
          </cell>
          <cell r="N21">
            <v>718.40150000000006</v>
          </cell>
          <cell r="O21">
            <v>8.0140580363855074E-2</v>
          </cell>
        </row>
        <row r="22">
          <cell r="B22" t="str">
            <v>DS non IFRS Fully Diluted EPS</v>
          </cell>
          <cell r="C22">
            <v>0.51</v>
          </cell>
          <cell r="D22">
            <v>0.50972006220839772</v>
          </cell>
          <cell r="E22">
            <v>0.46</v>
          </cell>
          <cell r="F22">
            <v>0.43309859154929553</v>
          </cell>
          <cell r="G22">
            <v>5.4919908466910528E-4</v>
          </cell>
          <cell r="H22">
            <v>0.10869565217391308</v>
          </cell>
          <cell r="I22">
            <v>0.1775609756097567</v>
          </cell>
        </row>
        <row r="23">
          <cell r="M23" t="str">
            <v>2Q14</v>
          </cell>
          <cell r="N23" t="str">
            <v>2Q15</v>
          </cell>
        </row>
        <row r="24">
          <cell r="C24" t="str">
            <v>1Q16 Results</v>
          </cell>
          <cell r="G24" t="str">
            <v>% Difference vs</v>
          </cell>
          <cell r="I24" t="str">
            <v>y/y gwth c/c</v>
          </cell>
          <cell r="L24" t="str">
            <v>Total rev</v>
          </cell>
          <cell r="M24">
            <v>163.6</v>
          </cell>
          <cell r="N24">
            <v>157.9</v>
          </cell>
          <cell r="O24">
            <v>-3.4841075794620924E-2</v>
          </cell>
        </row>
        <row r="25">
          <cell r="C25" t="str">
            <v>Actual</v>
          </cell>
          <cell r="D25" t="str">
            <v>MSe</v>
          </cell>
          <cell r="E25" t="str">
            <v>Cons</v>
          </cell>
          <cell r="F25" t="str">
            <v>1Q15A</v>
          </cell>
          <cell r="G25" t="str">
            <v>MSe</v>
          </cell>
          <cell r="H25" t="str">
            <v>1Q15A</v>
          </cell>
          <cell r="L25" t="str">
            <v>FX</v>
          </cell>
          <cell r="N25">
            <v>33.511999999999972</v>
          </cell>
        </row>
        <row r="26">
          <cell r="L26" t="str">
            <v>Ex-FX</v>
          </cell>
          <cell r="N26">
            <v>191.41199999999998</v>
          </cell>
          <cell r="O26">
            <v>0.17</v>
          </cell>
        </row>
        <row r="27">
          <cell r="B27" t="str">
            <v>Non-IFRS S/W rev breakdown by product line:</v>
          </cell>
          <cell r="L27" t="str">
            <v>M&amp;A</v>
          </cell>
          <cell r="N27">
            <v>13.087999999999965</v>
          </cell>
        </row>
        <row r="28">
          <cell r="B28" t="str">
            <v>PLM software revenue</v>
          </cell>
          <cell r="C28">
            <v>462.4</v>
          </cell>
          <cell r="D28">
            <v>462.4</v>
          </cell>
          <cell r="F28">
            <v>448.3</v>
          </cell>
          <cell r="G28">
            <v>0</v>
          </cell>
          <cell r="H28">
            <v>3.145215257639955E-2</v>
          </cell>
          <cell r="L28" t="str">
            <v>Organic Ex-FX</v>
          </cell>
          <cell r="N28">
            <v>178.32400000000001</v>
          </cell>
          <cell r="O28">
            <v>0.09</v>
          </cell>
        </row>
        <row r="29">
          <cell r="B29" t="str">
            <v>of which CATIA software revenue</v>
          </cell>
          <cell r="C29">
            <v>221.4</v>
          </cell>
          <cell r="D29">
            <v>221.4</v>
          </cell>
          <cell r="F29">
            <v>210.6</v>
          </cell>
          <cell r="G29">
            <v>0</v>
          </cell>
          <cell r="H29">
            <v>5.1282051282051322E-2</v>
          </cell>
          <cell r="I29">
            <v>0.05</v>
          </cell>
        </row>
        <row r="30">
          <cell r="B30" t="str">
            <v>of which ENOVIA software revenue</v>
          </cell>
          <cell r="C30">
            <v>70.900000000000006</v>
          </cell>
          <cell r="D30">
            <v>70.900000000000006</v>
          </cell>
          <cell r="F30">
            <v>63.7</v>
          </cell>
          <cell r="G30">
            <v>0</v>
          </cell>
          <cell r="H30">
            <v>0.11302982731554168</v>
          </cell>
          <cell r="I30">
            <v>0.11</v>
          </cell>
        </row>
        <row r="31">
          <cell r="B31" t="str">
            <v>of which other PLM software revenue</v>
          </cell>
          <cell r="C31">
            <v>170.1</v>
          </cell>
          <cell r="D31">
            <v>170.1</v>
          </cell>
          <cell r="F31">
            <v>174</v>
          </cell>
          <cell r="G31">
            <v>0</v>
          </cell>
          <cell r="H31">
            <v>-2.2413793103448265E-2</v>
          </cell>
          <cell r="I31">
            <v>-0.02</v>
          </cell>
        </row>
        <row r="32">
          <cell r="B32" t="str">
            <v>Mainstream 3D software revenue (Solidworks)</v>
          </cell>
          <cell r="C32">
            <v>151.5</v>
          </cell>
          <cell r="D32">
            <v>151.5</v>
          </cell>
          <cell r="F32">
            <v>142.69999999999999</v>
          </cell>
          <cell r="G32">
            <v>0</v>
          </cell>
          <cell r="H32">
            <v>6.1667834618079898E-2</v>
          </cell>
          <cell r="I32">
            <v>0.08</v>
          </cell>
        </row>
        <row r="33">
          <cell r="B33" t="str">
            <v>Software revenue</v>
          </cell>
          <cell r="C33">
            <v>613.9</v>
          </cell>
          <cell r="D33">
            <v>613.9</v>
          </cell>
          <cell r="E33">
            <v>628.29999999999995</v>
          </cell>
          <cell r="F33">
            <v>591</v>
          </cell>
          <cell r="G33">
            <v>0</v>
          </cell>
          <cell r="H33">
            <v>3.8747884940778299E-2</v>
          </cell>
          <cell r="I33">
            <v>0.04</v>
          </cell>
          <cell r="N33">
            <v>589.93100000000049</v>
          </cell>
          <cell r="O33">
            <v>256.19999999999993</v>
          </cell>
          <cell r="P33">
            <v>142.49999999999994</v>
          </cell>
          <cell r="Q33">
            <v>100.60000000000008</v>
          </cell>
        </row>
        <row r="34">
          <cell r="O34">
            <v>90.63100000000054</v>
          </cell>
        </row>
        <row r="35">
          <cell r="B35" t="str">
            <v>Non-IFRS Revenue breakdown by geography</v>
          </cell>
          <cell r="N35">
            <v>589.70000000000005</v>
          </cell>
          <cell r="O35">
            <v>90.400000000000091</v>
          </cell>
        </row>
        <row r="36">
          <cell r="B36" t="str">
            <v>Europe</v>
          </cell>
          <cell r="C36">
            <v>292.8</v>
          </cell>
          <cell r="D36">
            <v>292.8</v>
          </cell>
          <cell r="F36">
            <v>287</v>
          </cell>
          <cell r="G36">
            <v>0</v>
          </cell>
          <cell r="H36">
            <v>2.0209059233449622E-2</v>
          </cell>
          <cell r="I36">
            <v>0.04</v>
          </cell>
        </row>
        <row r="37">
          <cell r="B37" t="str">
            <v>Americas</v>
          </cell>
          <cell r="C37">
            <v>216.5</v>
          </cell>
          <cell r="D37">
            <v>216.5</v>
          </cell>
          <cell r="F37">
            <v>204.3</v>
          </cell>
          <cell r="G37">
            <v>0</v>
          </cell>
          <cell r="H37">
            <v>5.9716103768967077E-2</v>
          </cell>
          <cell r="I37">
            <v>0.04</v>
          </cell>
        </row>
        <row r="38">
          <cell r="B38" t="str">
            <v>Asia</v>
          </cell>
          <cell r="C38">
            <v>184.2</v>
          </cell>
          <cell r="D38">
            <v>184.2</v>
          </cell>
          <cell r="F38">
            <v>173.8</v>
          </cell>
          <cell r="G38">
            <v>0</v>
          </cell>
          <cell r="H38">
            <v>5.9838895281933091E-2</v>
          </cell>
          <cell r="I38">
            <v>0.05</v>
          </cell>
        </row>
        <row r="39">
          <cell r="B39" t="str">
            <v>Total Non-IFRS Revenue</v>
          </cell>
          <cell r="C39">
            <v>693.5</v>
          </cell>
          <cell r="D39">
            <v>693.5</v>
          </cell>
          <cell r="E39">
            <v>702.7</v>
          </cell>
          <cell r="F39">
            <v>665.1</v>
          </cell>
          <cell r="G39">
            <v>0</v>
          </cell>
          <cell r="H39">
            <v>4.2700345812659801E-2</v>
          </cell>
          <cell r="I39">
            <v>0.05</v>
          </cell>
        </row>
        <row r="42">
          <cell r="B42" t="str">
            <v>Dassault Systemes 4Q11 Results</v>
          </cell>
        </row>
        <row r="43">
          <cell r="B43" t="str">
            <v>EUR (m)</v>
          </cell>
          <cell r="C43" t="str">
            <v>1Q11 results</v>
          </cell>
          <cell r="G43" t="str">
            <v>% Difference vs</v>
          </cell>
          <cell r="K43" t="str">
            <v>FY12 results</v>
          </cell>
          <cell r="O43" t="str">
            <v>% Difference vs</v>
          </cell>
        </row>
        <row r="44">
          <cell r="C44" t="str">
            <v>Actual</v>
          </cell>
          <cell r="D44" t="str">
            <v>MSe</v>
          </cell>
          <cell r="E44" t="str">
            <v>Cons</v>
          </cell>
          <cell r="F44" t="str">
            <v>4Q10</v>
          </cell>
          <cell r="G44" t="str">
            <v>MSe</v>
          </cell>
          <cell r="H44" t="str">
            <v>Cons</v>
          </cell>
          <cell r="I44" t="str">
            <v>4Q10</v>
          </cell>
          <cell r="K44" t="str">
            <v>Actual</v>
          </cell>
          <cell r="L44" t="str">
            <v>MSe</v>
          </cell>
          <cell r="M44" t="str">
            <v>Cons</v>
          </cell>
          <cell r="N44" t="str">
            <v>FY10</v>
          </cell>
          <cell r="O44" t="str">
            <v>MSe</v>
          </cell>
          <cell r="P44" t="str">
            <v>Cons</v>
          </cell>
          <cell r="Q44" t="str">
            <v>4Q10</v>
          </cell>
        </row>
        <row r="46">
          <cell r="B46" t="str">
            <v>Non-IFRS Revenue breakdown by activity:</v>
          </cell>
        </row>
        <row r="47">
          <cell r="B47" t="str">
            <v>Software revenue</v>
          </cell>
          <cell r="C47">
            <v>462.1</v>
          </cell>
          <cell r="D47">
            <v>462.1</v>
          </cell>
          <cell r="E47">
            <v>433.3</v>
          </cell>
          <cell r="F47">
            <v>422.79999999999995</v>
          </cell>
          <cell r="G47">
            <v>0</v>
          </cell>
          <cell r="H47">
            <v>6.6466651280867817E-2</v>
          </cell>
          <cell r="I47">
            <v>9.2951750236518693E-2</v>
          </cell>
          <cell r="L47">
            <v>1617.4</v>
          </cell>
          <cell r="M47">
            <v>1588.4</v>
          </cell>
          <cell r="N47">
            <v>1427.2</v>
          </cell>
          <cell r="O47">
            <v>-1</v>
          </cell>
          <cell r="P47">
            <v>-1</v>
          </cell>
          <cell r="Q47">
            <v>-1</v>
          </cell>
        </row>
        <row r="48">
          <cell r="B48" t="str">
            <v>% change ex FX</v>
          </cell>
          <cell r="C48">
            <v>0.08</v>
          </cell>
        </row>
        <row r="49">
          <cell r="B49" t="str">
            <v>% organic change</v>
          </cell>
          <cell r="C49">
            <v>0.08</v>
          </cell>
          <cell r="D49">
            <v>7.1392797733614399E-2</v>
          </cell>
          <cell r="F49">
            <v>0.15149761593471078</v>
          </cell>
          <cell r="L49">
            <v>0</v>
          </cell>
          <cell r="N49">
            <v>0</v>
          </cell>
        </row>
        <row r="50">
          <cell r="B50" t="str">
            <v>of which new licenses revenue</v>
          </cell>
          <cell r="C50">
            <v>155.4</v>
          </cell>
          <cell r="D50">
            <v>155.4</v>
          </cell>
          <cell r="F50">
            <v>135.80000000000001</v>
          </cell>
          <cell r="G50">
            <v>0</v>
          </cell>
          <cell r="I50">
            <v>0.14432989690721643</v>
          </cell>
          <cell r="L50">
            <v>465</v>
          </cell>
          <cell r="N50">
            <v>393.90000000000003</v>
          </cell>
          <cell r="O50">
            <v>-1</v>
          </cell>
          <cell r="Q50">
            <v>-1</v>
          </cell>
        </row>
        <row r="51">
          <cell r="B51" t="str">
            <v>% change ex FX</v>
          </cell>
          <cell r="C51">
            <v>0.13</v>
          </cell>
        </row>
        <row r="52">
          <cell r="B52" t="str">
            <v>% organic change</v>
          </cell>
          <cell r="C52">
            <v>0.12</v>
          </cell>
          <cell r="D52">
            <v>0.11840823398379441</v>
          </cell>
          <cell r="F52">
            <v>0.2090391014106292</v>
          </cell>
          <cell r="L52">
            <v>0</v>
          </cell>
          <cell r="N52">
            <v>0</v>
          </cell>
        </row>
        <row r="53">
          <cell r="B53" t="str">
            <v>of which periodic licenses, maintenance etc</v>
          </cell>
          <cell r="C53">
            <v>306.7</v>
          </cell>
          <cell r="D53">
            <v>306.7</v>
          </cell>
          <cell r="F53">
            <v>287</v>
          </cell>
          <cell r="G53">
            <v>0</v>
          </cell>
          <cell r="I53">
            <v>6.86411149825783E-2</v>
          </cell>
          <cell r="L53">
            <v>1152.4000000000001</v>
          </cell>
          <cell r="N53">
            <v>1033.3</v>
          </cell>
          <cell r="O53">
            <v>-1</v>
          </cell>
          <cell r="Q53">
            <v>-1</v>
          </cell>
        </row>
        <row r="54">
          <cell r="B54" t="str">
            <v>% change ex FX</v>
          </cell>
          <cell r="C54">
            <v>0.06</v>
          </cell>
        </row>
        <row r="55">
          <cell r="B55" t="str">
            <v>% organic change</v>
          </cell>
          <cell r="C55">
            <v>0.06</v>
          </cell>
          <cell r="D55">
            <v>4.9146469361578182E-2</v>
          </cell>
          <cell r="F55">
            <v>0.12427520083920518</v>
          </cell>
          <cell r="L55">
            <v>0</v>
          </cell>
          <cell r="N55">
            <v>0</v>
          </cell>
        </row>
        <row r="56">
          <cell r="B56" t="str">
            <v>Services and other revenue</v>
          </cell>
          <cell r="C56">
            <v>50</v>
          </cell>
          <cell r="D56">
            <v>50</v>
          </cell>
          <cell r="E56">
            <v>44.5</v>
          </cell>
          <cell r="F56">
            <v>44.5</v>
          </cell>
          <cell r="G56">
            <v>0</v>
          </cell>
          <cell r="H56">
            <v>0.12359550561797761</v>
          </cell>
          <cell r="I56">
            <v>0.12359550561797761</v>
          </cell>
          <cell r="L56">
            <v>166.1</v>
          </cell>
          <cell r="M56">
            <v>160.5</v>
          </cell>
          <cell r="N56">
            <v>152.80000000000001</v>
          </cell>
          <cell r="O56">
            <v>-1</v>
          </cell>
          <cell r="P56">
            <v>-1</v>
          </cell>
          <cell r="Q56">
            <v>-1</v>
          </cell>
        </row>
        <row r="57">
          <cell r="B57" t="str">
            <v>Total Non-IFRS Revenue</v>
          </cell>
          <cell r="C57">
            <v>512.1</v>
          </cell>
          <cell r="D57">
            <v>512.1</v>
          </cell>
          <cell r="E57">
            <v>477.8</v>
          </cell>
          <cell r="F57">
            <v>467.29999999999995</v>
          </cell>
          <cell r="G57">
            <v>0</v>
          </cell>
          <cell r="H57">
            <v>7.1787358727501083E-2</v>
          </cell>
          <cell r="I57">
            <v>9.5869890862401164E-2</v>
          </cell>
          <cell r="K57">
            <v>0</v>
          </cell>
          <cell r="L57">
            <v>1783.5</v>
          </cell>
          <cell r="M57">
            <v>1749</v>
          </cell>
          <cell r="N57">
            <v>1580</v>
          </cell>
          <cell r="O57">
            <v>-1</v>
          </cell>
          <cell r="P57">
            <v>-1</v>
          </cell>
          <cell r="Q57">
            <v>-1</v>
          </cell>
        </row>
        <row r="58">
          <cell r="B58" t="str">
            <v>% change ex FX</v>
          </cell>
          <cell r="C58">
            <v>0.09</v>
          </cell>
        </row>
        <row r="59">
          <cell r="B59" t="str">
            <v>% organic change</v>
          </cell>
          <cell r="C59">
            <v>0.09</v>
          </cell>
          <cell r="D59">
            <v>7.1392797733614399E-2</v>
          </cell>
          <cell r="F59">
            <v>0.15149761593471078</v>
          </cell>
          <cell r="L59">
            <v>0</v>
          </cell>
          <cell r="N59">
            <v>0</v>
          </cell>
        </row>
        <row r="61">
          <cell r="B61" t="str">
            <v>DS non IFRS EBITA (pre options)</v>
          </cell>
          <cell r="C61">
            <v>167.9</v>
          </cell>
          <cell r="D61">
            <v>167.90000000000003</v>
          </cell>
          <cell r="E61">
            <v>159.69999999999999</v>
          </cell>
          <cell r="F61">
            <v>158.59999999999997</v>
          </cell>
          <cell r="G61">
            <v>0</v>
          </cell>
          <cell r="H61">
            <v>5.134627426424565E-2</v>
          </cell>
          <cell r="I61">
            <v>5.8638083228247373E-2</v>
          </cell>
          <cell r="L61">
            <v>542.6</v>
          </cell>
          <cell r="M61">
            <v>534</v>
          </cell>
          <cell r="N61">
            <v>451.69999999999993</v>
          </cell>
          <cell r="O61">
            <v>-1</v>
          </cell>
          <cell r="P61">
            <v>-1</v>
          </cell>
          <cell r="Q61">
            <v>-1</v>
          </cell>
        </row>
        <row r="62">
          <cell r="B62" t="str">
            <v>Margin (%)</v>
          </cell>
          <cell r="C62">
            <v>0.32786565123999217</v>
          </cell>
          <cell r="D62">
            <v>0.32786565123999223</v>
          </cell>
          <cell r="E62">
            <v>0.3342402678945165</v>
          </cell>
          <cell r="F62">
            <v>0.3393965332762679</v>
          </cell>
          <cell r="L62">
            <v>0.30423324922904404</v>
          </cell>
          <cell r="M62">
            <v>0.30531732418524871</v>
          </cell>
          <cell r="N62">
            <v>0.28588607594936705</v>
          </cell>
        </row>
        <row r="63">
          <cell r="B63" t="str">
            <v>MS EBIT (post options)</v>
          </cell>
          <cell r="C63">
            <v>164.1</v>
          </cell>
          <cell r="D63">
            <v>161.90000000000003</v>
          </cell>
          <cell r="F63">
            <v>154.69999999999996</v>
          </cell>
          <cell r="G63">
            <v>1.358863495985152E-2</v>
          </cell>
          <cell r="I63">
            <v>6.0762766645119815E-2</v>
          </cell>
          <cell r="L63">
            <v>521.9</v>
          </cell>
          <cell r="N63">
            <v>430.79999999999995</v>
          </cell>
          <cell r="O63">
            <v>-1</v>
          </cell>
          <cell r="Q63">
            <v>-1</v>
          </cell>
        </row>
        <row r="64">
          <cell r="B64" t="str">
            <v>Margin (%)</v>
          </cell>
          <cell r="C64">
            <v>0.32044522554188631</v>
          </cell>
          <cell r="D64">
            <v>0.31614918961140409</v>
          </cell>
          <cell r="F64">
            <v>0.33105071688422849</v>
          </cell>
          <cell r="L64">
            <v>0.29262685730305577</v>
          </cell>
          <cell r="N64">
            <v>0.27265822784810123</v>
          </cell>
        </row>
        <row r="66">
          <cell r="B66" t="str">
            <v>DS non IFRS Fully Diluted EPS</v>
          </cell>
          <cell r="C66">
            <v>0.87</v>
          </cell>
          <cell r="D66">
            <v>0.43669354838709701</v>
          </cell>
          <cell r="E66">
            <v>0.88</v>
          </cell>
          <cell r="F66">
            <v>0.413821138211382</v>
          </cell>
          <cell r="G66">
            <v>0.99224376731301822</v>
          </cell>
          <cell r="H66">
            <v>-1.1363636363636354E-2</v>
          </cell>
          <cell r="I66">
            <v>1.1023575638506884</v>
          </cell>
          <cell r="L66">
            <v>1.4615306972341888</v>
          </cell>
          <cell r="M66">
            <v>2.95</v>
          </cell>
          <cell r="N66">
            <v>1.2479872596750188</v>
          </cell>
          <cell r="O66">
            <v>-1</v>
          </cell>
          <cell r="P66">
            <v>-1</v>
          </cell>
          <cell r="Q66">
            <v>-1</v>
          </cell>
        </row>
        <row r="68">
          <cell r="C68" t="str">
            <v>4Q11 results</v>
          </cell>
          <cell r="G68" t="str">
            <v>% Difference vs</v>
          </cell>
          <cell r="I68" t="str">
            <v>y/y gwth c/c</v>
          </cell>
          <cell r="K68" t="str">
            <v>FY11 results</v>
          </cell>
          <cell r="O68" t="str">
            <v>% Difference vs</v>
          </cell>
          <cell r="Q68" t="str">
            <v>y/y gwth c/c</v>
          </cell>
        </row>
        <row r="69">
          <cell r="C69" t="str">
            <v>Actual</v>
          </cell>
          <cell r="D69" t="str">
            <v>MSe</v>
          </cell>
          <cell r="E69" t="str">
            <v>Cons</v>
          </cell>
          <cell r="F69" t="str">
            <v>4Q10</v>
          </cell>
          <cell r="G69" t="str">
            <v>MSe</v>
          </cell>
          <cell r="H69" t="str">
            <v>4Q10</v>
          </cell>
          <cell r="K69" t="str">
            <v>Actual</v>
          </cell>
          <cell r="L69" t="str">
            <v>MSe</v>
          </cell>
          <cell r="M69" t="str">
            <v>Cons</v>
          </cell>
          <cell r="N69" t="str">
            <v>FY10</v>
          </cell>
          <cell r="O69" t="str">
            <v>MSe</v>
          </cell>
          <cell r="P69" t="str">
            <v>3Q10</v>
          </cell>
        </row>
        <row r="71">
          <cell r="B71" t="str">
            <v>Non-IFRS S/W rev breakdown by product line:</v>
          </cell>
        </row>
        <row r="72">
          <cell r="B72" t="str">
            <v>PLM software revenue</v>
          </cell>
          <cell r="C72">
            <v>371</v>
          </cell>
          <cell r="D72">
            <v>371</v>
          </cell>
          <cell r="F72">
            <v>340</v>
          </cell>
          <cell r="G72">
            <v>0</v>
          </cell>
          <cell r="H72">
            <v>9.1176470588235192E-2</v>
          </cell>
          <cell r="I72">
            <v>0.08</v>
          </cell>
          <cell r="L72">
            <v>1276.4000000000001</v>
          </cell>
          <cell r="N72">
            <v>1115.7</v>
          </cell>
          <cell r="O72">
            <v>-1</v>
          </cell>
          <cell r="P72">
            <v>-1</v>
          </cell>
        </row>
        <row r="73">
          <cell r="B73" t="str">
            <v>of which CATIA software revenue</v>
          </cell>
          <cell r="C73">
            <v>220.2</v>
          </cell>
          <cell r="D73">
            <v>220.2</v>
          </cell>
          <cell r="F73">
            <v>202.8</v>
          </cell>
          <cell r="G73">
            <v>0</v>
          </cell>
          <cell r="H73">
            <v>8.579881656804722E-2</v>
          </cell>
          <cell r="I73">
            <v>7.0000000000000007E-2</v>
          </cell>
          <cell r="L73">
            <v>762.90000000000009</v>
          </cell>
          <cell r="N73">
            <v>667.3</v>
          </cell>
          <cell r="O73">
            <v>-1</v>
          </cell>
          <cell r="P73">
            <v>-1</v>
          </cell>
        </row>
        <row r="74">
          <cell r="B74" t="str">
            <v>of which ENOVIA software revenue</v>
          </cell>
          <cell r="C74">
            <v>70.7</v>
          </cell>
          <cell r="D74">
            <v>70.7</v>
          </cell>
          <cell r="F74">
            <v>67.900000000000006</v>
          </cell>
          <cell r="G74">
            <v>0</v>
          </cell>
          <cell r="H74">
            <v>4.1237113402061709E-2</v>
          </cell>
          <cell r="I74">
            <v>0.03</v>
          </cell>
          <cell r="L74">
            <v>229.89999999999998</v>
          </cell>
          <cell r="N74">
            <v>205.20000000000002</v>
          </cell>
          <cell r="O74">
            <v>-1</v>
          </cell>
          <cell r="P74">
            <v>-1</v>
          </cell>
        </row>
        <row r="75">
          <cell r="B75" t="str">
            <v>of which other PLM software revenue</v>
          </cell>
          <cell r="C75">
            <v>80.100000000000023</v>
          </cell>
          <cell r="D75">
            <v>80.100000000000023</v>
          </cell>
          <cell r="F75">
            <v>69.300000000000011</v>
          </cell>
          <cell r="G75">
            <v>0</v>
          </cell>
          <cell r="H75">
            <v>0.1558441558441559</v>
          </cell>
          <cell r="L75">
            <v>283.60000000000002</v>
          </cell>
          <cell r="N75">
            <v>243.20000000000005</v>
          </cell>
          <cell r="O75">
            <v>-1</v>
          </cell>
          <cell r="P75">
            <v>-1</v>
          </cell>
        </row>
        <row r="76">
          <cell r="B76" t="str">
            <v>Mainstream 3D software revenue (Solidworks)</v>
          </cell>
          <cell r="C76">
            <v>91.1</v>
          </cell>
          <cell r="D76">
            <v>91.1</v>
          </cell>
          <cell r="F76">
            <v>82.8</v>
          </cell>
          <cell r="G76">
            <v>0</v>
          </cell>
          <cell r="H76">
            <v>0.10024154589371981</v>
          </cell>
          <cell r="I76">
            <v>0.09</v>
          </cell>
          <cell r="L76">
            <v>341</v>
          </cell>
          <cell r="N76">
            <v>311.5</v>
          </cell>
          <cell r="O76">
            <v>-1</v>
          </cell>
          <cell r="P76">
            <v>-1</v>
          </cell>
        </row>
        <row r="77">
          <cell r="B77" t="str">
            <v>Software revenue</v>
          </cell>
          <cell r="C77">
            <v>462.1</v>
          </cell>
          <cell r="D77">
            <v>462.1</v>
          </cell>
          <cell r="E77">
            <v>433.3</v>
          </cell>
          <cell r="F77">
            <v>422.8</v>
          </cell>
          <cell r="G77">
            <v>0</v>
          </cell>
          <cell r="H77">
            <v>9.2951750236518471E-2</v>
          </cell>
          <cell r="I77">
            <v>0.08</v>
          </cell>
          <cell r="K77">
            <v>0</v>
          </cell>
          <cell r="L77">
            <v>1617.4</v>
          </cell>
          <cell r="M77">
            <v>1588.4</v>
          </cell>
          <cell r="N77">
            <v>1427.2</v>
          </cell>
          <cell r="O77">
            <v>-1</v>
          </cell>
          <cell r="P77">
            <v>-1</v>
          </cell>
        </row>
        <row r="79">
          <cell r="B79" t="str">
            <v>Non-IFRS Revenue breakdown by geography</v>
          </cell>
        </row>
        <row r="80">
          <cell r="B80" t="str">
            <v>Europe</v>
          </cell>
          <cell r="C80">
            <v>251.4</v>
          </cell>
          <cell r="D80">
            <v>251.4</v>
          </cell>
          <cell r="F80">
            <v>218.7</v>
          </cell>
          <cell r="G80">
            <v>0</v>
          </cell>
          <cell r="H80">
            <v>0.14951989026063117</v>
          </cell>
          <cell r="I80">
            <v>0.15</v>
          </cell>
          <cell r="L80">
            <v>827.30000000000007</v>
          </cell>
          <cell r="N80">
            <v>709.2</v>
          </cell>
          <cell r="O80">
            <v>-1</v>
          </cell>
          <cell r="P80">
            <v>-1</v>
          </cell>
        </row>
        <row r="81">
          <cell r="B81" t="str">
            <v>Americas</v>
          </cell>
          <cell r="C81">
            <v>135.6</v>
          </cell>
          <cell r="D81">
            <v>135.6</v>
          </cell>
          <cell r="F81">
            <v>134.1</v>
          </cell>
          <cell r="G81">
            <v>0</v>
          </cell>
          <cell r="H81">
            <v>1.1185682326621871E-2</v>
          </cell>
          <cell r="I81">
            <v>0</v>
          </cell>
          <cell r="L81">
            <v>488.79999999999995</v>
          </cell>
          <cell r="N81">
            <v>461.79999999999995</v>
          </cell>
          <cell r="O81">
            <v>-1</v>
          </cell>
          <cell r="P81">
            <v>-1</v>
          </cell>
        </row>
        <row r="82">
          <cell r="B82" t="str">
            <v>Asia</v>
          </cell>
          <cell r="C82">
            <v>125.1</v>
          </cell>
          <cell r="D82">
            <v>125.1</v>
          </cell>
          <cell r="F82">
            <v>114.5</v>
          </cell>
          <cell r="G82">
            <v>0</v>
          </cell>
          <cell r="H82">
            <v>9.2576419213973749E-2</v>
          </cell>
          <cell r="I82">
            <v>0.06</v>
          </cell>
          <cell r="L82">
            <v>467.4</v>
          </cell>
          <cell r="N82">
            <v>409</v>
          </cell>
          <cell r="O82">
            <v>-1</v>
          </cell>
          <cell r="P82">
            <v>-1</v>
          </cell>
        </row>
        <row r="83">
          <cell r="B83" t="str">
            <v>Total Non-IFRS Revenue</v>
          </cell>
          <cell r="C83">
            <v>512.1</v>
          </cell>
          <cell r="D83">
            <v>512.1</v>
          </cell>
          <cell r="E83">
            <v>477.8</v>
          </cell>
          <cell r="F83">
            <v>467.29999999999995</v>
          </cell>
          <cell r="G83">
            <v>0</v>
          </cell>
          <cell r="H83">
            <v>9.5869890862401164E-2</v>
          </cell>
          <cell r="I83">
            <v>0.1</v>
          </cell>
          <cell r="K83">
            <v>0</v>
          </cell>
          <cell r="L83">
            <v>1783.5</v>
          </cell>
          <cell r="M83">
            <v>1749</v>
          </cell>
          <cell r="N83">
            <v>1580</v>
          </cell>
          <cell r="O83">
            <v>-1</v>
          </cell>
          <cell r="P83">
            <v>-1</v>
          </cell>
        </row>
        <row r="93">
          <cell r="B93" t="str">
            <v>Dassault Systemes 3Q11 Results</v>
          </cell>
        </row>
        <row r="94">
          <cell r="B94" t="str">
            <v>EUR (m)</v>
          </cell>
          <cell r="C94" t="str">
            <v>3Q11 results</v>
          </cell>
          <cell r="G94" t="str">
            <v>% Difference vs</v>
          </cell>
        </row>
        <row r="95">
          <cell r="C95" t="str">
            <v>Actual</v>
          </cell>
          <cell r="D95" t="str">
            <v>MSe</v>
          </cell>
          <cell r="E95" t="str">
            <v>Cons</v>
          </cell>
          <cell r="F95" t="str">
            <v>3Q10</v>
          </cell>
          <cell r="G95" t="str">
            <v>MSe</v>
          </cell>
          <cell r="H95" t="str">
            <v>Cons</v>
          </cell>
          <cell r="I95" t="str">
            <v>3Q10</v>
          </cell>
        </row>
        <row r="97">
          <cell r="B97" t="str">
            <v>Non-IFRS Revenue breakdown by activity:</v>
          </cell>
        </row>
        <row r="98">
          <cell r="B98" t="str">
            <v>Software revenue</v>
          </cell>
          <cell r="C98">
            <v>394.3</v>
          </cell>
          <cell r="D98">
            <v>381.74282207214384</v>
          </cell>
          <cell r="E98">
            <v>377.7</v>
          </cell>
          <cell r="F98">
            <v>371.90000000000003</v>
          </cell>
          <cell r="G98">
            <v>3.2894339334776257E-2</v>
          </cell>
          <cell r="H98">
            <v>4.3950225046333058E-2</v>
          </cell>
          <cell r="I98">
            <v>-6.7407757805108659E-2</v>
          </cell>
        </row>
        <row r="99">
          <cell r="B99" t="str">
            <v>% change ex FX</v>
          </cell>
          <cell r="C99">
            <v>0.1</v>
          </cell>
        </row>
        <row r="100">
          <cell r="B100" t="str">
            <v>% organic change</v>
          </cell>
          <cell r="C100">
            <v>0.1</v>
          </cell>
          <cell r="D100">
            <v>4.908072143291986E-2</v>
          </cell>
          <cell r="F100">
            <v>0.18871966609596602</v>
          </cell>
        </row>
        <row r="101">
          <cell r="B101" t="str">
            <v>of which new licenses revenue</v>
          </cell>
          <cell r="C101">
            <v>100.2</v>
          </cell>
          <cell r="D101">
            <v>99.560322072143833</v>
          </cell>
          <cell r="F101">
            <v>96.6</v>
          </cell>
          <cell r="G101">
            <v>6.4250287116653926E-3</v>
          </cell>
          <cell r="I101">
            <v>-0.26215022091310758</v>
          </cell>
        </row>
        <row r="102">
          <cell r="B102" t="str">
            <v>% change ex FX</v>
          </cell>
          <cell r="C102">
            <v>7.0000000000000007E-2</v>
          </cell>
        </row>
        <row r="103">
          <cell r="B103" t="str">
            <v>% organic change</v>
          </cell>
          <cell r="C103">
            <v>0.06</v>
          </cell>
          <cell r="D103">
            <v>5.0133018912643212E-2</v>
          </cell>
          <cell r="F103">
            <v>0.39904305677590179</v>
          </cell>
        </row>
        <row r="104">
          <cell r="B104" t="str">
            <v>of which periodic licenses, maintenance etc</v>
          </cell>
          <cell r="C104">
            <v>294.10000000000002</v>
          </cell>
          <cell r="D104">
            <v>282.1825</v>
          </cell>
          <cell r="F104">
            <v>275.3</v>
          </cell>
          <cell r="G104">
            <v>4.2233306459472209E-2</v>
          </cell>
          <cell r="I104">
            <v>2.4738675958188239E-2</v>
          </cell>
        </row>
        <row r="105">
          <cell r="B105" t="str">
            <v>% change ex FX</v>
          </cell>
          <cell r="C105">
            <v>0.1</v>
          </cell>
        </row>
        <row r="106">
          <cell r="B106" t="str">
            <v>% organic change</v>
          </cell>
          <cell r="C106">
            <v>0.1</v>
          </cell>
          <cell r="D106">
            <v>4.8711480835240017E-2</v>
          </cell>
          <cell r="F106">
            <v>0.12563334148937622</v>
          </cell>
        </row>
        <row r="107">
          <cell r="B107" t="str">
            <v>Services and other revenue</v>
          </cell>
          <cell r="C107">
            <v>38.6</v>
          </cell>
          <cell r="D107">
            <v>37.637999999999998</v>
          </cell>
          <cell r="E107">
            <v>38.799999999999997</v>
          </cell>
          <cell r="F107">
            <v>36.9</v>
          </cell>
          <cell r="G107">
            <v>2.5559275200595311E-2</v>
          </cell>
          <cell r="H107">
            <v>-5.1546391752576026E-3</v>
          </cell>
          <cell r="I107">
            <v>-0.13258426966292136</v>
          </cell>
        </row>
        <row r="108">
          <cell r="B108" t="str">
            <v>Total Non-IFRS Revenue</v>
          </cell>
          <cell r="C108">
            <v>432.90000000000003</v>
          </cell>
          <cell r="D108">
            <v>419.38082207214381</v>
          </cell>
          <cell r="E108">
            <v>416.4</v>
          </cell>
          <cell r="F108">
            <v>408.8</v>
          </cell>
          <cell r="G108">
            <v>3.2236042318431579E-2</v>
          </cell>
          <cell r="H108">
            <v>3.9625360230547635E-2</v>
          </cell>
          <cell r="I108">
            <v>-7.3614380483629227E-2</v>
          </cell>
        </row>
        <row r="109">
          <cell r="B109" t="str">
            <v>% change ex FX</v>
          </cell>
          <cell r="C109">
            <v>0.09</v>
          </cell>
        </row>
        <row r="110">
          <cell r="B110" t="str">
            <v>% organic change</v>
          </cell>
          <cell r="C110">
            <v>0.09</v>
          </cell>
          <cell r="D110">
            <v>4.908072143291986E-2</v>
          </cell>
          <cell r="F110">
            <v>0.18871966609596602</v>
          </cell>
        </row>
        <row r="112">
          <cell r="B112" t="str">
            <v>DS non IFRS EBITA (pre options)</v>
          </cell>
          <cell r="C112">
            <v>138.4</v>
          </cell>
          <cell r="D112">
            <v>115.59471909630943</v>
          </cell>
          <cell r="E112">
            <v>114.7</v>
          </cell>
          <cell r="F112">
            <v>114.5</v>
          </cell>
          <cell r="G112">
            <v>0.19728652902119181</v>
          </cell>
          <cell r="H112">
            <v>0.20662598081952921</v>
          </cell>
          <cell r="I112">
            <v>-0.12736443883984849</v>
          </cell>
        </row>
        <row r="113">
          <cell r="B113" t="str">
            <v>Margin (%)</v>
          </cell>
          <cell r="C113">
            <v>0.31970431970431967</v>
          </cell>
          <cell r="D113">
            <v>0.27563186729703226</v>
          </cell>
          <cell r="E113">
            <v>0.27545629202689725</v>
          </cell>
          <cell r="F113">
            <v>0.28008806262230918</v>
          </cell>
        </row>
        <row r="114">
          <cell r="B114" t="str">
            <v>MS EBIT (post options)</v>
          </cell>
          <cell r="C114">
            <v>131.5</v>
          </cell>
          <cell r="D114">
            <v>111.84471909630943</v>
          </cell>
          <cell r="F114">
            <v>109.2</v>
          </cell>
          <cell r="G114">
            <v>0.17573722802920555</v>
          </cell>
          <cell r="I114">
            <v>-0.14996767937944389</v>
          </cell>
        </row>
        <row r="115">
          <cell r="B115" t="str">
            <v>Margin (%)</v>
          </cell>
          <cell r="C115">
            <v>0.30376530376530375</v>
          </cell>
          <cell r="D115">
            <v>0.26669011363869516</v>
          </cell>
          <cell r="F115">
            <v>0.26712328767123289</v>
          </cell>
        </row>
        <row r="117">
          <cell r="B117" t="str">
            <v>DS non IFRS Fully Diluted EPS</v>
          </cell>
          <cell r="C117">
            <v>0.7704122877930476</v>
          </cell>
          <cell r="D117">
            <v>0.65339530258528367</v>
          </cell>
          <cell r="E117">
            <v>0.64</v>
          </cell>
          <cell r="F117">
            <v>0.32633744855967078</v>
          </cell>
          <cell r="G117">
            <v>0.17909064351207271</v>
          </cell>
          <cell r="H117">
            <v>0.20376919967663687</v>
          </cell>
          <cell r="I117">
            <v>0.86170356382209978</v>
          </cell>
        </row>
        <row r="119">
          <cell r="C119" t="str">
            <v>3Q11 results</v>
          </cell>
          <cell r="G119" t="str">
            <v>% Difference vs</v>
          </cell>
          <cell r="I119" t="str">
            <v>y/y gwth c/c</v>
          </cell>
        </row>
        <row r="120">
          <cell r="C120" t="str">
            <v>Actual</v>
          </cell>
          <cell r="D120" t="str">
            <v>MSe</v>
          </cell>
          <cell r="E120" t="str">
            <v>Cons</v>
          </cell>
          <cell r="F120" t="str">
            <v>3Q10</v>
          </cell>
          <cell r="G120" t="str">
            <v>MSe</v>
          </cell>
          <cell r="H120" t="str">
            <v>3Q10</v>
          </cell>
        </row>
        <row r="122">
          <cell r="B122" t="str">
            <v>Non-IFRS S/W rev breakdown by product line:</v>
          </cell>
        </row>
        <row r="123">
          <cell r="B123" t="str">
            <v>PLM software revenue</v>
          </cell>
          <cell r="C123">
            <v>309.89999999999998</v>
          </cell>
          <cell r="D123">
            <v>309.89999999999998</v>
          </cell>
          <cell r="F123">
            <v>292.10000000000002</v>
          </cell>
          <cell r="G123">
            <v>0</v>
          </cell>
          <cell r="H123">
            <v>6.0938034919547857E-2</v>
          </cell>
          <cell r="I123">
            <v>0.09</v>
          </cell>
        </row>
        <row r="124">
          <cell r="B124" t="str">
            <v>of which CATIA software revenue</v>
          </cell>
          <cell r="C124">
            <v>182.6</v>
          </cell>
          <cell r="D124">
            <v>182.6</v>
          </cell>
          <cell r="F124">
            <v>175.7</v>
          </cell>
          <cell r="G124">
            <v>0</v>
          </cell>
          <cell r="H124">
            <v>3.9271485486624957E-2</v>
          </cell>
          <cell r="I124">
            <v>7.0000000000000007E-2</v>
          </cell>
        </row>
        <row r="125">
          <cell r="B125" t="str">
            <v>of which ENOVIA software revenue</v>
          </cell>
          <cell r="C125">
            <v>55.3</v>
          </cell>
          <cell r="D125">
            <v>55.3</v>
          </cell>
          <cell r="F125">
            <v>52.6</v>
          </cell>
          <cell r="G125">
            <v>0</v>
          </cell>
          <cell r="H125">
            <v>5.1330798479087392E-2</v>
          </cell>
          <cell r="I125">
            <v>0.1</v>
          </cell>
        </row>
        <row r="126">
          <cell r="B126" t="str">
            <v>of which other PLM software revenue</v>
          </cell>
          <cell r="C126">
            <v>71.999999999999972</v>
          </cell>
          <cell r="D126">
            <v>71.999999999999972</v>
          </cell>
          <cell r="F126">
            <v>63.80000000000004</v>
          </cell>
          <cell r="G126">
            <v>0</v>
          </cell>
          <cell r="H126">
            <v>0.12852664576802386</v>
          </cell>
        </row>
        <row r="127">
          <cell r="B127" t="str">
            <v>Mainstream 3D software revenue (Solidworks)</v>
          </cell>
          <cell r="C127">
            <v>84.4</v>
          </cell>
          <cell r="D127">
            <v>84.4</v>
          </cell>
          <cell r="F127">
            <v>79.8</v>
          </cell>
          <cell r="G127">
            <v>0</v>
          </cell>
          <cell r="H127">
            <v>5.7644110275689275E-2</v>
          </cell>
          <cell r="I127">
            <v>0.11</v>
          </cell>
        </row>
        <row r="128">
          <cell r="B128" t="str">
            <v>Software revenue</v>
          </cell>
          <cell r="C128">
            <v>394.29999999999995</v>
          </cell>
          <cell r="D128">
            <v>394.29999999999995</v>
          </cell>
          <cell r="E128">
            <v>377.7</v>
          </cell>
          <cell r="F128">
            <v>371.90000000000003</v>
          </cell>
          <cell r="G128">
            <v>0</v>
          </cell>
          <cell r="H128">
            <v>6.0231244958321994E-2</v>
          </cell>
          <cell r="I128">
            <v>0.1</v>
          </cell>
        </row>
        <row r="130">
          <cell r="B130" t="str">
            <v>Non-IFRS Revenue breakdown by geography</v>
          </cell>
        </row>
        <row r="131">
          <cell r="B131" t="str">
            <v>Europe</v>
          </cell>
          <cell r="C131">
            <v>200.7</v>
          </cell>
          <cell r="D131">
            <v>200.7</v>
          </cell>
          <cell r="F131">
            <v>174.5</v>
          </cell>
          <cell r="G131">
            <v>0</v>
          </cell>
          <cell r="H131">
            <v>0.15014326647564458</v>
          </cell>
          <cell r="I131">
            <v>0.15</v>
          </cell>
        </row>
        <row r="132">
          <cell r="B132" t="str">
            <v>Americas</v>
          </cell>
          <cell r="C132">
            <v>116</v>
          </cell>
          <cell r="D132">
            <v>116</v>
          </cell>
          <cell r="F132">
            <v>118.7</v>
          </cell>
          <cell r="G132">
            <v>0</v>
          </cell>
          <cell r="H132">
            <v>-2.2746419545071617E-2</v>
          </cell>
          <cell r="I132">
            <v>7.0000000000000007E-2</v>
          </cell>
        </row>
        <row r="133">
          <cell r="B133" t="str">
            <v>Asia</v>
          </cell>
          <cell r="C133">
            <v>116.2</v>
          </cell>
          <cell r="D133">
            <v>116.2</v>
          </cell>
          <cell r="F133">
            <v>115.6</v>
          </cell>
          <cell r="G133">
            <v>0</v>
          </cell>
          <cell r="H133">
            <v>5.1903114186850896E-3</v>
          </cell>
          <cell r="I133">
            <v>0.03</v>
          </cell>
        </row>
        <row r="134">
          <cell r="B134" t="str">
            <v>Total Non-IFRS Revenue</v>
          </cell>
          <cell r="C134">
            <v>432.9</v>
          </cell>
          <cell r="D134">
            <v>432.9</v>
          </cell>
          <cell r="E134">
            <v>416.4</v>
          </cell>
          <cell r="F134">
            <v>408.8</v>
          </cell>
          <cell r="G134">
            <v>0</v>
          </cell>
          <cell r="H134">
            <v>5.895303326810164E-2</v>
          </cell>
          <cell r="I134">
            <v>0.09</v>
          </cell>
        </row>
        <row r="138">
          <cell r="B138" t="str">
            <v>Acquisitions (IBM Exalead)</v>
          </cell>
          <cell r="D138">
            <v>54.368000000000002</v>
          </cell>
        </row>
        <row r="139">
          <cell r="B139" t="str">
            <v>of which new licenses revenue</v>
          </cell>
          <cell r="D139">
            <v>11.96096</v>
          </cell>
        </row>
        <row r="140">
          <cell r="B140" t="str">
            <v>of which periodic licenses, maintenance etc</v>
          </cell>
          <cell r="D140">
            <v>42.407040000000002</v>
          </cell>
        </row>
        <row r="143">
          <cell r="B143" t="str">
            <v>Dassault Systemes 4Q10 Results</v>
          </cell>
        </row>
        <row r="144">
          <cell r="B144" t="str">
            <v>EUR (m)</v>
          </cell>
          <cell r="C144" t="str">
            <v>4Q10 results</v>
          </cell>
          <cell r="G144" t="str">
            <v>% Difference vs</v>
          </cell>
        </row>
        <row r="145">
          <cell r="C145" t="str">
            <v>Actual</v>
          </cell>
          <cell r="D145" t="str">
            <v>MSe</v>
          </cell>
          <cell r="E145" t="str">
            <v>Cons</v>
          </cell>
          <cell r="F145" t="str">
            <v>4Q09</v>
          </cell>
          <cell r="G145" t="str">
            <v>MSe</v>
          </cell>
          <cell r="H145" t="str">
            <v>Cons</v>
          </cell>
          <cell r="I145" t="str">
            <v>4Q09</v>
          </cell>
        </row>
        <row r="147">
          <cell r="B147" t="str">
            <v>Non-IFRS Revenue breakdown by activity:</v>
          </cell>
        </row>
        <row r="148">
          <cell r="B148" t="str">
            <v>Software revenue</v>
          </cell>
          <cell r="C148">
            <v>422.8</v>
          </cell>
          <cell r="D148">
            <v>410.00913578203443</v>
          </cell>
          <cell r="E148">
            <v>402.6</v>
          </cell>
          <cell r="F148">
            <v>301.20000000000005</v>
          </cell>
          <cell r="G148">
            <v>3.1196534666401599E-2</v>
          </cell>
          <cell r="H148">
            <v>5.0173869846001029E-2</v>
          </cell>
          <cell r="I148">
            <v>0.40371845949535179</v>
          </cell>
        </row>
        <row r="149">
          <cell r="B149" t="str">
            <v>% change ex FX</v>
          </cell>
          <cell r="C149">
            <v>0.33</v>
          </cell>
          <cell r="D149">
            <v>0.29320313795680975</v>
          </cell>
        </row>
        <row r="150">
          <cell r="B150" t="str">
            <v>% organic change</v>
          </cell>
          <cell r="C150">
            <v>0.13822709163346625</v>
          </cell>
          <cell r="D150">
            <v>0.10224180233349123</v>
          </cell>
          <cell r="F150">
            <v>-5.3226731200898714E-2</v>
          </cell>
        </row>
        <row r="151">
          <cell r="B151" t="str">
            <v>of which new licenses revenue</v>
          </cell>
          <cell r="C151">
            <v>135.80000000000001</v>
          </cell>
          <cell r="D151">
            <v>129.98113578203441</v>
          </cell>
          <cell r="F151">
            <v>96.7</v>
          </cell>
          <cell r="G151">
            <v>4.4766990094033732E-2</v>
          </cell>
          <cell r="I151">
            <v>0.40434332988624622</v>
          </cell>
        </row>
        <row r="152">
          <cell r="B152" t="str">
            <v>% change ex FX</v>
          </cell>
          <cell r="C152">
            <v>0.33</v>
          </cell>
          <cell r="D152">
            <v>0.27611995972269476</v>
          </cell>
        </row>
        <row r="153">
          <cell r="B153" t="str">
            <v>% organic change</v>
          </cell>
          <cell r="C153">
            <v>0.19858697001034153</v>
          </cell>
          <cell r="D153">
            <v>0.14265088329901499</v>
          </cell>
          <cell r="F153">
            <v>-0.12291927217789034</v>
          </cell>
        </row>
        <row r="154">
          <cell r="B154" t="str">
            <v>of which periodic licenses, maintenance etc</v>
          </cell>
          <cell r="C154">
            <v>287</v>
          </cell>
          <cell r="D154">
            <v>280.02800000000002</v>
          </cell>
          <cell r="F154">
            <v>204.4</v>
          </cell>
          <cell r="G154">
            <v>2.4897510248975019E-2</v>
          </cell>
          <cell r="I154">
            <v>0.40410958904109595</v>
          </cell>
        </row>
        <row r="155">
          <cell r="B155" t="str">
            <v>% change ex FX</v>
          </cell>
          <cell r="C155">
            <v>0.33</v>
          </cell>
          <cell r="D155">
            <v>0.30195102712668243</v>
          </cell>
        </row>
        <row r="156">
          <cell r="B156" t="str">
            <v>% organic change</v>
          </cell>
          <cell r="C156">
            <v>0.10957749510763226</v>
          </cell>
          <cell r="D156">
            <v>8.3124590350291072E-2</v>
          </cell>
          <cell r="F156">
            <v>-1.6245705311679903E-2</v>
          </cell>
        </row>
        <row r="157">
          <cell r="B157" t="str">
            <v>Services and other revenue</v>
          </cell>
          <cell r="C157">
            <v>44.5</v>
          </cell>
          <cell r="D157">
            <v>39.795000000000002</v>
          </cell>
          <cell r="E157">
            <v>39.799999999999997</v>
          </cell>
          <cell r="F157">
            <v>37.9</v>
          </cell>
          <cell r="G157">
            <v>0.11823093353436365</v>
          </cell>
          <cell r="H157">
            <v>0.11809045226130666</v>
          </cell>
          <cell r="I157">
            <v>0.17414248021108181</v>
          </cell>
        </row>
        <row r="158">
          <cell r="B158" t="str">
            <v>Total Non-IFRS Revenue</v>
          </cell>
          <cell r="C158">
            <v>467.3</v>
          </cell>
          <cell r="D158">
            <v>449.80413578203445</v>
          </cell>
          <cell r="E158">
            <v>442.4</v>
          </cell>
          <cell r="F158">
            <v>339.1</v>
          </cell>
          <cell r="G158">
            <v>3.8896628168051617E-2</v>
          </cell>
          <cell r="H158">
            <v>5.6283905967450254E-2</v>
          </cell>
          <cell r="I158">
            <v>0.37805956944854024</v>
          </cell>
        </row>
        <row r="159">
          <cell r="B159" t="str">
            <v>% change ex FX</v>
          </cell>
          <cell r="C159">
            <v>0.31</v>
          </cell>
          <cell r="D159">
            <v>0.2584155974069372</v>
          </cell>
        </row>
        <row r="160">
          <cell r="B160" t="str">
            <v>% organic change</v>
          </cell>
          <cell r="C160">
            <v>0.13966086700088476</v>
          </cell>
          <cell r="D160">
            <v>8.8076464407821881E-2</v>
          </cell>
          <cell r="F160">
            <v>-5.3226731200898714E-2</v>
          </cell>
        </row>
        <row r="162">
          <cell r="B162" t="str">
            <v>DS non IFRS EBITA (pre options)</v>
          </cell>
          <cell r="C162">
            <v>158.6</v>
          </cell>
          <cell r="D162">
            <v>145.46542463338267</v>
          </cell>
          <cell r="E162">
            <v>140.19999999999999</v>
          </cell>
          <cell r="F162">
            <v>110.70000000000005</v>
          </cell>
          <cell r="G162">
            <v>9.0293452205020275E-2</v>
          </cell>
          <cell r="H162">
            <v>0.13124108416547786</v>
          </cell>
          <cell r="I162">
            <v>0.43270099367660286</v>
          </cell>
        </row>
        <row r="163">
          <cell r="B163" t="str">
            <v>Margin (%)</v>
          </cell>
          <cell r="C163">
            <v>0.3393965332762679</v>
          </cell>
          <cell r="D163">
            <v>0.32339725907694217</v>
          </cell>
          <cell r="E163">
            <v>0.31690777576853524</v>
          </cell>
          <cell r="F163">
            <v>0.32645237393099391</v>
          </cell>
        </row>
        <row r="164">
          <cell r="B164" t="str">
            <v>MS EBIT (post options)</v>
          </cell>
          <cell r="C164">
            <v>154.69999999999999</v>
          </cell>
          <cell r="D164">
            <v>141.46542463338267</v>
          </cell>
          <cell r="F164">
            <v>104.60000000000005</v>
          </cell>
          <cell r="G164">
            <v>9.3553427637287578E-2</v>
          </cell>
          <cell r="I164">
            <v>0.47896749521988435</v>
          </cell>
        </row>
        <row r="165">
          <cell r="B165" t="str">
            <v>Margin (%)</v>
          </cell>
          <cell r="C165">
            <v>0.33105071688422849</v>
          </cell>
          <cell r="D165">
            <v>0.31450449958053256</v>
          </cell>
          <cell r="F165">
            <v>0.30846358006487773</v>
          </cell>
        </row>
        <row r="167">
          <cell r="B167" t="str">
            <v>DS non IFRS Fully Diluted EPS</v>
          </cell>
          <cell r="C167">
            <v>0.82764227642276422</v>
          </cell>
          <cell r="D167">
            <v>0.82641484577564395</v>
          </cell>
          <cell r="E167">
            <v>0.8</v>
          </cell>
          <cell r="F167">
            <v>0.34197567114093985</v>
          </cell>
          <cell r="G167">
            <v>1.4852475768005746E-3</v>
          </cell>
          <cell r="H167">
            <v>3.4552845528455167E-2</v>
          </cell>
          <cell r="I167">
            <v>1.4201788205034753</v>
          </cell>
        </row>
        <row r="169">
          <cell r="C169" t="str">
            <v>4Q10 results</v>
          </cell>
          <cell r="G169" t="str">
            <v>% Difference vs</v>
          </cell>
          <cell r="I169" t="str">
            <v>y/y gwth c/c</v>
          </cell>
        </row>
        <row r="170">
          <cell r="C170" t="str">
            <v>Actual</v>
          </cell>
          <cell r="D170" t="str">
            <v>MSe</v>
          </cell>
          <cell r="E170" t="str">
            <v>Cons</v>
          </cell>
          <cell r="F170" t="str">
            <v>4Q09</v>
          </cell>
          <cell r="G170" t="str">
            <v>MSe</v>
          </cell>
          <cell r="H170" t="str">
            <v>4Q09</v>
          </cell>
        </row>
        <row r="172">
          <cell r="B172" t="str">
            <v>Non-IFRS S/W rev breakdown by product line:</v>
          </cell>
        </row>
        <row r="173">
          <cell r="B173" t="str">
            <v>PLM software revenue</v>
          </cell>
          <cell r="C173">
            <v>340</v>
          </cell>
          <cell r="D173">
            <v>330.00913578203443</v>
          </cell>
          <cell r="F173">
            <v>237.2</v>
          </cell>
          <cell r="G173">
            <v>3.0274507989876964E-2</v>
          </cell>
          <cell r="H173">
            <v>0.43338954468802715</v>
          </cell>
          <cell r="I173">
            <v>0.36</v>
          </cell>
        </row>
        <row r="174">
          <cell r="B174" t="str">
            <v>of which CATIA software revenue</v>
          </cell>
          <cell r="C174">
            <v>202.8</v>
          </cell>
          <cell r="D174">
            <v>201.70799328203447</v>
          </cell>
          <cell r="F174">
            <v>134.30000000000001</v>
          </cell>
          <cell r="G174">
            <v>5.4137999203565101E-3</v>
          </cell>
          <cell r="H174">
            <v>0.51005212211466855</v>
          </cell>
          <cell r="I174">
            <v>0.43</v>
          </cell>
        </row>
        <row r="175">
          <cell r="B175" t="str">
            <v>of which ENOVIA software revenue</v>
          </cell>
          <cell r="C175">
            <v>67.900000000000006</v>
          </cell>
          <cell r="D175">
            <v>67.067999999999998</v>
          </cell>
          <cell r="F175">
            <v>48.6</v>
          </cell>
          <cell r="G175">
            <v>1.2405319973758155E-2</v>
          </cell>
          <cell r="H175">
            <v>0.39711934156378614</v>
          </cell>
          <cell r="I175">
            <v>0.32</v>
          </cell>
        </row>
        <row r="176">
          <cell r="B176" t="str">
            <v>of which other PLM software revenue</v>
          </cell>
          <cell r="C176">
            <v>69.299999999999983</v>
          </cell>
          <cell r="D176">
            <v>61.233142499999971</v>
          </cell>
          <cell r="F176">
            <v>54.299999999999983</v>
          </cell>
          <cell r="G176">
            <v>0.13174005400751754</v>
          </cell>
          <cell r="H176">
            <v>0.27624309392265212</v>
          </cell>
          <cell r="I176">
            <v>0.20124309392265211</v>
          </cell>
        </row>
        <row r="177">
          <cell r="B177" t="str">
            <v>Mainstream 3D software revenue (Solidworks)</v>
          </cell>
          <cell r="C177">
            <v>82.8</v>
          </cell>
          <cell r="D177">
            <v>80</v>
          </cell>
          <cell r="F177">
            <v>64</v>
          </cell>
          <cell r="G177">
            <v>3.499999999999992E-2</v>
          </cell>
          <cell r="H177">
            <v>0.29374999999999996</v>
          </cell>
          <cell r="I177">
            <v>0.22</v>
          </cell>
        </row>
        <row r="178">
          <cell r="B178" t="str">
            <v>Software revenue</v>
          </cell>
          <cell r="C178">
            <v>422.8</v>
          </cell>
          <cell r="D178">
            <v>410.00913578203443</v>
          </cell>
          <cell r="E178">
            <v>402.6</v>
          </cell>
          <cell r="F178">
            <v>301.2</v>
          </cell>
          <cell r="G178">
            <v>3.1196534666401599E-2</v>
          </cell>
          <cell r="H178">
            <v>0.40371845949535201</v>
          </cell>
          <cell r="I178">
            <v>0.33</v>
          </cell>
        </row>
        <row r="180">
          <cell r="B180" t="str">
            <v>Non-IFRS Revenue breakdown by geography</v>
          </cell>
        </row>
        <row r="181">
          <cell r="B181" t="str">
            <v>Europe</v>
          </cell>
          <cell r="C181">
            <v>218.7</v>
          </cell>
          <cell r="D181">
            <v>208.36529999999999</v>
          </cell>
          <cell r="F181">
            <v>161</v>
          </cell>
          <cell r="G181">
            <v>4.9598949537182913E-2</v>
          </cell>
          <cell r="H181">
            <v>0.35838509316770173</v>
          </cell>
          <cell r="I181">
            <v>0.35</v>
          </cell>
        </row>
        <row r="182">
          <cell r="B182" t="str">
            <v>Americas</v>
          </cell>
          <cell r="C182">
            <v>134.1</v>
          </cell>
          <cell r="D182">
            <v>131.14128370304525</v>
          </cell>
          <cell r="F182">
            <v>103.3</v>
          </cell>
          <cell r="G182">
            <v>2.2561288203144514E-2</v>
          </cell>
          <cell r="H182">
            <v>0.29816069699903203</v>
          </cell>
          <cell r="I182">
            <v>0.19</v>
          </cell>
        </row>
        <row r="183">
          <cell r="B183" t="str">
            <v>Asia</v>
          </cell>
          <cell r="C183">
            <v>114.5</v>
          </cell>
          <cell r="D183">
            <v>110.29755207898923</v>
          </cell>
          <cell r="F183">
            <v>74.8</v>
          </cell>
          <cell r="G183">
            <v>3.810100806227501E-2</v>
          </cell>
          <cell r="H183">
            <v>0.53074866310160429</v>
          </cell>
          <cell r="I183">
            <v>0.36</v>
          </cell>
        </row>
        <row r="184">
          <cell r="B184" t="str">
            <v>Total Non-IFRS Revenue</v>
          </cell>
          <cell r="C184">
            <v>467.29999999999995</v>
          </cell>
          <cell r="D184">
            <v>449.80413578203445</v>
          </cell>
          <cell r="E184">
            <v>442.4</v>
          </cell>
          <cell r="F184">
            <v>339.1</v>
          </cell>
          <cell r="G184">
            <v>3.8896628168051395E-2</v>
          </cell>
          <cell r="H184">
            <v>0.37805956944854002</v>
          </cell>
          <cell r="I184">
            <v>0.31</v>
          </cell>
        </row>
        <row r="188">
          <cell r="B188" t="str">
            <v>Acquisitions (IBM Exalead)</v>
          </cell>
          <cell r="D188">
            <v>57.762</v>
          </cell>
        </row>
        <row r="189">
          <cell r="B189" t="str">
            <v>of which new licenses revenue</v>
          </cell>
          <cell r="D189">
            <v>12.70764</v>
          </cell>
        </row>
        <row r="190">
          <cell r="B190" t="str">
            <v>of which periodic licenses, maintenance etc</v>
          </cell>
          <cell r="D190">
            <v>45.054360000000003</v>
          </cell>
        </row>
        <row r="192">
          <cell r="B192" t="str">
            <v>Dassault Systemes Guidance</v>
          </cell>
        </row>
        <row r="193">
          <cell r="B193" t="str">
            <v>EUR (m)</v>
          </cell>
          <cell r="C193" t="str">
            <v>FY11</v>
          </cell>
          <cell r="G193" t="str">
            <v>1QFY11</v>
          </cell>
          <cell r="M193" t="str">
            <v>1Q guide range</v>
          </cell>
          <cell r="P193" t="str">
            <v>FY guide range</v>
          </cell>
        </row>
        <row r="194">
          <cell r="C194" t="str">
            <v>MSe</v>
          </cell>
          <cell r="D194" t="str">
            <v>Guid</v>
          </cell>
          <cell r="E194" t="str">
            <v>Cons</v>
          </cell>
          <cell r="F194" t="str">
            <v>% Diff</v>
          </cell>
          <cell r="G194" t="str">
            <v>MSe</v>
          </cell>
          <cell r="H194" t="str">
            <v>Guid</v>
          </cell>
          <cell r="I194" t="str">
            <v>% Diff</v>
          </cell>
        </row>
        <row r="196">
          <cell r="B196" t="str">
            <v>Software revenue</v>
          </cell>
          <cell r="C196">
            <v>1617.4</v>
          </cell>
          <cell r="F196" t="e">
            <v>#DIV/0!</v>
          </cell>
          <cell r="G196">
            <v>372.59999999999997</v>
          </cell>
          <cell r="I196" t="e">
            <v>#DIV/0!</v>
          </cell>
        </row>
        <row r="197">
          <cell r="B197" t="str">
            <v>% organic change</v>
          </cell>
          <cell r="C197">
            <v>9.3436815967711695E-2</v>
          </cell>
          <cell r="G197">
            <v>0.11207702646279571</v>
          </cell>
        </row>
        <row r="198">
          <cell r="B198" t="str">
            <v>of which new licenses revenue</v>
          </cell>
          <cell r="C198">
            <v>465</v>
          </cell>
          <cell r="F198" t="e">
            <v>#DIV/0!</v>
          </cell>
          <cell r="G198">
            <v>99</v>
          </cell>
          <cell r="I198" t="e">
            <v>#DIV/0!</v>
          </cell>
        </row>
        <row r="199">
          <cell r="B199" t="str">
            <v>% organic change</v>
          </cell>
          <cell r="C199">
            <v>0.14847673430122099</v>
          </cell>
          <cell r="G199">
            <v>0.14626733814353332</v>
          </cell>
        </row>
        <row r="200">
          <cell r="B200" t="str">
            <v>of which periodic licenses, maintenance etc</v>
          </cell>
          <cell r="C200">
            <v>1152.4000000000001</v>
          </cell>
          <cell r="F200" t="e">
            <v>#DIV/0!</v>
          </cell>
          <cell r="G200">
            <v>273.60000000000002</v>
          </cell>
          <cell r="I200" t="e">
            <v>#DIV/0!</v>
          </cell>
        </row>
        <row r="201">
          <cell r="B201" t="str">
            <v>% organic change</v>
          </cell>
          <cell r="C201">
            <v>7.2455277371399562E-2</v>
          </cell>
          <cell r="G201">
            <v>9.930391542252015E-2</v>
          </cell>
        </row>
        <row r="202">
          <cell r="B202" t="str">
            <v>Services and other revenue</v>
          </cell>
          <cell r="C202">
            <v>166.1</v>
          </cell>
          <cell r="F202" t="e">
            <v>#DIV/0!</v>
          </cell>
          <cell r="G202">
            <v>37.299999999999997</v>
          </cell>
          <cell r="I202" t="e">
            <v>#DIV/0!</v>
          </cell>
        </row>
        <row r="203">
          <cell r="B203" t="str">
            <v>Total Non-IFRS Revenue</v>
          </cell>
          <cell r="C203">
            <v>1816.0763821177588</v>
          </cell>
          <cell r="D203">
            <v>1695</v>
          </cell>
          <cell r="E203">
            <v>1747.6</v>
          </cell>
          <cell r="F203">
            <v>7.143149387478398E-2</v>
          </cell>
          <cell r="G203">
            <v>410.50712467465132</v>
          </cell>
          <cell r="H203">
            <v>395</v>
          </cell>
          <cell r="I203">
            <v>3.9258543480130026E-2</v>
          </cell>
          <cell r="M203">
            <v>390</v>
          </cell>
          <cell r="N203">
            <v>400</v>
          </cell>
          <cell r="P203">
            <v>1680</v>
          </cell>
          <cell r="Q203">
            <v>1710</v>
          </cell>
        </row>
        <row r="204">
          <cell r="B204" t="str">
            <v>% organic change</v>
          </cell>
          <cell r="C204">
            <v>0.10988774219180297</v>
          </cell>
          <cell r="G204">
            <v>0.10101141594819284</v>
          </cell>
        </row>
        <row r="206">
          <cell r="B206" t="str">
            <v>DS non IFRS EBITA (pre options)</v>
          </cell>
          <cell r="C206">
            <v>532.20606984731035</v>
          </cell>
          <cell r="D206">
            <v>491.54999999999995</v>
          </cell>
          <cell r="E206">
            <v>473.6</v>
          </cell>
          <cell r="F206">
            <v>8.2709937640749409E-2</v>
          </cell>
          <cell r="G206">
            <v>96.120796521864463</v>
          </cell>
          <cell r="H206">
            <v>100.75</v>
          </cell>
          <cell r="I206">
            <v>-4.5947429063380008E-2</v>
          </cell>
          <cell r="M206">
            <v>97.5</v>
          </cell>
          <cell r="N206">
            <v>104</v>
          </cell>
          <cell r="P206">
            <v>487.2</v>
          </cell>
          <cell r="Q206">
            <v>495.9</v>
          </cell>
        </row>
        <row r="207">
          <cell r="B207" t="str">
            <v>Margin (%)</v>
          </cell>
          <cell r="C207">
            <v>0.29305269045275256</v>
          </cell>
          <cell r="D207">
            <v>0.28999999999999998</v>
          </cell>
          <cell r="G207">
            <v>0.23415134779462182</v>
          </cell>
          <cell r="H207">
            <v>0.25506329113924053</v>
          </cell>
          <cell r="M207">
            <v>0.25</v>
          </cell>
          <cell r="N207">
            <v>0.26</v>
          </cell>
          <cell r="P207">
            <v>0.28999999999999998</v>
          </cell>
          <cell r="Q207">
            <v>0.28999999999999998</v>
          </cell>
        </row>
        <row r="209">
          <cell r="B209" t="str">
            <v>DS non IFRS Fully Diluted EPS</v>
          </cell>
          <cell r="C209">
            <v>3.0255069235301497</v>
          </cell>
          <cell r="D209">
            <v>2.6950000000000003</v>
          </cell>
          <cell r="E209">
            <v>2.86</v>
          </cell>
          <cell r="F209">
            <v>0.12263707737667873</v>
          </cell>
          <cell r="G209">
            <v>0.54010529272281027</v>
          </cell>
          <cell r="H209">
            <v>0.55000000000000004</v>
          </cell>
          <cell r="I209">
            <v>-1.799037686761773E-2</v>
          </cell>
          <cell r="M209">
            <v>0.53</v>
          </cell>
          <cell r="N209">
            <v>0.56999999999999995</v>
          </cell>
          <cell r="P209">
            <v>2.64</v>
          </cell>
          <cell r="Q209">
            <v>2.75</v>
          </cell>
        </row>
        <row r="210">
          <cell r="B210" t="str">
            <v>% chg</v>
          </cell>
          <cell r="C210">
            <v>0.21322139437487642</v>
          </cell>
          <cell r="D210">
            <v>7.8000000000000069E-2</v>
          </cell>
          <cell r="G210">
            <v>0.26129851984780905</v>
          </cell>
          <cell r="H210">
            <v>1.5688109161793347</v>
          </cell>
        </row>
        <row r="212">
          <cell r="B212" t="str">
            <v>FX rates</v>
          </cell>
        </row>
        <row r="213">
          <cell r="B213" t="str">
            <v>US$/EUR rate</v>
          </cell>
          <cell r="C213">
            <v>1.3097000000000001</v>
          </cell>
          <cell r="D213">
            <v>1.4</v>
          </cell>
          <cell r="G213">
            <v>1.3097000000000001</v>
          </cell>
          <cell r="H213">
            <v>1.4</v>
          </cell>
        </row>
        <row r="214">
          <cell r="B214" t="str">
            <v>JPYen/EUR rate</v>
          </cell>
          <cell r="C214">
            <v>109.31411</v>
          </cell>
          <cell r="D214">
            <v>120</v>
          </cell>
          <cell r="G214">
            <v>109.31411</v>
          </cell>
          <cell r="H214">
            <v>120</v>
          </cell>
        </row>
        <row r="218">
          <cell r="B218" t="str">
            <v>Dassault Systemes Estimate Changes</v>
          </cell>
        </row>
        <row r="219">
          <cell r="B219" t="str">
            <v>EUR (m)</v>
          </cell>
          <cell r="C219" t="str">
            <v>FY11</v>
          </cell>
          <cell r="F219" t="str">
            <v>FY12</v>
          </cell>
        </row>
        <row r="220">
          <cell r="C220" t="str">
            <v>New</v>
          </cell>
          <cell r="D220" t="str">
            <v>Old</v>
          </cell>
          <cell r="E220" t="str">
            <v>% Diff</v>
          </cell>
          <cell r="F220" t="str">
            <v>New</v>
          </cell>
          <cell r="G220" t="str">
            <v>Old</v>
          </cell>
          <cell r="H220" t="str">
            <v>% Diff</v>
          </cell>
        </row>
        <row r="222">
          <cell r="B222" t="str">
            <v>Software revenue</v>
          </cell>
          <cell r="C222">
            <v>1617.4</v>
          </cell>
          <cell r="D222">
            <v>1605.7247655036235</v>
          </cell>
          <cell r="E222">
            <v>7.2710060573268898E-3</v>
          </cell>
          <cell r="F222">
            <v>1853.3999999999999</v>
          </cell>
          <cell r="G222">
            <v>1827.8073233382895</v>
          </cell>
          <cell r="H222">
            <v>1.4001846001452822E-2</v>
          </cell>
        </row>
        <row r="223">
          <cell r="B223" t="str">
            <v>% organic change</v>
          </cell>
          <cell r="C223">
            <v>9.3436815967711695E-2</v>
          </cell>
          <cell r="D223">
            <v>0.10310000883122239</v>
          </cell>
          <cell r="F223">
            <v>9.1127452132998332E-2</v>
          </cell>
          <cell r="G223">
            <v>0.14426990990512012</v>
          </cell>
        </row>
        <row r="224">
          <cell r="B224" t="str">
            <v>of which new licenses revenue</v>
          </cell>
          <cell r="C224">
            <v>465</v>
          </cell>
          <cell r="D224">
            <v>471.9687655036235</v>
          </cell>
          <cell r="E224">
            <v>-1.4765310785317176E-2</v>
          </cell>
          <cell r="F224">
            <v>532.29999999999995</v>
          </cell>
          <cell r="G224">
            <v>564.68782333828938</v>
          </cell>
          <cell r="H224">
            <v>-5.7355271354747717E-2</v>
          </cell>
        </row>
        <row r="225">
          <cell r="B225" t="str">
            <v>% organic change</v>
          </cell>
          <cell r="C225">
            <v>0.14847673430122099</v>
          </cell>
          <cell r="D225">
            <v>0.18547361834635634</v>
          </cell>
          <cell r="F225">
            <v>7.9686481515459651E-2</v>
          </cell>
          <cell r="G225">
            <v>0.20258385526470502</v>
          </cell>
        </row>
        <row r="226">
          <cell r="B226" t="str">
            <v>of which periodic licenses, maintenance etc</v>
          </cell>
          <cell r="C226">
            <v>1152.4000000000001</v>
          </cell>
          <cell r="D226">
            <v>1133.7560000000001</v>
          </cell>
          <cell r="E226">
            <v>1.644445542074302E-2</v>
          </cell>
          <cell r="F226">
            <v>1321.1</v>
          </cell>
          <cell r="G226">
            <v>1263.1195</v>
          </cell>
          <cell r="H226">
            <v>4.5902624415187887E-2</v>
          </cell>
        </row>
        <row r="227">
          <cell r="B227" t="str">
            <v>% organic change</v>
          </cell>
          <cell r="C227">
            <v>7.2455277371399562E-2</v>
          </cell>
          <cell r="D227">
            <v>7.1698707381487203E-2</v>
          </cell>
          <cell r="F227">
            <v>9.5743949301650977E-2</v>
          </cell>
          <cell r="G227">
            <v>0.1199945271922529</v>
          </cell>
        </row>
        <row r="228">
          <cell r="B228" t="str">
            <v>Services and other revenue</v>
          </cell>
          <cell r="C228">
            <v>166.1</v>
          </cell>
          <cell r="D228">
            <v>165.04300000000001</v>
          </cell>
          <cell r="E228">
            <v>6.4043915827995956E-3</v>
          </cell>
          <cell r="F228">
            <v>185.09999999999997</v>
          </cell>
          <cell r="G228">
            <v>181.54730000000004</v>
          </cell>
          <cell r="H228">
            <v>1.9569004881923036E-2</v>
          </cell>
        </row>
        <row r="229">
          <cell r="B229" t="str">
            <v>Total Non-IFRS Revenue</v>
          </cell>
          <cell r="C229">
            <v>1783.5</v>
          </cell>
          <cell r="D229">
            <v>1770.7677655036237</v>
          </cell>
          <cell r="E229">
            <v>7.1902339450793384E-3</v>
          </cell>
          <cell r="F229">
            <v>2038.4999999999998</v>
          </cell>
          <cell r="G229">
            <v>2009.3546233382895</v>
          </cell>
          <cell r="H229">
            <v>1.450484465170665E-2</v>
          </cell>
        </row>
        <row r="230">
          <cell r="B230" t="str">
            <v>% organic change</v>
          </cell>
          <cell r="C230">
            <v>9.3100561570366169E-2</v>
          </cell>
          <cell r="D230">
            <v>0.10311659638715098</v>
          </cell>
          <cell r="F230">
            <v>9.5993501771425738E-2</v>
          </cell>
          <cell r="G230">
            <v>0.14076828876898406</v>
          </cell>
        </row>
        <row r="232">
          <cell r="B232" t="str">
            <v>DS non IFRS EBITA (pre options)</v>
          </cell>
          <cell r="C232">
            <v>542.6</v>
          </cell>
          <cell r="D232">
            <v>531.16368532556874</v>
          </cell>
          <cell r="E232">
            <v>2.1530678753803656E-2</v>
          </cell>
          <cell r="F232">
            <v>644.29999999999995</v>
          </cell>
          <cell r="G232">
            <v>621.76867995566113</v>
          </cell>
          <cell r="H232">
            <v>3.6237463820058435E-2</v>
          </cell>
        </row>
        <row r="233">
          <cell r="B233" t="str">
            <v>Margin (%)</v>
          </cell>
          <cell r="C233">
            <v>0.30423324922904404</v>
          </cell>
          <cell r="D233">
            <v>0.2999623641638296</v>
          </cell>
          <cell r="F233">
            <v>0.31606573460878096</v>
          </cell>
          <cell r="G233">
            <v>0.30943700665573448</v>
          </cell>
        </row>
        <row r="234">
          <cell r="B234" t="str">
            <v>MS EBIT (post options)</v>
          </cell>
          <cell r="C234">
            <v>521.9</v>
          </cell>
          <cell r="D234">
            <v>515.86368532556878</v>
          </cell>
          <cell r="E234">
            <v>1.1701375472130016E-2</v>
          </cell>
          <cell r="F234">
            <v>607.5</v>
          </cell>
          <cell r="G234">
            <v>605.24467995566113</v>
          </cell>
          <cell r="H234">
            <v>3.7262947020106907E-3</v>
          </cell>
        </row>
        <row r="235">
          <cell r="B235" t="str">
            <v>Margin (%)</v>
          </cell>
          <cell r="C235">
            <v>0.29262685730305577</v>
          </cell>
          <cell r="D235">
            <v>0.29132204424268593</v>
          </cell>
          <cell r="F235">
            <v>0.29801324503311261</v>
          </cell>
          <cell r="G235">
            <v>0.3012134706964385</v>
          </cell>
        </row>
        <row r="237">
          <cell r="B237" t="str">
            <v>DS non IFRS Fully Diluted EPS</v>
          </cell>
          <cell r="C237">
            <v>1.4615306972341888</v>
          </cell>
          <cell r="D237">
            <v>2.9569123334075202</v>
          </cell>
          <cell r="E237">
            <v>-0.50572403492600904</v>
          </cell>
          <cell r="F237">
            <v>1.6857481710962676</v>
          </cell>
          <cell r="G237">
            <v>3.4098625401037039</v>
          </cell>
          <cell r="H237">
            <v>-0.50562576899507539</v>
          </cell>
        </row>
        <row r="238">
          <cell r="B238" t="str">
            <v>% chg</v>
          </cell>
          <cell r="C238">
            <v>0.17111027048046767</v>
          </cell>
          <cell r="D238">
            <v>0.18393714836138608</v>
          </cell>
          <cell r="F238">
            <v>0.153412770793244</v>
          </cell>
          <cell r="G238">
            <v>0.15318350888482635</v>
          </cell>
        </row>
        <row r="240">
          <cell r="B240" t="str">
            <v>MS Fully Diluted EPS</v>
          </cell>
          <cell r="C240">
            <v>1.4052667372726486</v>
          </cell>
          <cell r="D240">
            <v>2.8722583842754412</v>
          </cell>
          <cell r="E240">
            <v>-0.51074501341314993</v>
          </cell>
          <cell r="F240">
            <v>1.5893311166119917</v>
          </cell>
          <cell r="G240">
            <v>3.320434767705414</v>
          </cell>
          <cell r="H240">
            <v>-0.52134848964062053</v>
          </cell>
        </row>
        <row r="241">
          <cell r="B241" t="str">
            <v>% chg</v>
          </cell>
          <cell r="C241">
            <v>0.18138742994578783</v>
          </cell>
          <cell r="D241">
            <v>0.20698238732655039</v>
          </cell>
          <cell r="F241">
            <v>0.13098180897427092</v>
          </cell>
          <cell r="G241">
            <v>0.1560362347216302</v>
          </cell>
        </row>
        <row r="243">
          <cell r="B243" t="str">
            <v>FX rates</v>
          </cell>
        </row>
        <row r="244">
          <cell r="B244" t="str">
            <v>US$/EUR rate</v>
          </cell>
          <cell r="C244">
            <v>1.3918900000000001</v>
          </cell>
          <cell r="D244">
            <v>1.4252914479700853</v>
          </cell>
          <cell r="F244">
            <v>1.2854100000000002</v>
          </cell>
          <cell r="G244">
            <v>1.4463999999999999</v>
          </cell>
        </row>
        <row r="245">
          <cell r="B245" t="str">
            <v>JPYen/EUR rate</v>
          </cell>
          <cell r="C245">
            <v>110.91637500000002</v>
          </cell>
          <cell r="D245">
            <v>116.10848629220084</v>
          </cell>
          <cell r="F245">
            <v>102.6391</v>
          </cell>
          <cell r="G245">
            <v>117.23072999999999</v>
          </cell>
        </row>
      </sheetData>
      <sheetData sheetId="14" refreshError="1">
        <row r="2">
          <cell r="E2" t="str">
            <v>MSe</v>
          </cell>
          <cell r="F2" t="str">
            <v>Consensus</v>
          </cell>
          <cell r="H2" t="str">
            <v>% Diff.</v>
          </cell>
          <cell r="I2" t="str">
            <v>MSe</v>
          </cell>
          <cell r="J2" t="str">
            <v>Consensus</v>
          </cell>
          <cell r="K2" t="str">
            <v>MSe</v>
          </cell>
        </row>
        <row r="3">
          <cell r="B3" t="str">
            <v>EUR (m)</v>
          </cell>
          <cell r="C3" t="str">
            <v>1Q12e</v>
          </cell>
          <cell r="D3" t="str">
            <v>4Q15A</v>
          </cell>
          <cell r="E3" t="str">
            <v>1Q16e</v>
          </cell>
          <cell r="F3" t="str">
            <v>1Q16e</v>
          </cell>
          <cell r="G3" t="str">
            <v>1Q15A</v>
          </cell>
          <cell r="H3" t="str">
            <v>vs. Cons.</v>
          </cell>
          <cell r="I3" t="str">
            <v>FY16e</v>
          </cell>
          <cell r="J3" t="str">
            <v>FY16e</v>
          </cell>
          <cell r="K3" t="str">
            <v>FY15e</v>
          </cell>
        </row>
        <row r="4">
          <cell r="B4" t="str">
            <v>Upfront Software</v>
          </cell>
          <cell r="C4">
            <v>120.3</v>
          </cell>
          <cell r="D4">
            <v>239.8</v>
          </cell>
          <cell r="E4">
            <v>157.9</v>
          </cell>
          <cell r="G4">
            <v>163.6</v>
          </cell>
          <cell r="I4">
            <v>805.7834035608405</v>
          </cell>
          <cell r="K4">
            <v>735.59999999999991</v>
          </cell>
        </row>
        <row r="5">
          <cell r="B5" t="str">
            <v>Growth y/y organic</v>
          </cell>
          <cell r="C5">
            <v>0.17501390212196655</v>
          </cell>
          <cell r="D5">
            <v>0.13892178372031783</v>
          </cell>
          <cell r="E5">
            <v>-4.9584815450388509E-2</v>
          </cell>
          <cell r="G5">
            <v>0.2031838125013623</v>
          </cell>
          <cell r="I5">
            <v>8.8666551411533026E-2</v>
          </cell>
          <cell r="K5">
            <v>0.14845448571590802</v>
          </cell>
        </row>
        <row r="6">
          <cell r="B6" t="str">
            <v>Total Software</v>
          </cell>
          <cell r="C6">
            <v>419.9</v>
          </cell>
          <cell r="D6">
            <v>708.7</v>
          </cell>
          <cell r="E6">
            <v>613.9</v>
          </cell>
          <cell r="F6">
            <v>628.29999999999995</v>
          </cell>
          <cell r="G6">
            <v>591</v>
          </cell>
          <cell r="H6">
            <v>0.12796434824128622</v>
          </cell>
          <cell r="I6">
            <v>2735.2789035608403</v>
          </cell>
          <cell r="J6">
            <v>2719.4</v>
          </cell>
          <cell r="K6">
            <v>2537.9</v>
          </cell>
        </row>
        <row r="7">
          <cell r="B7" t="str">
            <v>Services</v>
          </cell>
          <cell r="C7">
            <v>42.5</v>
          </cell>
          <cell r="D7">
            <v>93.4</v>
          </cell>
          <cell r="E7">
            <v>79.599999999999994</v>
          </cell>
          <cell r="F7">
            <v>74.400000000000091</v>
          </cell>
          <cell r="G7">
            <v>74.099999999999994</v>
          </cell>
          <cell r="H7">
            <v>0.25537634408601995</v>
          </cell>
          <cell r="I7">
            <v>354.99400000000003</v>
          </cell>
          <cell r="K7">
            <v>338.79999999999995</v>
          </cell>
        </row>
        <row r="8">
          <cell r="B8" t="str">
            <v>Total revenues</v>
          </cell>
          <cell r="C8">
            <v>462.4</v>
          </cell>
          <cell r="D8">
            <v>802.1</v>
          </cell>
          <cell r="E8">
            <v>693.5</v>
          </cell>
          <cell r="F8">
            <v>702.7</v>
          </cell>
          <cell r="G8">
            <v>665.1</v>
          </cell>
          <cell r="H8">
            <v>0.14145439020919315</v>
          </cell>
          <cell r="I8">
            <v>3090.2729035608404</v>
          </cell>
          <cell r="J8">
            <v>3062</v>
          </cell>
          <cell r="K8">
            <v>2876.7</v>
          </cell>
        </row>
        <row r="9">
          <cell r="B9" t="str">
            <v>Growth y/y organic</v>
          </cell>
          <cell r="C9">
            <v>9.4224562182216642E-2</v>
          </cell>
          <cell r="D9">
            <v>9.6613206488847192E-2</v>
          </cell>
          <cell r="E9">
            <v>2.5644435678164212E-2</v>
          </cell>
          <cell r="G9">
            <v>0.12902309809380119</v>
          </cell>
          <cell r="I9">
            <v>6.7370333637434721E-2</v>
          </cell>
          <cell r="K9">
            <v>0.10790292135855717</v>
          </cell>
        </row>
        <row r="10">
          <cell r="B10" t="str">
            <v>Growth y/y stated</v>
          </cell>
          <cell r="C10">
            <v>0.12808001951695536</v>
          </cell>
          <cell r="D10">
            <v>0.15559717619939506</v>
          </cell>
          <cell r="E10">
            <v>4.2700345812659801E-2</v>
          </cell>
          <cell r="F10">
            <v>5.6532852202676231E-2</v>
          </cell>
          <cell r="G10">
            <v>0.32279236276849632</v>
          </cell>
          <cell r="I10">
            <v>7.4242327514457696E-2</v>
          </cell>
          <cell r="J10">
            <v>6.4414085584176384E-2</v>
          </cell>
          <cell r="K10">
            <v>0.22584906464396814</v>
          </cell>
        </row>
        <row r="11">
          <cell r="B11" t="str">
            <v>DS non IFRS EBITA (pre options)</v>
          </cell>
          <cell r="C11">
            <v>135.30000000000001</v>
          </cell>
          <cell r="D11">
            <v>287.09999999999997</v>
          </cell>
          <cell r="E11">
            <v>181.69999999999987</v>
          </cell>
          <cell r="F11">
            <v>179.6</v>
          </cell>
          <cell r="G11">
            <v>171.69999999999993</v>
          </cell>
          <cell r="H11">
            <v>0.59855233853006662</v>
          </cell>
          <cell r="I11">
            <v>963.56478904804408</v>
          </cell>
          <cell r="J11">
            <v>956</v>
          </cell>
          <cell r="K11">
            <v>884.90000000000055</v>
          </cell>
        </row>
        <row r="12">
          <cell r="B12" t="str">
            <v>Margin (%)</v>
          </cell>
          <cell r="C12">
            <v>0.29260380622837373</v>
          </cell>
          <cell r="D12">
            <v>0.35793541952375008</v>
          </cell>
          <cell r="E12">
            <v>0.26200432588320099</v>
          </cell>
          <cell r="F12">
            <v>0.2555855984061477</v>
          </cell>
          <cell r="G12">
            <v>0.25815666817019983</v>
          </cell>
          <cell r="I12">
            <v>0.31180572691096431</v>
          </cell>
          <cell r="J12">
            <v>0.31221423905943829</v>
          </cell>
          <cell r="K12">
            <v>0.30760941356415356</v>
          </cell>
        </row>
        <row r="13">
          <cell r="B13" t="str">
            <v>MS EBIT (post options)</v>
          </cell>
          <cell r="C13">
            <v>129.80000000000001</v>
          </cell>
          <cell r="D13">
            <v>266.49999999999994</v>
          </cell>
          <cell r="E13">
            <v>166.19999999999987</v>
          </cell>
          <cell r="G13">
            <v>166.49999999999994</v>
          </cell>
          <cell r="I13">
            <v>909.00478904804413</v>
          </cell>
          <cell r="K13">
            <v>842.50000000000057</v>
          </cell>
        </row>
        <row r="14">
          <cell r="B14" t="str">
            <v>Margin (%)</v>
          </cell>
          <cell r="C14">
            <v>0.28070934256055369</v>
          </cell>
          <cell r="D14">
            <v>0.33225283630470009</v>
          </cell>
          <cell r="E14">
            <v>0.23965392934390753</v>
          </cell>
          <cell r="G14">
            <v>0.25033829499323401</v>
          </cell>
          <cell r="I14">
            <v>0.29415032827703397</v>
          </cell>
          <cell r="K14">
            <v>0.29287030277748832</v>
          </cell>
        </row>
        <row r="15">
          <cell r="B15" t="str">
            <v>DS non IFRS Fully Diluted EPS</v>
          </cell>
          <cell r="C15">
            <v>0.35474860335195546</v>
          </cell>
          <cell r="D15">
            <v>0.70576773187840969</v>
          </cell>
          <cell r="E15">
            <v>0.50972006220839772</v>
          </cell>
          <cell r="F15">
            <v>0.46</v>
          </cell>
          <cell r="G15">
            <v>0.43309859154929553</v>
          </cell>
          <cell r="H15">
            <v>0.5342776779965428</v>
          </cell>
          <cell r="I15">
            <v>2.4746286343110886</v>
          </cell>
          <cell r="J15">
            <v>2.46</v>
          </cell>
          <cell r="K15">
            <v>2.2486250477105361</v>
          </cell>
        </row>
        <row r="16">
          <cell r="B16" t="str">
            <v>MS EPS (post options)</v>
          </cell>
          <cell r="C16">
            <v>0.34033065169141524</v>
          </cell>
          <cell r="D16">
            <v>0.65437459853398228</v>
          </cell>
          <cell r="E16">
            <v>0.44947184930111672</v>
          </cell>
          <cell r="G16">
            <v>0.41990548602260608</v>
          </cell>
          <cell r="I16">
            <v>2.3381123033748956</v>
          </cell>
          <cell r="K16">
            <v>2.1399629236424538</v>
          </cell>
        </row>
        <row r="17">
          <cell r="B17" t="str">
            <v>Shares in issue (diluted)</v>
          </cell>
          <cell r="C17">
            <v>250.6</v>
          </cell>
          <cell r="D17">
            <v>256.60000000000002</v>
          </cell>
          <cell r="E17">
            <v>257.2</v>
          </cell>
          <cell r="F17">
            <v>256.60000000000002</v>
          </cell>
          <cell r="G17">
            <v>255.6</v>
          </cell>
          <cell r="I17">
            <v>258.75785369365911</v>
          </cell>
          <cell r="K17">
            <v>256.37889277581905</v>
          </cell>
        </row>
        <row r="18">
          <cell r="B18" t="str">
            <v>€/US$</v>
          </cell>
          <cell r="C18">
            <v>1.3111600000000001</v>
          </cell>
          <cell r="D18">
            <v>1.0941700000000001</v>
          </cell>
          <cell r="E18">
            <v>1.1029800000000001</v>
          </cell>
          <cell r="F18">
            <v>1.1000000000000001</v>
          </cell>
          <cell r="G18">
            <v>1.1268</v>
          </cell>
          <cell r="I18">
            <v>1.1270539444444445</v>
          </cell>
          <cell r="J18">
            <v>1.1100000000000001</v>
          </cell>
          <cell r="K18">
            <v>1.1098950000000001</v>
          </cell>
        </row>
        <row r="19">
          <cell r="B19" t="str">
            <v>€/JPY</v>
          </cell>
          <cell r="C19">
            <v>104.06910000000001</v>
          </cell>
          <cell r="D19">
            <v>132.893</v>
          </cell>
          <cell r="E19">
            <v>126.95050000000001</v>
          </cell>
          <cell r="F19">
            <v>130.5</v>
          </cell>
          <cell r="G19">
            <v>134.2602</v>
          </cell>
          <cell r="I19">
            <v>118.03472692307693</v>
          </cell>
          <cell r="J19">
            <v>130.4</v>
          </cell>
          <cell r="K19">
            <v>134.33414999999999</v>
          </cell>
        </row>
      </sheetData>
      <sheetData sheetId="15"/>
      <sheetData sheetId="16" refreshError="1">
        <row r="2">
          <cell r="B2">
            <v>6.5595699999999999</v>
          </cell>
          <cell r="C2">
            <v>6.5595699999999999</v>
          </cell>
          <cell r="D2">
            <v>6.5595699999999999</v>
          </cell>
          <cell r="E2">
            <v>6.5595699999999999</v>
          </cell>
          <cell r="F2">
            <v>6.5595699999999999</v>
          </cell>
          <cell r="G2">
            <v>6.5595699999999999</v>
          </cell>
          <cell r="H2">
            <v>6.5595699999999999</v>
          </cell>
          <cell r="I2">
            <v>6.5595699999999999</v>
          </cell>
          <cell r="J2">
            <v>6.5595699999999999</v>
          </cell>
          <cell r="K2">
            <v>6.5595699999999999</v>
          </cell>
          <cell r="L2">
            <v>6.5595699999999999</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row r="1">
          <cell r="A1" t="str">
            <v>Dassault Systemes</v>
          </cell>
        </row>
        <row r="2">
          <cell r="B2" t="str">
            <v>FY</v>
          </cell>
          <cell r="C2" t="str">
            <v>FY</v>
          </cell>
          <cell r="D2" t="str">
            <v>FY</v>
          </cell>
          <cell r="E2" t="str">
            <v>FY</v>
          </cell>
          <cell r="F2" t="str">
            <v>FY</v>
          </cell>
          <cell r="G2" t="str">
            <v>FY</v>
          </cell>
          <cell r="H2" t="str">
            <v>FY</v>
          </cell>
          <cell r="J2" t="str">
            <v>Q1</v>
          </cell>
          <cell r="K2" t="str">
            <v>Q2</v>
          </cell>
          <cell r="L2" t="str">
            <v>Q3</v>
          </cell>
          <cell r="M2" t="str">
            <v>Q4</v>
          </cell>
          <cell r="N2" t="str">
            <v>Q1</v>
          </cell>
          <cell r="O2" t="str">
            <v>Q2</v>
          </cell>
          <cell r="P2" t="str">
            <v>Q3</v>
          </cell>
          <cell r="Q2" t="str">
            <v>Q4</v>
          </cell>
        </row>
        <row r="3">
          <cell r="A3" t="str">
            <v>year ended 31 December (EUR m)</v>
          </cell>
          <cell r="B3">
            <v>2008</v>
          </cell>
          <cell r="C3">
            <v>2009</v>
          </cell>
          <cell r="D3">
            <v>2010</v>
          </cell>
          <cell r="E3" t="str">
            <v>2011e</v>
          </cell>
          <cell r="F3" t="str">
            <v>2012e</v>
          </cell>
          <cell r="G3" t="str">
            <v>2013e</v>
          </cell>
          <cell r="H3" t="str">
            <v>2014e</v>
          </cell>
          <cell r="J3">
            <v>2010</v>
          </cell>
          <cell r="K3">
            <v>2010</v>
          </cell>
          <cell r="L3">
            <v>2010</v>
          </cell>
          <cell r="M3">
            <v>2010</v>
          </cell>
          <cell r="N3" t="str">
            <v>2011e</v>
          </cell>
          <cell r="O3" t="str">
            <v>2011e</v>
          </cell>
          <cell r="P3" t="str">
            <v>2011e</v>
          </cell>
          <cell r="Q3" t="str">
            <v>2011e</v>
          </cell>
        </row>
        <row r="6">
          <cell r="A6" t="str">
            <v>CATIA</v>
          </cell>
          <cell r="B6">
            <v>522.5</v>
          </cell>
          <cell r="C6">
            <v>487.5</v>
          </cell>
          <cell r="D6">
            <v>667.3</v>
          </cell>
          <cell r="E6">
            <v>762.90000000000009</v>
          </cell>
          <cell r="F6">
            <v>827.2</v>
          </cell>
          <cell r="G6">
            <v>818.90000000000009</v>
          </cell>
          <cell r="H6">
            <v>838.6</v>
          </cell>
          <cell r="J6">
            <v>120.7</v>
          </cell>
          <cell r="K6">
            <v>168.1</v>
          </cell>
          <cell r="L6">
            <v>175.7</v>
          </cell>
          <cell r="M6">
            <v>202.8</v>
          </cell>
          <cell r="N6">
            <v>177</v>
          </cell>
          <cell r="O6">
            <v>183.1</v>
          </cell>
          <cell r="P6">
            <v>182.6</v>
          </cell>
          <cell r="Q6">
            <v>220.2</v>
          </cell>
        </row>
        <row r="7">
          <cell r="A7" t="str">
            <v>Other PLM</v>
          </cell>
          <cell r="B7">
            <v>180.00000000000006</v>
          </cell>
          <cell r="C7">
            <v>200.20000000000002</v>
          </cell>
          <cell r="D7">
            <v>243.20000000000005</v>
          </cell>
          <cell r="E7">
            <v>283.60000000000002</v>
          </cell>
          <cell r="F7">
            <v>364.50000000000006</v>
          </cell>
          <cell r="G7">
            <v>409.7000000000001</v>
          </cell>
          <cell r="H7">
            <v>529.5</v>
          </cell>
          <cell r="J7">
            <v>51.999999999999986</v>
          </cell>
          <cell r="K7">
            <v>58.099999999999994</v>
          </cell>
          <cell r="L7">
            <v>63.80000000000004</v>
          </cell>
          <cell r="M7">
            <v>69.300000000000011</v>
          </cell>
          <cell r="N7">
            <v>63.5</v>
          </cell>
          <cell r="O7">
            <v>68</v>
          </cell>
          <cell r="P7">
            <v>71.999999999999972</v>
          </cell>
          <cell r="Q7">
            <v>80.100000000000023</v>
          </cell>
        </row>
        <row r="8">
          <cell r="A8" t="str">
            <v>ENOVIA</v>
          </cell>
          <cell r="B8">
            <v>179.1</v>
          </cell>
          <cell r="C8">
            <v>152.80000000000001</v>
          </cell>
          <cell r="D8">
            <v>205.20000000000002</v>
          </cell>
          <cell r="E8">
            <v>229.89999999999998</v>
          </cell>
          <cell r="F8">
            <v>258.5</v>
          </cell>
          <cell r="G8">
            <v>249.4</v>
          </cell>
          <cell r="H8">
            <v>262.8</v>
          </cell>
          <cell r="J8">
            <v>36.200000000000003</v>
          </cell>
          <cell r="K8">
            <v>48.5</v>
          </cell>
          <cell r="L8">
            <v>52.6</v>
          </cell>
          <cell r="M8">
            <v>67.900000000000006</v>
          </cell>
          <cell r="N8">
            <v>48</v>
          </cell>
          <cell r="O8">
            <v>55.9</v>
          </cell>
          <cell r="P8">
            <v>55.3</v>
          </cell>
          <cell r="Q8">
            <v>70.7</v>
          </cell>
        </row>
        <row r="9">
          <cell r="A9" t="str">
            <v>SolidWorks</v>
          </cell>
          <cell r="B9">
            <v>276.20000000000005</v>
          </cell>
          <cell r="C9">
            <v>260.79999999999995</v>
          </cell>
          <cell r="D9">
            <v>311.5</v>
          </cell>
          <cell r="E9">
            <v>341</v>
          </cell>
          <cell r="F9">
            <v>403.20000000000005</v>
          </cell>
          <cell r="G9">
            <v>409.5</v>
          </cell>
          <cell r="H9">
            <v>447.70000000000005</v>
          </cell>
          <cell r="J9">
            <v>70.900000000000006</v>
          </cell>
          <cell r="K9">
            <v>78</v>
          </cell>
          <cell r="L9">
            <v>79.8</v>
          </cell>
          <cell r="M9">
            <v>82.8</v>
          </cell>
          <cell r="N9">
            <v>84.1</v>
          </cell>
          <cell r="O9">
            <v>81.400000000000006</v>
          </cell>
          <cell r="P9">
            <v>84.4</v>
          </cell>
          <cell r="Q9">
            <v>91.1</v>
          </cell>
        </row>
        <row r="10">
          <cell r="A10" t="str">
            <v>Total Licences</v>
          </cell>
          <cell r="B10">
            <v>1157.8000000000002</v>
          </cell>
          <cell r="C10">
            <v>1101.3</v>
          </cell>
          <cell r="D10">
            <v>1427.2</v>
          </cell>
          <cell r="E10">
            <v>1617.4</v>
          </cell>
          <cell r="F10">
            <v>1853.4</v>
          </cell>
          <cell r="G10">
            <v>1887.5000000000002</v>
          </cell>
          <cell r="H10">
            <v>2078.6</v>
          </cell>
          <cell r="J10">
            <v>279.8</v>
          </cell>
          <cell r="K10">
            <v>352.7</v>
          </cell>
          <cell r="L10">
            <v>371.90000000000003</v>
          </cell>
          <cell r="M10">
            <v>422.80000000000007</v>
          </cell>
          <cell r="N10">
            <v>372.6</v>
          </cell>
          <cell r="O10">
            <v>388.4</v>
          </cell>
          <cell r="P10">
            <v>394.3</v>
          </cell>
          <cell r="Q10">
            <v>462.09999999999997</v>
          </cell>
        </row>
        <row r="11">
          <cell r="A11" t="str">
            <v>Services/Other</v>
          </cell>
          <cell r="B11">
            <v>180.4</v>
          </cell>
          <cell r="C11">
            <v>151.5</v>
          </cell>
          <cell r="D11">
            <v>152.80000000000001</v>
          </cell>
          <cell r="E11">
            <v>166.1</v>
          </cell>
          <cell r="F11">
            <v>185.09999999999997</v>
          </cell>
          <cell r="G11">
            <v>185.3</v>
          </cell>
          <cell r="H11">
            <v>268.10000000000002</v>
          </cell>
          <cell r="J11">
            <v>32.200000000000003</v>
          </cell>
          <cell r="K11">
            <v>39.200000000000003</v>
          </cell>
          <cell r="L11">
            <v>36.9</v>
          </cell>
          <cell r="M11">
            <v>44.5</v>
          </cell>
          <cell r="N11">
            <v>37.299999999999997</v>
          </cell>
          <cell r="O11">
            <v>40.200000000000003</v>
          </cell>
          <cell r="P11">
            <v>38.6</v>
          </cell>
          <cell r="Q11">
            <v>50</v>
          </cell>
        </row>
        <row r="12">
          <cell r="A12" t="str">
            <v>Total Revenues</v>
          </cell>
          <cell r="B12">
            <v>1338.2</v>
          </cell>
          <cell r="C12">
            <v>1252.8000000000002</v>
          </cell>
          <cell r="D12">
            <v>1580</v>
          </cell>
          <cell r="E12">
            <v>1783.5</v>
          </cell>
          <cell r="F12">
            <v>2038.4999999999998</v>
          </cell>
          <cell r="G12">
            <v>2072.8000000000002</v>
          </cell>
          <cell r="H12">
            <v>2346.6999999999998</v>
          </cell>
          <cell r="J12">
            <v>312</v>
          </cell>
          <cell r="K12">
            <v>391.9</v>
          </cell>
          <cell r="L12">
            <v>408.8</v>
          </cell>
          <cell r="M12">
            <v>467.29999999999995</v>
          </cell>
          <cell r="N12">
            <v>409.9</v>
          </cell>
          <cell r="O12">
            <v>428.6</v>
          </cell>
          <cell r="P12">
            <v>432.9</v>
          </cell>
          <cell r="Q12">
            <v>512.1</v>
          </cell>
        </row>
        <row r="13">
          <cell r="A13" t="str">
            <v>% change</v>
          </cell>
          <cell r="B13">
            <v>4.8828278078219212E-2</v>
          </cell>
          <cell r="C13">
            <v>-6.3817067702884422E-2</v>
          </cell>
          <cell r="D13">
            <v>0.26117496807151963</v>
          </cell>
          <cell r="E13">
            <v>0.1287974683544304</v>
          </cell>
          <cell r="F13">
            <v>0.1429772918418839</v>
          </cell>
          <cell r="G13">
            <v>1.6826097620799896E-2</v>
          </cell>
          <cell r="H13">
            <v>0.13214010034735613</v>
          </cell>
          <cell r="J13">
            <v>4.1841004184099972E-3</v>
          </cell>
          <cell r="K13">
            <v>0.25931876606683812</v>
          </cell>
          <cell r="L13">
            <v>0.40095956134338584</v>
          </cell>
          <cell r="M13">
            <v>0.37805956944854002</v>
          </cell>
          <cell r="N13">
            <v>0.31378205128205128</v>
          </cell>
          <cell r="O13">
            <v>9.3646338351620395E-2</v>
          </cell>
          <cell r="P13">
            <v>5.895303326810164E-2</v>
          </cell>
          <cell r="Q13">
            <v>9.5869890862401164E-2</v>
          </cell>
        </row>
        <row r="15">
          <cell r="A15" t="str">
            <v>MS EBITA (post options)</v>
          </cell>
          <cell r="B15">
            <v>320.00000000000011</v>
          </cell>
          <cell r="C15">
            <v>289.28000000000043</v>
          </cell>
          <cell r="D15">
            <v>430.79999999999995</v>
          </cell>
          <cell r="E15">
            <v>521.9</v>
          </cell>
          <cell r="F15">
            <v>607.5</v>
          </cell>
          <cell r="G15">
            <v>617.30000000000018</v>
          </cell>
          <cell r="H15">
            <v>655.80000000000007</v>
          </cell>
          <cell r="J15">
            <v>64.300000000000054</v>
          </cell>
          <cell r="K15">
            <v>102.60000000000005</v>
          </cell>
          <cell r="L15">
            <v>109.2</v>
          </cell>
          <cell r="M15">
            <v>154.69999999999996</v>
          </cell>
          <cell r="N15">
            <v>112.3</v>
          </cell>
          <cell r="O15">
            <v>116.20000000000005</v>
          </cell>
          <cell r="P15">
            <v>131.49999999999997</v>
          </cell>
          <cell r="Q15">
            <v>161.90000000000003</v>
          </cell>
        </row>
        <row r="16">
          <cell r="A16" t="str">
            <v>as a % of sales</v>
          </cell>
          <cell r="B16">
            <v>0.23912718577193251</v>
          </cell>
          <cell r="C16">
            <v>0.23090676883780362</v>
          </cell>
          <cell r="D16">
            <v>0.27265822784810123</v>
          </cell>
          <cell r="E16">
            <v>0.29262685730305577</v>
          </cell>
          <cell r="F16">
            <v>0.29801324503311261</v>
          </cell>
          <cell r="G16">
            <v>0.29780972597452726</v>
          </cell>
          <cell r="H16">
            <v>0.27945625772361193</v>
          </cell>
          <cell r="J16">
            <v>0.20608974358974377</v>
          </cell>
          <cell r="K16">
            <v>0.26180147996938008</v>
          </cell>
          <cell r="L16">
            <v>0.26712328767123289</v>
          </cell>
          <cell r="M16">
            <v>0.33105071688422849</v>
          </cell>
          <cell r="N16">
            <v>0.27396926079531592</v>
          </cell>
          <cell r="O16">
            <v>0.27111525898273459</v>
          </cell>
          <cell r="P16">
            <v>0.3037653037653037</v>
          </cell>
          <cell r="Q16">
            <v>0.31614918961140409</v>
          </cell>
        </row>
        <row r="18">
          <cell r="A18" t="str">
            <v>DS non IFRS EBITA</v>
          </cell>
          <cell r="B18">
            <v>342.00000000000011</v>
          </cell>
          <cell r="C18">
            <v>313.78000000000043</v>
          </cell>
          <cell r="D18">
            <v>451.69999999999993</v>
          </cell>
          <cell r="E18">
            <v>542.6</v>
          </cell>
          <cell r="F18">
            <v>644.29999999999995</v>
          </cell>
          <cell r="G18">
            <v>652.80000000000018</v>
          </cell>
          <cell r="H18">
            <v>699.2</v>
          </cell>
          <cell r="J18">
            <v>69.100000000000051</v>
          </cell>
          <cell r="K18">
            <v>109.50000000000006</v>
          </cell>
          <cell r="L18">
            <v>114.5</v>
          </cell>
          <cell r="M18">
            <v>158.59999999999997</v>
          </cell>
          <cell r="N18">
            <v>116.1</v>
          </cell>
          <cell r="O18">
            <v>120.20000000000005</v>
          </cell>
          <cell r="P18">
            <v>138.39999999999998</v>
          </cell>
          <cell r="Q18">
            <v>167.90000000000003</v>
          </cell>
        </row>
        <row r="19">
          <cell r="A19" t="str">
            <v>as % of sales</v>
          </cell>
          <cell r="B19">
            <v>0.25556717979375287</v>
          </cell>
          <cell r="C19">
            <v>0.25046296296296328</v>
          </cell>
          <cell r="D19">
            <v>0.28588607594936705</v>
          </cell>
          <cell r="E19">
            <v>0.30423324922904404</v>
          </cell>
          <cell r="F19">
            <v>0.31606573460878096</v>
          </cell>
          <cell r="G19">
            <v>0.31493631802392902</v>
          </cell>
          <cell r="H19">
            <v>0.29795031320577836</v>
          </cell>
          <cell r="J19">
            <v>0.22147435897435913</v>
          </cell>
          <cell r="K19">
            <v>0.27940801224802264</v>
          </cell>
          <cell r="L19">
            <v>0.28008806262230918</v>
          </cell>
          <cell r="M19">
            <v>0.3393965332762679</v>
          </cell>
          <cell r="N19">
            <v>0.28323981458892411</v>
          </cell>
          <cell r="O19">
            <v>0.28044797013532441</v>
          </cell>
          <cell r="P19">
            <v>0.31970431970431967</v>
          </cell>
          <cell r="Q19">
            <v>0.32786565123999223</v>
          </cell>
        </row>
        <row r="21">
          <cell r="A21" t="str">
            <v>MS FD EPS</v>
          </cell>
          <cell r="B21">
            <v>0.94614464521391528</v>
          </cell>
          <cell r="C21">
            <v>0.85915214706327891</v>
          </cell>
          <cell r="D21">
            <v>1.1895054083461294</v>
          </cell>
          <cell r="E21">
            <v>1.4052667372726486</v>
          </cell>
          <cell r="F21">
            <v>1.5893311166119917</v>
          </cell>
          <cell r="G21">
            <v>1.6527563710143762</v>
          </cell>
          <cell r="H21">
            <v>1.7131773815505265</v>
          </cell>
          <cell r="J21">
            <v>0.20036736807334887</v>
          </cell>
          <cell r="K21">
            <v>0.27188270868146752</v>
          </cell>
          <cell r="L21">
            <v>0.31062819808404629</v>
          </cell>
          <cell r="M21">
            <v>0.40364520858323327</v>
          </cell>
          <cell r="N21">
            <v>0.30693888749965276</v>
          </cell>
          <cell r="O21">
            <v>0.31012257713580982</v>
          </cell>
          <cell r="P21">
            <v>0.36745094834655873</v>
          </cell>
          <cell r="Q21">
            <v>0.42091199976834442</v>
          </cell>
        </row>
        <row r="22">
          <cell r="A22" t="str">
            <v>% chg</v>
          </cell>
          <cell r="B22">
            <v>6.7525606566385399E-3</v>
          </cell>
          <cell r="C22">
            <v>-9.1944184846037058E-2</v>
          </cell>
          <cell r="D22">
            <v>0.38451077892553887</v>
          </cell>
          <cell r="E22">
            <v>0.18138742994578783</v>
          </cell>
          <cell r="F22">
            <v>0.13098180897427092</v>
          </cell>
          <cell r="G22">
            <v>3.9906885191796526E-2</v>
          </cell>
          <cell r="H22">
            <v>3.6557723567610223E-2</v>
          </cell>
          <cell r="J22">
            <v>0.22107085600120868</v>
          </cell>
          <cell r="K22">
            <v>0.62294526686880913</v>
          </cell>
          <cell r="L22">
            <v>0.52844573600265643</v>
          </cell>
          <cell r="M22">
            <v>0.24864450740191324</v>
          </cell>
          <cell r="N22">
            <v>0.53188061734329439</v>
          </cell>
          <cell r="O22">
            <v>0.14064840180455684</v>
          </cell>
          <cell r="P22">
            <v>0.18292849977238057</v>
          </cell>
          <cell r="Q22">
            <v>4.2777148887054528E-2</v>
          </cell>
        </row>
        <row r="24">
          <cell r="A24" t="str">
            <v>DS non IFRS Fully Diluted EPS</v>
          </cell>
          <cell r="B24">
            <v>1.0096168097509199</v>
          </cell>
          <cell r="C24">
            <v>0.932723332181283</v>
          </cell>
          <cell r="D24">
            <v>1.2479872596750188</v>
          </cell>
          <cell r="E24">
            <v>1.4615306972341888</v>
          </cell>
          <cell r="F24">
            <v>1.6857481710962676</v>
          </cell>
          <cell r="G24">
            <v>1.7461380762915946</v>
          </cell>
          <cell r="H24">
            <v>1.8242280478568229</v>
          </cell>
          <cell r="J24">
            <v>0.21410684474123562</v>
          </cell>
          <cell r="K24">
            <v>0.29080364540182302</v>
          </cell>
          <cell r="L24">
            <v>0.32633744855967078</v>
          </cell>
          <cell r="M24">
            <v>0.413821138211382</v>
          </cell>
          <cell r="N24">
            <v>0.31733870967741934</v>
          </cell>
          <cell r="O24">
            <v>0.32085346215781013</v>
          </cell>
          <cell r="P24">
            <v>0.38682295877122069</v>
          </cell>
          <cell r="Q24">
            <v>0.43669354838709701</v>
          </cell>
        </row>
        <row r="25">
          <cell r="A25" t="str">
            <v>% chg</v>
          </cell>
          <cell r="B25">
            <v>1.8359195157354735E-2</v>
          </cell>
          <cell r="C25">
            <v>-7.6161051229532428E-2</v>
          </cell>
          <cell r="D25">
            <v>0.33800368942894798</v>
          </cell>
          <cell r="E25">
            <v>0.17111027048046767</v>
          </cell>
          <cell r="F25">
            <v>0.153412770793244</v>
          </cell>
          <cell r="G25">
            <v>3.5823799919091348E-2</v>
          </cell>
          <cell r="H25">
            <v>4.4721532979266954E-2</v>
          </cell>
          <cell r="J25">
            <v>0.16722763746028435</v>
          </cell>
          <cell r="K25">
            <v>0.56108684190706137</v>
          </cell>
          <cell r="L25">
            <v>0.48346574929769792</v>
          </cell>
          <cell r="M25">
            <v>0.21008941025173744</v>
          </cell>
          <cell r="N25">
            <v>0.48215116644658074</v>
          </cell>
          <cell r="O25">
            <v>0.10333370035463374</v>
          </cell>
          <cell r="P25">
            <v>0.18534651931155888</v>
          </cell>
          <cell r="Q25">
            <v>5.5271246593574519E-2</v>
          </cell>
        </row>
        <row r="27">
          <cell r="A27" t="str">
            <v>FCFE excl. M&amp;A</v>
          </cell>
          <cell r="B27">
            <v>255.54300000000006</v>
          </cell>
          <cell r="C27">
            <v>281.678</v>
          </cell>
          <cell r="D27">
            <v>370.87099999999992</v>
          </cell>
          <cell r="E27">
            <v>379.4620000000001</v>
          </cell>
          <cell r="F27">
            <v>525.64299999999992</v>
          </cell>
          <cell r="G27">
            <v>464.58700000000016</v>
          </cell>
          <cell r="H27">
            <v>454.21000000000004</v>
          </cell>
          <cell r="J27">
            <v>111.19230769230774</v>
          </cell>
          <cell r="K27">
            <v>119.22600000000008</v>
          </cell>
          <cell r="L27">
            <v>41.600000000000016</v>
          </cell>
          <cell r="M27">
            <v>86.299999999999955</v>
          </cell>
        </row>
        <row r="28">
          <cell r="A28" t="str">
            <v>% change y/y</v>
          </cell>
          <cell r="B28">
            <v>-9.1331588604265046E-2</v>
          </cell>
          <cell r="C28">
            <v>0.10227241599261161</v>
          </cell>
          <cell r="D28">
            <v>0.31664879756317466</v>
          </cell>
          <cell r="E28">
            <v>2.3164388695800397E-2</v>
          </cell>
          <cell r="F28">
            <v>0.38523224986955151</v>
          </cell>
          <cell r="G28">
            <v>-0.11615488078410585</v>
          </cell>
          <cell r="H28">
            <v>-2.2335967213891306E-2</v>
          </cell>
          <cell r="J28">
            <v>0.23684435697783912</v>
          </cell>
          <cell r="K28">
            <v>0.68899277518062374</v>
          </cell>
          <cell r="L28">
            <v>-0.2419825072886298</v>
          </cell>
          <cell r="M28">
            <v>0.44733090713938095</v>
          </cell>
        </row>
        <row r="30">
          <cell r="A30" t="str">
            <v>(Net Debt )/ Cash</v>
          </cell>
          <cell r="B30">
            <v>640.44299999999998</v>
          </cell>
          <cell r="C30">
            <v>857.95900000000006</v>
          </cell>
          <cell r="D30">
            <v>819.0179999999998</v>
          </cell>
          <cell r="E30">
            <v>1121.671</v>
          </cell>
          <cell r="F30">
            <v>1255.25</v>
          </cell>
          <cell r="G30">
            <v>1423.587</v>
          </cell>
          <cell r="H30">
            <v>815.50800000000004</v>
          </cell>
        </row>
        <row r="32">
          <cell r="A32" t="str">
            <v>DCF Summary</v>
          </cell>
          <cell r="B32" t="str">
            <v>Bull</v>
          </cell>
          <cell r="C32" t="str">
            <v>Base</v>
          </cell>
          <cell r="D32" t="str">
            <v>Bear</v>
          </cell>
        </row>
        <row r="34">
          <cell r="A34" t="str">
            <v>10 Yr Revenue CAGR (2009-19e)</v>
          </cell>
          <cell r="B34">
            <v>0.11089159048101394</v>
          </cell>
          <cell r="C34">
            <v>7.6184498051344418E-2</v>
          </cell>
          <cell r="D34">
            <v>1.1039188625596719E-2</v>
          </cell>
        </row>
        <row r="35">
          <cell r="A35" t="str">
            <v>10 Yr Average EBIT Margins</v>
          </cell>
          <cell r="B35">
            <v>0.29601280765695726</v>
          </cell>
          <cell r="C35" t="e">
            <v>#REF!</v>
          </cell>
          <cell r="D35">
            <v>0.25740484189131668</v>
          </cell>
        </row>
        <row r="36">
          <cell r="A36" t="str">
            <v>10 Yr FCF Growth CAGR</v>
          </cell>
          <cell r="B36">
            <v>9.9462475912735826E-2</v>
          </cell>
          <cell r="C36">
            <v>9.6384811091105416E-2</v>
          </cell>
          <cell r="D36">
            <v>-1.3787872166004744E-2</v>
          </cell>
        </row>
        <row r="37">
          <cell r="A37" t="str">
            <v>WACC %</v>
          </cell>
          <cell r="B37">
            <v>8.3968261681912959E-2</v>
          </cell>
          <cell r="C37">
            <v>7.9250000000000001E-2</v>
          </cell>
          <cell r="D37">
            <v>8.3968261681912959E-2</v>
          </cell>
        </row>
        <row r="38">
          <cell r="A38" t="str">
            <v>Terminal Growth Rate</v>
          </cell>
          <cell r="B38">
            <v>0.03</v>
          </cell>
          <cell r="C38">
            <v>0.03</v>
          </cell>
          <cell r="D38">
            <v>0.03</v>
          </cell>
        </row>
        <row r="39">
          <cell r="A39" t="str">
            <v>DCF Fair Value (EUR)</v>
          </cell>
          <cell r="B39">
            <v>100.99458338214831</v>
          </cell>
          <cell r="C39">
            <v>82.316812812070665</v>
          </cell>
          <cell r="D39">
            <v>39.994442786285354</v>
          </cell>
        </row>
        <row r="41">
          <cell r="A41" t="str">
            <v>FX</v>
          </cell>
        </row>
        <row r="42">
          <cell r="A42" t="str">
            <v>Euro - US$</v>
          </cell>
          <cell r="B42">
            <v>1.47028</v>
          </cell>
          <cell r="C42">
            <v>1.3938375000000001</v>
          </cell>
          <cell r="D42">
            <v>1.3266100000000001</v>
          </cell>
          <cell r="E42">
            <v>1.3918900000000001</v>
          </cell>
          <cell r="F42">
            <v>1.2854100000000002</v>
          </cell>
          <cell r="G42">
            <v>1.3282325000000001</v>
          </cell>
          <cell r="H42">
            <v>1.3286175000000002</v>
          </cell>
          <cell r="N42">
            <v>1.36914</v>
          </cell>
          <cell r="O42">
            <v>1.4399500000000001</v>
          </cell>
          <cell r="P42">
            <v>1.41093</v>
          </cell>
          <cell r="Q42">
            <v>1.3475400000000002</v>
          </cell>
        </row>
        <row r="43">
          <cell r="A43" t="str">
            <v>Euro - Yen</v>
          </cell>
          <cell r="B43">
            <v>152.1953</v>
          </cell>
          <cell r="C43">
            <v>130.33340000000001</v>
          </cell>
          <cell r="D43">
            <v>116.38235</v>
          </cell>
          <cell r="E43">
            <v>110.91637500000002</v>
          </cell>
          <cell r="F43">
            <v>102.6391</v>
          </cell>
          <cell r="G43">
            <v>117.70830999999998</v>
          </cell>
          <cell r="H43">
            <v>139.1883675</v>
          </cell>
          <cell r="N43">
            <v>112.6366</v>
          </cell>
          <cell r="O43">
            <v>117.36550000000001</v>
          </cell>
          <cell r="P43">
            <v>109.45360000000001</v>
          </cell>
          <cell r="Q43">
            <v>104.2098</v>
          </cell>
        </row>
      </sheetData>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P&amp;L Summary"/>
      <sheetName val="BS Summary"/>
      <sheetName val="CFS Summary"/>
      <sheetName val="SAPG.DE"/>
      <sheetName val="ModPubIndexInternal"/>
      <sheetName val="MW-Cache"/>
      <sheetName val="__FDSCACHE__"/>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ummary"/>
      <sheetName val="TEMN.S"/>
      <sheetName val="ModPubIndexInternal"/>
      <sheetName val="MW-Cache"/>
      <sheetName val="__FDSCACHE__"/>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s"/>
      <sheetName val="Neat"/>
      <sheetName val="FY"/>
      <sheetName val="MW-Cache"/>
      <sheetName val="Interim"/>
      <sheetName val="Drivers"/>
      <sheetName val="Flex"/>
      <sheetName val="LT DCF"/>
      <sheetName val="EVValuation"/>
      <sheetName val="EVSensitivity"/>
      <sheetName val="M&amp;A"/>
      <sheetName val="FX"/>
      <sheetName val="Preview"/>
      <sheetName val="First take"/>
      <sheetName val="Changes"/>
      <sheetName val="MWA RR"/>
      <sheetName val="mwareDates"/>
      <sheetName val="mwareSettings"/>
    </sheetNames>
    <sheetDataSet>
      <sheetData sheetId="0"/>
      <sheetData sheetId="1"/>
      <sheetData sheetId="2" refreshError="1">
        <row r="12">
          <cell r="B12" t="str">
            <v>Group Revenues</v>
          </cell>
        </row>
        <row r="15">
          <cell r="B15" t="str">
            <v>Cost of Goods Sold</v>
          </cell>
          <cell r="D15">
            <v>-1277.944</v>
          </cell>
          <cell r="E15">
            <v>-1412.0940000000001</v>
          </cell>
          <cell r="F15">
            <v>-1612.174</v>
          </cell>
          <cell r="G15">
            <v>-1755.5889999999999</v>
          </cell>
          <cell r="H15">
            <v>-1930.7809999999999</v>
          </cell>
          <cell r="I15">
            <v>-2083.027</v>
          </cell>
          <cell r="J15">
            <v>-2207.5683937831423</v>
          </cell>
          <cell r="K15">
            <v>-2375.062169346606</v>
          </cell>
          <cell r="L15">
            <v>-2560.2289784832046</v>
          </cell>
          <cell r="M15">
            <v>-2779.3001575602293</v>
          </cell>
          <cell r="N15">
            <v>-3042.7961059725562</v>
          </cell>
          <cell r="Q15" t="str">
            <v>mstag:costOfSalesWithDepreciation</v>
          </cell>
          <cell r="R15">
            <v>6</v>
          </cell>
          <cell r="S15" t="str">
            <v>ISO4217:DKK</v>
          </cell>
          <cell r="T15" t="b">
            <v>1</v>
          </cell>
        </row>
      </sheetData>
      <sheetData sheetId="3"/>
      <sheetData sheetId="4" refreshError="1">
        <row r="7">
          <cell r="B7" t="str">
            <v>Revenues</v>
          </cell>
          <cell r="D7">
            <v>499.79999999999995</v>
          </cell>
          <cell r="E7">
            <v>549.9</v>
          </cell>
          <cell r="F7">
            <v>542.69999999999993</v>
          </cell>
          <cell r="G7">
            <v>612.20000000000005</v>
          </cell>
          <cell r="H7">
            <v>2204.5999999999995</v>
          </cell>
          <cell r="I7">
            <v>551.95000000000005</v>
          </cell>
          <cell r="J7">
            <v>582.54999999999995</v>
          </cell>
          <cell r="K7">
            <v>587.1</v>
          </cell>
          <cell r="L7">
            <v>688.76599999999996</v>
          </cell>
          <cell r="M7">
            <v>2410.366</v>
          </cell>
          <cell r="N7">
            <v>615.33399999999995</v>
          </cell>
          <cell r="O7">
            <v>629.05600000000004</v>
          </cell>
          <cell r="P7">
            <v>632.98799999999994</v>
          </cell>
          <cell r="Q7">
            <v>722.90899999999999</v>
          </cell>
          <cell r="R7">
            <v>2600.2869999999998</v>
          </cell>
          <cell r="S7">
            <v>662.62099999999998</v>
          </cell>
          <cell r="T7">
            <v>658.64700000000005</v>
          </cell>
          <cell r="U7">
            <v>674.5</v>
          </cell>
          <cell r="V7">
            <v>753.74935000000005</v>
          </cell>
          <cell r="W7">
            <v>2749.5173500000001</v>
          </cell>
          <cell r="X7">
            <v>703.34774699436753</v>
          </cell>
          <cell r="Y7">
            <v>702.81300960566614</v>
          </cell>
          <cell r="Z7">
            <v>754.11983453163521</v>
          </cell>
          <cell r="AA7">
            <v>786.27505500000007</v>
          </cell>
          <cell r="AB7">
            <v>2946.5556461316692</v>
          </cell>
          <cell r="AC7">
            <v>747.57244396508599</v>
          </cell>
          <cell r="AD7">
            <v>751.9346432793202</v>
          </cell>
          <cell r="AE7">
            <v>858.42061430487013</v>
          </cell>
          <cell r="AF7">
            <v>817.58986535000008</v>
          </cell>
          <cell r="AG7">
            <v>3175.5175668992761</v>
          </cell>
          <cell r="AH7">
            <v>795.57639331157782</v>
          </cell>
          <cell r="AI7">
            <v>806.63563310241489</v>
          </cell>
          <cell r="AJ7">
            <v>996.93058305023567</v>
          </cell>
          <cell r="AK7">
            <v>847.09896390300014</v>
          </cell>
          <cell r="AL7">
            <v>3446.2415733672287</v>
          </cell>
          <cell r="AM7">
            <v>847.62330707907415</v>
          </cell>
          <cell r="AN7">
            <v>867.56963055084009</v>
          </cell>
          <cell r="AO7">
            <v>1182.3015168226307</v>
          </cell>
          <cell r="AP7">
            <v>874.20701111535027</v>
          </cell>
          <cell r="AQ7">
            <v>3771.7014655678954</v>
          </cell>
        </row>
        <row r="11">
          <cell r="B11" t="str">
            <v>Cost of Goods Sold</v>
          </cell>
          <cell r="D11">
            <v>-411.7</v>
          </cell>
          <cell r="E11">
            <v>-440.7</v>
          </cell>
          <cell r="F11">
            <v>-435.1</v>
          </cell>
          <cell r="G11">
            <v>-468.2</v>
          </cell>
          <cell r="H11">
            <v>-1755.7</v>
          </cell>
          <cell r="I11">
            <v>-443</v>
          </cell>
          <cell r="J11">
            <v>-481</v>
          </cell>
          <cell r="K11">
            <v>-465.4</v>
          </cell>
          <cell r="L11">
            <v>-541.38099999999997</v>
          </cell>
          <cell r="M11">
            <v>-1930.7809999999999</v>
          </cell>
          <cell r="N11">
            <v>-494.536</v>
          </cell>
          <cell r="O11">
            <v>-518.10699999999997</v>
          </cell>
          <cell r="P11">
            <v>-505.79599999999999</v>
          </cell>
          <cell r="Q11">
            <v>-564.58799999999997</v>
          </cell>
          <cell r="R11">
            <v>-2083.027</v>
          </cell>
          <cell r="S11">
            <v>-532.14</v>
          </cell>
          <cell r="T11">
            <v>-540.71299999999997</v>
          </cell>
          <cell r="U11">
            <v>-543.78</v>
          </cell>
          <cell r="V11">
            <v>-590.9353937831421</v>
          </cell>
          <cell r="W11">
            <v>-2207.5683937831423</v>
          </cell>
          <cell r="X11">
            <v>-566.95702226154356</v>
          </cell>
          <cell r="Y11">
            <v>-579.07930637188315</v>
          </cell>
          <cell r="Z11">
            <v>-610.23164582177515</v>
          </cell>
          <cell r="AA11">
            <v>-618.794194891404</v>
          </cell>
          <cell r="AB11">
            <v>-2375.062169346606</v>
          </cell>
          <cell r="AC11">
            <v>-602.60582132585398</v>
          </cell>
          <cell r="AD11">
            <v>-619.55283370677614</v>
          </cell>
          <cell r="AE11">
            <v>-694.6315430092634</v>
          </cell>
          <cell r="AF11">
            <v>-643.43878044131088</v>
          </cell>
          <cell r="AG11">
            <v>-2560.2289784832046</v>
          </cell>
          <cell r="AH11">
            <v>-641.30101341907448</v>
          </cell>
          <cell r="AI11">
            <v>-664.62344397107108</v>
          </cell>
          <cell r="AJ11">
            <v>-806.71341954908723</v>
          </cell>
          <cell r="AK11">
            <v>-666.66228062099651</v>
          </cell>
          <cell r="AL11">
            <v>-2779.3001575602293</v>
          </cell>
          <cell r="AM11">
            <v>-683.25517247285961</v>
          </cell>
          <cell r="AN11">
            <v>-714.82971006836226</v>
          </cell>
          <cell r="AO11">
            <v>-956.71505698606484</v>
          </cell>
          <cell r="AP11">
            <v>-687.99616644526998</v>
          </cell>
          <cell r="AQ11">
            <v>-3042.7961059725562</v>
          </cell>
        </row>
      </sheetData>
      <sheetData sheetId="5"/>
      <sheetData sheetId="6" refreshError="1"/>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eiersdorf"/>
      <sheetName val="Henkel"/>
      <sheetName val="Loreal"/>
      <sheetName val="Oriflame S.A"/>
      <sheetName val="Reckitt Benckiser"/>
      <sheetName val="Svenska Cellulosa AB"/>
      <sheetName val="Unilever"/>
      <sheetName val="Carbon Intensity"/>
      <sheetName val="Governance"/>
      <sheetName val="Average"/>
      <sheetName val="FX"/>
      <sheetName val="MW-Cache"/>
      <sheetName val="MW"/>
      <sheetName val="Comps"/>
      <sheetName val="Data_List"/>
      <sheetName val="Sheet1"/>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ow r="2">
          <cell r="B2" t="str">
            <v>Energy Intensity (GJ / revenue €mn)</v>
          </cell>
        </row>
        <row r="3">
          <cell r="B3" t="str">
            <v>CO2 intensity  (tCO2e / revenue €mn)</v>
          </cell>
        </row>
        <row r="4">
          <cell r="B4" t="str">
            <v>Waste Intensity (t / revenue €mn)</v>
          </cell>
        </row>
        <row r="5">
          <cell r="B5" t="str">
            <v>% Waste recycled</v>
          </cell>
        </row>
        <row r="6">
          <cell r="B6" t="str">
            <v>Water intensity (m3 / revenue €mn)</v>
          </cell>
        </row>
        <row r="7">
          <cell r="B7" t="str">
            <v>% of water recycled</v>
          </cell>
        </row>
        <row r="8">
          <cell r="B8" t="str">
            <v>Employee turnover (%)</v>
          </cell>
        </row>
        <row r="9">
          <cell r="B9" t="str">
            <v>Employee satisfaction (%)</v>
          </cell>
        </row>
        <row r="10">
          <cell r="B10" t="str">
            <v>Lost Tim Injury Rate (Employees)</v>
          </cell>
        </row>
        <row r="11">
          <cell r="B11" t="str">
            <v>Training days per employee</v>
          </cell>
        </row>
        <row r="12">
          <cell r="B12" t="str">
            <v>Women in management position</v>
          </cell>
        </row>
        <row r="13">
          <cell r="B13" t="str">
            <v>Women employees (%)</v>
          </cell>
        </row>
        <row r="14">
          <cell r="B14" t="str">
            <v>Average Labour cost per employee (€000s)</v>
          </cell>
        </row>
        <row r="15">
          <cell r="B15" t="str">
            <v>Independent board members (%)</v>
          </cell>
        </row>
        <row r="16">
          <cell r="B16" t="str">
            <v>Women on board (%)</v>
          </cell>
        </row>
        <row r="17">
          <cell r="B17" t="str">
            <v>Is the Chairman the CEO? Has the Chairman been the CEO?</v>
          </cell>
        </row>
        <row r="18">
          <cell r="B18" t="str">
            <v>CEO-Chairman Separation</v>
          </cell>
        </row>
        <row r="19">
          <cell r="B19" t="str">
            <v>Board meeting attendance (%)</v>
          </cell>
        </row>
        <row r="20">
          <cell r="B20" t="str">
            <v>Senior Executive Long-term Compensation incentives</v>
          </cell>
        </row>
        <row r="21">
          <cell r="B21" t="str">
            <v>Vesting of Stock Options.Restricted Stock</v>
          </cell>
        </row>
        <row r="22">
          <cell r="B22" t="str">
            <v>Independence of Audit Committee</v>
          </cell>
        </row>
      </sheetData>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mailto:vasundhara.govil@morganstanley.com" TargetMode="External" Type="http://schemas.openxmlformats.org/officeDocument/2006/relationships/hyperlink"/>
<Relationship Id="rId2" Target="../printerSettings/printerSettings4.bin" Type="http://schemas.openxmlformats.org/officeDocument/2006/relationships/printerSettings"/>
<Relationship Id="rId3" Target="../drawings/drawing3.xml" Type="http://schemas.openxmlformats.org/officeDocument/2006/relationships/drawing"/>
<Relationship Id="rId4" Target="../drawings/vmlDrawing3.vml" Type="http://schemas.openxmlformats.org/officeDocument/2006/relationships/vmlDrawing"/>
<Relationship Id="rId5" Target="../activeX/activeX2.xml" Type="http://schemas.openxmlformats.org/officeDocument/2006/relationships/control"/>
<Relationship Id="rId6" Target="../media/image5.emf" Type="http://schemas.openxmlformats.org/officeDocument/2006/relationships/image"/>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4.xml" Type="http://schemas.openxmlformats.org/officeDocument/2006/relationships/drawing"/>
<Relationship Id="rId3" Target="../drawings/vmlDrawing5.vml" Type="http://schemas.openxmlformats.org/officeDocument/2006/relationships/vmlDrawing"/>
<Relationship Id="rId4" Target="../activeX/activeX3.xml" Type="http://schemas.openxmlformats.org/officeDocument/2006/relationships/control"/>
<Relationship Id="rId5" Target="../media/image6.emf" Type="http://schemas.openxmlformats.org/officeDocument/2006/relationships/image"/>
<Relationship Id="rId6"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5.xml" Type="http://schemas.openxmlformats.org/officeDocument/2006/relationships/drawing"/>
<Relationship Id="rId3" Target="../drawings/vmlDrawing6.vml" Type="http://schemas.openxmlformats.org/officeDocument/2006/relationships/vmlDrawing"/>
<Relationship Id="rId4" Target="../activeX/activeX4.xml" Type="http://schemas.openxmlformats.org/officeDocument/2006/relationships/control"/>
<Relationship Id="rId5" Target="../media/image7.emf" Type="http://schemas.openxmlformats.org/officeDocument/2006/relationships/image"/>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4"/>
  <sheetViews>
    <sheetView showGridLines="0" tabSelected="1" workbookViewId="0">
      <selection activeCell="Z1" sqref="Z1"/>
    </sheetView>
  </sheetViews>
  <sheetFormatPr defaultRowHeight="12.75"/>
  <cols>
    <col min="1" max="1" width="25.7109375" style="1318" customWidth="1"/>
    <col min="2" max="5" width="9.140625" style="1318"/>
    <col min="6" max="6" width="18.7109375" style="1318" customWidth="1"/>
    <col min="7" max="256" width="9.140625" style="1318"/>
    <col min="257" max="257" width="100.7109375" style="1318" customWidth="1"/>
    <col min="258" max="512" width="9.140625" style="1318"/>
    <col min="513" max="513" width="100.7109375" style="1318" customWidth="1"/>
    <col min="514" max="768" width="9.140625" style="1318"/>
    <col min="769" max="769" width="100.7109375" style="1318" customWidth="1"/>
    <col min="770" max="1024" width="9.140625" style="1318"/>
    <col min="1025" max="1025" width="100.7109375" style="1318" customWidth="1"/>
    <col min="1026" max="1280" width="9.140625" style="1318"/>
    <col min="1281" max="1281" width="100.7109375" style="1318" customWidth="1"/>
    <col min="1282" max="1536" width="9.140625" style="1318"/>
    <col min="1537" max="1537" width="100.7109375" style="1318" customWidth="1"/>
    <col min="1538" max="1792" width="9.140625" style="1318"/>
    <col min="1793" max="1793" width="100.7109375" style="1318" customWidth="1"/>
    <col min="1794" max="2048" width="9.140625" style="1318"/>
    <col min="2049" max="2049" width="100.7109375" style="1318" customWidth="1"/>
    <col min="2050" max="2304" width="9.140625" style="1318"/>
    <col min="2305" max="2305" width="100.7109375" style="1318" customWidth="1"/>
    <col min="2306" max="2560" width="9.140625" style="1318"/>
    <col min="2561" max="2561" width="100.7109375" style="1318" customWidth="1"/>
    <col min="2562" max="2816" width="9.140625" style="1318"/>
    <col min="2817" max="2817" width="100.7109375" style="1318" customWidth="1"/>
    <col min="2818" max="3072" width="9.140625" style="1318"/>
    <col min="3073" max="3073" width="100.7109375" style="1318" customWidth="1"/>
    <col min="3074" max="3328" width="9.140625" style="1318"/>
    <col min="3329" max="3329" width="100.7109375" style="1318" customWidth="1"/>
    <col min="3330" max="3584" width="9.140625" style="1318"/>
    <col min="3585" max="3585" width="100.7109375" style="1318" customWidth="1"/>
    <col min="3586" max="3840" width="9.140625" style="1318"/>
    <col min="3841" max="3841" width="100.7109375" style="1318" customWidth="1"/>
    <col min="3842" max="4096" width="9.140625" style="1318"/>
    <col min="4097" max="4097" width="100.7109375" style="1318" customWidth="1"/>
    <col min="4098" max="4352" width="9.140625" style="1318"/>
    <col min="4353" max="4353" width="100.7109375" style="1318" customWidth="1"/>
    <col min="4354" max="4608" width="9.140625" style="1318"/>
    <col min="4609" max="4609" width="100.7109375" style="1318" customWidth="1"/>
    <col min="4610" max="4864" width="9.140625" style="1318"/>
    <col min="4865" max="4865" width="100.7109375" style="1318" customWidth="1"/>
    <col min="4866" max="5120" width="9.140625" style="1318"/>
    <col min="5121" max="5121" width="100.7109375" style="1318" customWidth="1"/>
    <col min="5122" max="5376" width="9.140625" style="1318"/>
    <col min="5377" max="5377" width="100.7109375" style="1318" customWidth="1"/>
    <col min="5378" max="5632" width="9.140625" style="1318"/>
    <col min="5633" max="5633" width="100.7109375" style="1318" customWidth="1"/>
    <col min="5634" max="5888" width="9.140625" style="1318"/>
    <col min="5889" max="5889" width="100.7109375" style="1318" customWidth="1"/>
    <col min="5890" max="6144" width="9.140625" style="1318"/>
    <col min="6145" max="6145" width="100.7109375" style="1318" customWidth="1"/>
    <col min="6146" max="6400" width="9.140625" style="1318"/>
    <col min="6401" max="6401" width="100.7109375" style="1318" customWidth="1"/>
    <col min="6402" max="6656" width="9.140625" style="1318"/>
    <col min="6657" max="6657" width="100.7109375" style="1318" customWidth="1"/>
    <col min="6658" max="6912" width="9.140625" style="1318"/>
    <col min="6913" max="6913" width="100.7109375" style="1318" customWidth="1"/>
    <col min="6914" max="7168" width="9.140625" style="1318"/>
    <col min="7169" max="7169" width="100.7109375" style="1318" customWidth="1"/>
    <col min="7170" max="7424" width="9.140625" style="1318"/>
    <col min="7425" max="7425" width="100.7109375" style="1318" customWidth="1"/>
    <col min="7426" max="7680" width="9.140625" style="1318"/>
    <col min="7681" max="7681" width="100.7109375" style="1318" customWidth="1"/>
    <col min="7682" max="7936" width="9.140625" style="1318"/>
    <col min="7937" max="7937" width="100.7109375" style="1318" customWidth="1"/>
    <col min="7938" max="8192" width="9.140625" style="1318"/>
    <col min="8193" max="8193" width="100.7109375" style="1318" customWidth="1"/>
    <col min="8194" max="8448" width="9.140625" style="1318"/>
    <col min="8449" max="8449" width="100.7109375" style="1318" customWidth="1"/>
    <col min="8450" max="8704" width="9.140625" style="1318"/>
    <col min="8705" max="8705" width="100.7109375" style="1318" customWidth="1"/>
    <col min="8706" max="8960" width="9.140625" style="1318"/>
    <col min="8961" max="8961" width="100.7109375" style="1318" customWidth="1"/>
    <col min="8962" max="9216" width="9.140625" style="1318"/>
    <col min="9217" max="9217" width="100.7109375" style="1318" customWidth="1"/>
    <col min="9218" max="9472" width="9.140625" style="1318"/>
    <col min="9473" max="9473" width="100.7109375" style="1318" customWidth="1"/>
    <col min="9474" max="9728" width="9.140625" style="1318"/>
    <col min="9729" max="9729" width="100.7109375" style="1318" customWidth="1"/>
    <col min="9730" max="9984" width="9.140625" style="1318"/>
    <col min="9985" max="9985" width="100.7109375" style="1318" customWidth="1"/>
    <col min="9986" max="10240" width="9.140625" style="1318"/>
    <col min="10241" max="10241" width="100.7109375" style="1318" customWidth="1"/>
    <col min="10242" max="10496" width="9.140625" style="1318"/>
    <col min="10497" max="10497" width="100.7109375" style="1318" customWidth="1"/>
    <col min="10498" max="10752" width="9.140625" style="1318"/>
    <col min="10753" max="10753" width="100.7109375" style="1318" customWidth="1"/>
    <col min="10754" max="11008" width="9.140625" style="1318"/>
    <col min="11009" max="11009" width="100.7109375" style="1318" customWidth="1"/>
    <col min="11010" max="11264" width="9.140625" style="1318"/>
    <col min="11265" max="11265" width="100.7109375" style="1318" customWidth="1"/>
    <col min="11266" max="11520" width="9.140625" style="1318"/>
    <col min="11521" max="11521" width="100.7109375" style="1318" customWidth="1"/>
    <col min="11522" max="11776" width="9.140625" style="1318"/>
    <col min="11777" max="11777" width="100.7109375" style="1318" customWidth="1"/>
    <col min="11778" max="12032" width="9.140625" style="1318"/>
    <col min="12033" max="12033" width="100.7109375" style="1318" customWidth="1"/>
    <col min="12034" max="12288" width="9.140625" style="1318"/>
    <col min="12289" max="12289" width="100.7109375" style="1318" customWidth="1"/>
    <col min="12290" max="12544" width="9.140625" style="1318"/>
    <col min="12545" max="12545" width="100.7109375" style="1318" customWidth="1"/>
    <col min="12546" max="12800" width="9.140625" style="1318"/>
    <col min="12801" max="12801" width="100.7109375" style="1318" customWidth="1"/>
    <col min="12802" max="13056" width="9.140625" style="1318"/>
    <col min="13057" max="13057" width="100.7109375" style="1318" customWidth="1"/>
    <col min="13058" max="13312" width="9.140625" style="1318"/>
    <col min="13313" max="13313" width="100.7109375" style="1318" customWidth="1"/>
    <col min="13314" max="13568" width="9.140625" style="1318"/>
    <col min="13569" max="13569" width="100.7109375" style="1318" customWidth="1"/>
    <col min="13570" max="13824" width="9.140625" style="1318"/>
    <col min="13825" max="13825" width="100.7109375" style="1318" customWidth="1"/>
    <col min="13826" max="14080" width="9.140625" style="1318"/>
    <col min="14081" max="14081" width="100.7109375" style="1318" customWidth="1"/>
    <col min="14082" max="14336" width="9.140625" style="1318"/>
    <col min="14337" max="14337" width="100.7109375" style="1318" customWidth="1"/>
    <col min="14338" max="14592" width="9.140625" style="1318"/>
    <col min="14593" max="14593" width="100.7109375" style="1318" customWidth="1"/>
    <col min="14594" max="14848" width="9.140625" style="1318"/>
    <col min="14849" max="14849" width="100.7109375" style="1318" customWidth="1"/>
    <col min="14850" max="15104" width="9.140625" style="1318"/>
    <col min="15105" max="15105" width="100.7109375" style="1318" customWidth="1"/>
    <col min="15106" max="15360" width="9.140625" style="1318"/>
    <col min="15361" max="15361" width="100.7109375" style="1318" customWidth="1"/>
    <col min="15362" max="15616" width="9.140625" style="1318"/>
    <col min="15617" max="15617" width="100.7109375" style="1318" customWidth="1"/>
    <col min="15618" max="15872" width="9.140625" style="1318"/>
    <col min="15873" max="15873" width="100.7109375" style="1318" customWidth="1"/>
    <col min="15874" max="16128" width="9.140625" style="1318"/>
    <col min="16129" max="16129" width="100.7109375" style="1318" customWidth="1"/>
    <col min="16130" max="16384" width="9.140625" style="1318"/>
  </cols>
  <sheetData>
    <row r="1" spans="1:8" ht="30" customHeight="1">
      <c r="A1" s="1316"/>
      <c r="B1" s="1317"/>
      <c r="C1" s="1317"/>
      <c r="D1" s="1317"/>
      <c r="E1" s="1317"/>
      <c r="F1" s="1317"/>
      <c r="G1" s="1317"/>
      <c r="H1" s="1317"/>
    </row>
    <row r="2" spans="1:8" ht="14.25">
      <c r="A2" s="1319" t="s">
        <v>469</v>
      </c>
      <c r="B2" s="1317"/>
      <c r="C2" s="1317"/>
      <c r="D2" s="1317"/>
      <c r="E2" s="1317"/>
      <c r="F2" s="1317"/>
      <c r="G2" s="1317"/>
      <c r="H2" s="1317"/>
    </row>
    <row r="3" spans="1:8" ht="14.25">
      <c r="A3" s="1319" t="s">
        <v>470</v>
      </c>
      <c r="B3" s="1317"/>
      <c r="C3" s="1317"/>
      <c r="D3" s="1317"/>
      <c r="E3" s="1317"/>
      <c r="F3" s="1317"/>
      <c r="G3" s="1317"/>
      <c r="H3" s="1317"/>
    </row>
    <row r="4" spans="1:8" ht="14.25">
      <c r="A4" s="1319" t="s">
        <v>471</v>
      </c>
      <c r="B4" s="1317"/>
      <c r="C4" s="1317"/>
      <c r="D4" s="1317"/>
      <c r="E4" s="1317"/>
      <c r="F4" s="1317"/>
      <c r="G4" s="1317"/>
      <c r="H4" s="1317"/>
    </row>
    <row r="5" spans="1:8" ht="14.25">
      <c r="A5" s="1319" t="s">
        <v>472</v>
      </c>
      <c r="B5" s="1317"/>
      <c r="C5" s="1317"/>
      <c r="D5" s="1317"/>
      <c r="E5" s="1317"/>
      <c r="F5" s="1317"/>
      <c r="G5" s="1317"/>
      <c r="H5" s="1317"/>
    </row>
    <row r="6" spans="1:8" ht="14.25">
      <c r="A6" s="1319"/>
      <c r="B6" s="1317"/>
      <c r="C6" s="1317"/>
      <c r="D6" s="1317"/>
      <c r="E6" s="1317"/>
      <c r="F6" s="1317"/>
      <c r="G6" s="1317"/>
      <c r="H6" s="1317"/>
    </row>
    <row r="7" spans="1:8">
      <c r="A7" s="1316" t="s">
        <v>473</v>
      </c>
      <c r="B7" s="1317"/>
      <c r="C7" s="1317"/>
      <c r="D7" s="1317"/>
      <c r="E7" s="1317"/>
      <c r="F7" s="1317"/>
      <c r="G7" s="1317"/>
      <c r="H7" s="1317"/>
    </row>
    <row r="8" spans="1:8">
      <c r="A8" s="1316" t="s">
        <v>474</v>
      </c>
      <c r="B8" s="1317"/>
      <c r="C8" s="1317"/>
      <c r="D8" s="1317"/>
      <c r="E8" s="1317"/>
      <c r="F8" s="1317"/>
      <c r="G8" s="1317"/>
      <c r="H8" s="1317"/>
    </row>
    <row r="9" spans="1:8">
      <c r="A9" s="1316"/>
      <c r="B9" s="1317"/>
      <c r="C9" s="1317"/>
      <c r="D9" s="1317"/>
      <c r="E9" s="1317"/>
      <c r="F9" s="1317"/>
      <c r="G9" s="1317"/>
      <c r="H9" s="1317"/>
    </row>
    <row r="10" spans="1:8">
      <c r="A10" s="1320" t="s">
        <v>475</v>
      </c>
      <c r="B10" s="1317"/>
      <c r="C10" s="1317"/>
      <c r="D10" s="1317"/>
      <c r="E10" s="1317"/>
      <c r="F10" s="1317"/>
      <c r="G10" s="1317"/>
      <c r="H10" s="1317"/>
    </row>
    <row r="11" spans="1:8">
      <c r="A11" s="1320" t="s">
        <v>476</v>
      </c>
      <c r="B11" s="1317"/>
      <c r="C11" s="1317"/>
      <c r="D11" s="1317"/>
      <c r="E11" s="1317"/>
      <c r="F11" s="1317"/>
      <c r="G11" s="1317"/>
      <c r="H11" s="1317"/>
    </row>
    <row r="12" spans="1:8">
      <c r="A12" s="1320" t="s">
        <v>477</v>
      </c>
      <c r="B12" s="1317"/>
      <c r="C12" s="1317"/>
      <c r="D12" s="1317"/>
      <c r="E12" s="1317"/>
      <c r="F12" s="1317"/>
      <c r="G12" s="1317"/>
      <c r="H12" s="1317"/>
    </row>
    <row r="13" spans="1:8">
      <c r="A13" s="1320" t="s">
        <v>478</v>
      </c>
      <c r="B13" s="1317"/>
      <c r="C13" s="1317"/>
      <c r="D13" s="1317"/>
      <c r="E13" s="1317"/>
      <c r="F13" s="1317"/>
      <c r="G13" s="1317"/>
      <c r="H13" s="1317"/>
    </row>
    <row r="14" spans="1:8">
      <c r="A14" s="1320" t="s">
        <v>479</v>
      </c>
      <c r="B14" s="1317"/>
      <c r="C14" s="1317"/>
      <c r="D14" s="1317"/>
      <c r="E14" s="1317"/>
      <c r="F14" s="1317"/>
      <c r="G14" s="1317"/>
      <c r="H14" s="1317"/>
    </row>
    <row r="15" spans="1:8">
      <c r="A15" s="1320" t="s">
        <v>480</v>
      </c>
      <c r="B15" s="1317"/>
      <c r="C15" s="1317"/>
      <c r="D15" s="1317"/>
      <c r="E15" s="1317"/>
      <c r="F15" s="1317"/>
      <c r="G15" s="1317"/>
      <c r="H15" s="1317"/>
    </row>
    <row r="16" spans="1:8">
      <c r="A16" s="1320"/>
      <c r="B16" s="1317"/>
      <c r="C16" s="1317"/>
      <c r="D16" s="1317"/>
      <c r="E16" s="1317"/>
      <c r="F16" s="1317"/>
      <c r="G16" s="1317"/>
      <c r="H16" s="1317"/>
    </row>
    <row r="17" spans="1:8">
      <c r="A17" s="1320" t="s">
        <v>466</v>
      </c>
      <c r="B17" s="1317"/>
      <c r="C17" s="1317"/>
      <c r="D17" s="1317"/>
      <c r="E17" s="1317"/>
      <c r="F17" s="1317"/>
      <c r="G17" s="1317"/>
      <c r="H17" s="1317"/>
    </row>
    <row r="18" spans="1:8">
      <c r="A18" s="1320"/>
      <c r="B18" s="1317"/>
      <c r="C18" s="1317"/>
      <c r="D18" s="1317"/>
      <c r="E18" s="1317"/>
      <c r="F18" s="1317"/>
      <c r="G18" s="1317"/>
      <c r="H18" s="1317"/>
    </row>
    <row r="19" spans="1:8">
      <c r="A19" s="1320" t="s">
        <v>467</v>
      </c>
      <c r="B19" s="1317"/>
      <c r="C19" s="1317"/>
      <c r="D19" s="1317"/>
      <c r="E19" s="1317"/>
      <c r="F19" s="1317"/>
      <c r="G19" s="1317"/>
      <c r="H19" s="1317"/>
    </row>
    <row r="20" spans="1:8">
      <c r="A20" s="1316"/>
      <c r="B20" s="1317"/>
      <c r="C20" s="1317"/>
      <c r="D20" s="1317"/>
      <c r="E20" s="1317"/>
      <c r="F20" s="1317"/>
      <c r="G20" s="1317"/>
      <c r="H20" s="1317"/>
    </row>
    <row r="21" spans="1:8">
      <c r="A21" s="1321" t="s">
        <v>468</v>
      </c>
      <c r="B21" s="1317"/>
      <c r="C21" s="1317"/>
      <c r="D21" s="1317"/>
      <c r="E21" s="1317"/>
      <c r="F21" s="1317"/>
      <c r="G21" s="1317"/>
      <c r="H21" s="1317"/>
    </row>
    <row r="22" spans="1:8">
      <c r="A22" s="1317"/>
      <c r="B22" s="1317"/>
      <c r="C22" s="1317"/>
      <c r="D22" s="1317"/>
      <c r="E22" s="1317"/>
      <c r="F22" s="1317"/>
      <c r="G22" s="1317"/>
      <c r="H22" s="1317"/>
    </row>
    <row r="23" spans="1:8">
      <c r="A23" s="1322" t="s">
        <v>760</v>
      </c>
      <c r="B23" s="1317"/>
      <c r="C23" s="1317"/>
      <c r="D23" s="1317"/>
      <c r="E23" s="1317"/>
      <c r="F23" s="1317"/>
      <c r="G23" s="1317"/>
      <c r="H23" s="1317"/>
    </row>
    <row r="24" spans="1:8">
      <c r="A24" s="1322" t="s">
        <v>761</v>
      </c>
      <c r="B24" s="1317"/>
      <c r="C24" s="1317"/>
      <c r="D24" s="1317"/>
      <c r="E24" s="1317"/>
      <c r="F24" s="1317"/>
      <c r="G24" s="1317"/>
      <c r="H24" s="1317"/>
    </row>
    <row r="25" spans="1:8">
      <c r="A25" s="1322" t="s">
        <v>762</v>
      </c>
      <c r="B25" s="1317"/>
      <c r="C25" s="1317"/>
      <c r="D25" s="1317"/>
      <c r="E25" s="1317"/>
      <c r="F25" s="1317"/>
      <c r="G25" s="1317"/>
      <c r="H25" s="1317"/>
    </row>
    <row r="26" spans="1:8">
      <c r="A26" s="1322" t="s">
        <v>763</v>
      </c>
      <c r="B26" s="1317"/>
      <c r="C26" s="1317"/>
      <c r="D26" s="1317"/>
      <c r="E26" s="1317"/>
      <c r="F26" s="1317"/>
      <c r="G26" s="1317"/>
      <c r="H26" s="1317"/>
    </row>
    <row r="27" spans="1:8">
      <c r="A27" s="1317"/>
      <c r="B27" s="1317"/>
      <c r="C27" s="1317"/>
      <c r="D27" s="1317"/>
      <c r="E27" s="1317"/>
      <c r="F27" s="1317"/>
      <c r="G27" s="1317"/>
      <c r="H27" s="1317"/>
    </row>
    <row r="28" spans="1:8">
      <c r="A28" s="1317"/>
      <c r="B28" s="1317"/>
      <c r="C28" s="1317"/>
      <c r="D28" s="1317"/>
      <c r="E28" s="1317"/>
      <c r="F28" s="1317"/>
      <c r="G28" s="1317"/>
      <c r="H28" s="1317"/>
    </row>
    <row r="29" spans="1:8">
      <c r="A29" s="1322" t="s">
        <v>755</v>
      </c>
      <c r="B29" s="1317"/>
      <c r="C29" s="1317"/>
      <c r="D29" s="1317"/>
      <c r="E29" s="1317"/>
      <c r="F29" s="1317"/>
      <c r="G29" s="1317"/>
      <c r="H29" s="1317"/>
    </row>
    <row r="30" spans="1:8">
      <c r="A30" s="1322" t="s">
        <v>756</v>
      </c>
      <c r="B30" s="1317"/>
      <c r="C30" s="1317"/>
      <c r="D30" s="1317"/>
      <c r="E30" s="1317"/>
      <c r="F30" s="1317"/>
      <c r="G30" s="1317"/>
      <c r="H30" s="1317"/>
    </row>
    <row r="31" spans="1:8">
      <c r="A31" s="1322" t="s">
        <v>757</v>
      </c>
      <c r="B31" s="1317"/>
      <c r="C31" s="1317"/>
      <c r="D31" s="1317"/>
      <c r="E31" s="1317"/>
      <c r="F31" s="1317"/>
      <c r="G31" s="1317"/>
      <c r="H31" s="1317"/>
    </row>
    <row r="32" spans="1:8">
      <c r="A32" s="1322" t="s">
        <v>758</v>
      </c>
      <c r="B32" s="1317"/>
      <c r="C32" s="1317"/>
      <c r="D32" s="1317"/>
      <c r="E32" s="1317"/>
      <c r="F32" s="1317"/>
      <c r="G32" s="1317"/>
      <c r="H32" s="1317"/>
    </row>
    <row r="33" spans="1:8">
      <c r="A33" s="1322" t="s">
        <v>759</v>
      </c>
      <c r="B33" s="1317"/>
      <c r="C33" s="1317"/>
      <c r="D33" s="1317"/>
      <c r="E33" s="1317"/>
      <c r="F33" s="1317"/>
      <c r="G33" s="1317"/>
      <c r="H33" s="1317"/>
    </row>
    <row r="34" spans="1:8">
      <c r="A34" s="1317"/>
      <c r="B34" s="1317"/>
      <c r="C34" s="1317"/>
      <c r="D34" s="1317"/>
      <c r="E34" s="1317"/>
      <c r="F34" s="1317"/>
      <c r="G34" s="1317"/>
      <c r="H34" s="1317"/>
    </row>
    <row r="35" spans="1:8">
      <c r="A35" s="1322" t="s">
        <v>751</v>
      </c>
      <c r="B35" s="1317"/>
      <c r="C35" s="1317"/>
      <c r="D35" s="1317"/>
      <c r="E35" s="1317"/>
      <c r="F35" s="1317"/>
      <c r="G35" s="1317"/>
      <c r="H35" s="1317"/>
    </row>
    <row r="36" spans="1:8">
      <c r="A36" s="1322" t="s">
        <v>752</v>
      </c>
      <c r="B36" s="1317"/>
      <c r="C36" s="1317"/>
      <c r="D36" s="1317"/>
      <c r="E36" s="1317"/>
      <c r="F36" s="1317"/>
      <c r="G36" s="1317"/>
      <c r="H36" s="1317"/>
    </row>
    <row r="37" spans="1:8">
      <c r="A37" s="1322" t="s">
        <v>753</v>
      </c>
      <c r="B37" s="1317"/>
      <c r="C37" s="1317"/>
      <c r="D37" s="1317"/>
      <c r="E37" s="1317"/>
      <c r="F37" s="1317"/>
      <c r="G37" s="1317"/>
      <c r="H37" s="1317"/>
    </row>
    <row r="38" spans="1:8">
      <c r="A38" s="1322" t="s">
        <v>754</v>
      </c>
      <c r="B38" s="1317"/>
      <c r="C38" s="1317"/>
      <c r="D38" s="1317"/>
      <c r="E38" s="1317"/>
      <c r="F38" s="1317"/>
      <c r="G38" s="1317"/>
      <c r="H38" s="1317"/>
    </row>
    <row r="39" spans="1:8">
      <c r="A39" s="1317"/>
      <c r="B39" s="1317"/>
      <c r="C39" s="1317"/>
      <c r="D39" s="1317"/>
      <c r="E39" s="1317"/>
      <c r="F39" s="1317"/>
      <c r="G39" s="1317"/>
      <c r="H39" s="1317"/>
    </row>
    <row r="40" spans="1:8">
      <c r="A40" s="1322" t="s">
        <v>745</v>
      </c>
      <c r="B40" s="1317"/>
      <c r="C40" s="1317"/>
      <c r="D40" s="1317"/>
      <c r="E40" s="1317"/>
      <c r="F40" s="1317"/>
      <c r="G40" s="1317"/>
      <c r="H40" s="1317"/>
    </row>
    <row r="41" spans="1:8">
      <c r="A41" s="1322" t="s">
        <v>746</v>
      </c>
      <c r="B41" s="1317"/>
      <c r="C41" s="1317"/>
      <c r="D41" s="1317"/>
      <c r="E41" s="1317"/>
      <c r="F41" s="1317"/>
      <c r="G41" s="1317"/>
      <c r="H41" s="1317"/>
    </row>
    <row r="42" spans="1:8">
      <c r="A42" s="1322" t="s">
        <v>747</v>
      </c>
      <c r="B42" s="1317"/>
      <c r="C42" s="1317"/>
      <c r="D42" s="1317"/>
      <c r="E42" s="1317"/>
      <c r="F42" s="1317"/>
      <c r="G42" s="1317"/>
      <c r="H42" s="1317"/>
    </row>
    <row r="43" spans="1:8">
      <c r="A43" s="1322" t="s">
        <v>748</v>
      </c>
      <c r="B43" s="1317"/>
      <c r="C43" s="1317"/>
      <c r="D43" s="1317"/>
      <c r="E43" s="1317"/>
      <c r="F43" s="1317"/>
      <c r="G43" s="1317"/>
      <c r="H43" s="1317"/>
    </row>
    <row r="44" spans="1:8">
      <c r="A44" s="1322" t="s">
        <v>749</v>
      </c>
      <c r="B44" s="1317"/>
      <c r="C44" s="1317"/>
      <c r="D44" s="1317"/>
      <c r="E44" s="1317"/>
      <c r="F44" s="1317"/>
      <c r="G44" s="1317"/>
      <c r="H44" s="1317"/>
    </row>
    <row r="45" spans="1:8">
      <c r="A45" s="1322" t="s">
        <v>750</v>
      </c>
      <c r="B45" s="1317"/>
      <c r="C45" s="1317"/>
      <c r="D45" s="1317"/>
      <c r="E45" s="1317"/>
      <c r="F45" s="1317"/>
      <c r="G45" s="1317"/>
      <c r="H45" s="1317"/>
    </row>
    <row r="46" spans="1:8">
      <c r="A46" s="1317"/>
      <c r="B46" s="1317"/>
      <c r="C46" s="1317"/>
      <c r="D46" s="1317"/>
      <c r="E46" s="1317"/>
      <c r="F46" s="1317"/>
      <c r="G46" s="1317"/>
      <c r="H46" s="1317"/>
    </row>
    <row r="47" spans="1:8" ht="15.75">
      <c r="A47" s="1323" t="s">
        <v>481</v>
      </c>
      <c r="B47" s="1317"/>
      <c r="C47" s="1317"/>
      <c r="D47" s="1317"/>
      <c r="E47" s="1317"/>
      <c r="F47" s="1317"/>
      <c r="G47" s="1317"/>
      <c r="H47" s="1317"/>
    </row>
    <row r="48" spans="1:8">
      <c r="A48" s="1317"/>
      <c r="B48" s="1317"/>
      <c r="C48" s="1317"/>
      <c r="D48" s="1317"/>
      <c r="E48" s="1317"/>
      <c r="F48" s="1317"/>
      <c r="G48" s="1317"/>
      <c r="H48" s="1317"/>
    </row>
    <row r="49" spans="1:8">
      <c r="A49" s="1322" t="s">
        <v>741</v>
      </c>
      <c r="B49" s="1317"/>
      <c r="C49" s="1317"/>
      <c r="D49" s="1317"/>
      <c r="E49" s="1317"/>
      <c r="F49" s="1317"/>
      <c r="G49" s="1317"/>
      <c r="H49" s="1317"/>
    </row>
    <row r="50" spans="1:8">
      <c r="A50" s="1322" t="s">
        <v>742</v>
      </c>
      <c r="B50" s="1317"/>
      <c r="C50" s="1317"/>
      <c r="D50" s="1317"/>
      <c r="E50" s="1317"/>
      <c r="F50" s="1317"/>
      <c r="G50" s="1317"/>
      <c r="H50" s="1317"/>
    </row>
    <row r="51" spans="1:8">
      <c r="A51" s="1322" t="s">
        <v>743</v>
      </c>
      <c r="B51" s="1317"/>
      <c r="C51" s="1317"/>
      <c r="D51" s="1317"/>
      <c r="E51" s="1317"/>
      <c r="F51" s="1317"/>
      <c r="G51" s="1317"/>
      <c r="H51" s="1317"/>
    </row>
    <row r="52" spans="1:8">
      <c r="A52" s="1322" t="s">
        <v>744</v>
      </c>
      <c r="B52" s="1317"/>
      <c r="C52" s="1317"/>
      <c r="D52" s="1317"/>
      <c r="E52" s="1317"/>
      <c r="F52" s="1317"/>
      <c r="G52" s="1317"/>
      <c r="H52" s="1317"/>
    </row>
    <row r="53" spans="1:8">
      <c r="A53" s="1317"/>
      <c r="B53" s="1317"/>
      <c r="C53" s="1317"/>
      <c r="D53" s="1317"/>
      <c r="E53" s="1317"/>
      <c r="F53" s="1317"/>
      <c r="G53" s="1317"/>
      <c r="H53" s="1317"/>
    </row>
    <row r="54" spans="1:8">
      <c r="A54" s="1322" t="s">
        <v>482</v>
      </c>
      <c r="B54" s="1317"/>
      <c r="C54" s="1317"/>
      <c r="D54" s="1317"/>
      <c r="E54" s="1317"/>
      <c r="F54" s="1317"/>
      <c r="G54" s="1317"/>
      <c r="H54" s="1317"/>
    </row>
    <row r="55" spans="1:8">
      <c r="A55" s="1317"/>
      <c r="B55" s="1317"/>
      <c r="C55" s="1317"/>
      <c r="D55" s="1317"/>
      <c r="E55" s="1317"/>
      <c r="F55" s="1317"/>
      <c r="G55" s="1317"/>
      <c r="H55" s="1317"/>
    </row>
    <row r="56" spans="1:8" ht="15.75">
      <c r="A56" s="1323" t="s">
        <v>483</v>
      </c>
      <c r="B56" s="1317"/>
      <c r="C56" s="1317"/>
      <c r="D56" s="1317"/>
      <c r="E56" s="1317"/>
      <c r="F56" s="1317"/>
      <c r="G56" s="1317"/>
      <c r="H56" s="1317"/>
    </row>
    <row r="57" spans="1:8">
      <c r="A57" s="1317"/>
      <c r="B57" s="1317"/>
      <c r="C57" s="1317"/>
      <c r="D57" s="1317"/>
      <c r="E57" s="1317"/>
      <c r="F57" s="1317"/>
      <c r="G57" s="1317"/>
      <c r="H57" s="1317"/>
    </row>
    <row r="58" spans="1:8">
      <c r="A58" s="1322" t="s">
        <v>739</v>
      </c>
      <c r="B58" s="1317"/>
      <c r="C58" s="1317"/>
      <c r="D58" s="1317"/>
      <c r="E58" s="1317"/>
      <c r="F58" s="1317"/>
      <c r="G58" s="1317"/>
      <c r="H58" s="1317"/>
    </row>
    <row r="59" spans="1:8">
      <c r="A59" s="1322" t="s">
        <v>740</v>
      </c>
      <c r="B59" s="1317"/>
      <c r="C59" s="1317"/>
      <c r="D59" s="1317"/>
      <c r="E59" s="1317"/>
      <c r="F59" s="1317"/>
      <c r="G59" s="1317"/>
      <c r="H59" s="1317"/>
    </row>
    <row r="60" spans="1:8">
      <c r="A60" s="1317"/>
      <c r="B60" s="1317"/>
      <c r="C60" s="1317"/>
      <c r="D60" s="1317"/>
      <c r="E60" s="1317"/>
      <c r="F60" s="1317"/>
      <c r="G60" s="1317"/>
      <c r="H60" s="1317"/>
    </row>
    <row r="61" spans="1:8" ht="15.75">
      <c r="A61" s="1323" t="s">
        <v>484</v>
      </c>
      <c r="B61" s="1317"/>
      <c r="C61" s="1317"/>
      <c r="D61" s="1317"/>
      <c r="E61" s="1317"/>
      <c r="F61" s="1317"/>
      <c r="G61" s="1317"/>
      <c r="H61" s="1317"/>
    </row>
    <row r="62" spans="1:8">
      <c r="A62" s="1317"/>
      <c r="B62" s="1317"/>
      <c r="C62" s="1317"/>
      <c r="D62" s="1317"/>
      <c r="E62" s="1317"/>
      <c r="F62" s="1317"/>
      <c r="G62" s="1317"/>
      <c r="H62" s="1317"/>
    </row>
    <row r="63" spans="1:8">
      <c r="A63" s="1322" t="s">
        <v>737</v>
      </c>
      <c r="B63" s="1317"/>
      <c r="C63" s="1317"/>
      <c r="D63" s="1317"/>
      <c r="E63" s="1317"/>
      <c r="F63" s="1317"/>
      <c r="G63" s="1317"/>
      <c r="H63" s="1317"/>
    </row>
    <row r="64" spans="1:8">
      <c r="A64" s="1322" t="s">
        <v>738</v>
      </c>
      <c r="B64" s="1317"/>
      <c r="C64" s="1317"/>
      <c r="D64" s="1317"/>
      <c r="E64" s="1317"/>
      <c r="F64" s="1317"/>
      <c r="G64" s="1317"/>
      <c r="H64" s="1317"/>
    </row>
    <row r="65" spans="1:8">
      <c r="A65" s="1317"/>
      <c r="B65" s="1317"/>
      <c r="C65" s="1317"/>
      <c r="D65" s="1317"/>
      <c r="E65" s="1317"/>
      <c r="F65" s="1317"/>
      <c r="G65" s="1317"/>
      <c r="H65" s="1317"/>
    </row>
    <row r="66" spans="1:8">
      <c r="A66" s="1322" t="s">
        <v>735</v>
      </c>
      <c r="B66" s="1317"/>
      <c r="C66" s="1317"/>
      <c r="D66" s="1317"/>
      <c r="E66" s="1317"/>
      <c r="F66" s="1317"/>
      <c r="G66" s="1317"/>
      <c r="H66" s="1317"/>
    </row>
    <row r="67" spans="1:8">
      <c r="A67" s="1322" t="s">
        <v>736</v>
      </c>
      <c r="B67" s="1317"/>
      <c r="C67" s="1317"/>
      <c r="D67" s="1317"/>
      <c r="E67" s="1317"/>
      <c r="F67" s="1317"/>
      <c r="G67" s="1317"/>
      <c r="H67" s="1317"/>
    </row>
    <row r="68" spans="1:8">
      <c r="A68" s="1317"/>
      <c r="B68" s="1317"/>
      <c r="C68" s="1317"/>
      <c r="D68" s="1317"/>
      <c r="E68" s="1317"/>
      <c r="F68" s="1317"/>
      <c r="G68" s="1317"/>
      <c r="H68" s="1317"/>
    </row>
    <row r="69" spans="1:8">
      <c r="A69" s="1322" t="s">
        <v>733</v>
      </c>
      <c r="B69" s="1317"/>
      <c r="C69" s="1317"/>
      <c r="D69" s="1317"/>
      <c r="E69" s="1317"/>
      <c r="F69" s="1317"/>
      <c r="G69" s="1317"/>
      <c r="H69" s="1317"/>
    </row>
    <row r="70" spans="1:8">
      <c r="A70" s="1322" t="s">
        <v>734</v>
      </c>
      <c r="B70" s="1317"/>
      <c r="C70" s="1317"/>
      <c r="D70" s="1317"/>
      <c r="E70" s="1317"/>
      <c r="F70" s="1317"/>
      <c r="G70" s="1317"/>
      <c r="H70" s="1317"/>
    </row>
    <row r="71" spans="1:8">
      <c r="A71" s="1317"/>
      <c r="B71" s="1317"/>
      <c r="C71" s="1317"/>
      <c r="D71" s="1317"/>
      <c r="E71" s="1317"/>
      <c r="F71" s="1317"/>
      <c r="G71" s="1317"/>
      <c r="H71" s="1317"/>
    </row>
    <row r="72" spans="1:8">
      <c r="A72" s="1322" t="s">
        <v>731</v>
      </c>
      <c r="B72" s="1317"/>
      <c r="C72" s="1317"/>
      <c r="D72" s="1317"/>
      <c r="E72" s="1317"/>
      <c r="F72" s="1317"/>
      <c r="G72" s="1317"/>
      <c r="H72" s="1317"/>
    </row>
    <row r="73" spans="1:8">
      <c r="A73" s="1322" t="s">
        <v>732</v>
      </c>
      <c r="B73" s="1317"/>
      <c r="C73" s="1317"/>
      <c r="D73" s="1317"/>
      <c r="E73" s="1317"/>
      <c r="F73" s="1317"/>
      <c r="G73" s="1317"/>
      <c r="H73" s="1317"/>
    </row>
    <row r="74" spans="1:8">
      <c r="A74" s="1317"/>
      <c r="B74" s="1317"/>
      <c r="C74" s="1317"/>
      <c r="D74" s="1317"/>
      <c r="E74" s="1317"/>
      <c r="F74" s="1317"/>
      <c r="G74" s="1317"/>
      <c r="H74" s="1317"/>
    </row>
    <row r="75" spans="1:8">
      <c r="A75" s="1322" t="s">
        <v>729</v>
      </c>
      <c r="B75" s="1317"/>
      <c r="C75" s="1317"/>
      <c r="D75" s="1317"/>
      <c r="E75" s="1317"/>
      <c r="F75" s="1317"/>
      <c r="G75" s="1317"/>
      <c r="H75" s="1317"/>
    </row>
    <row r="76" spans="1:8">
      <c r="A76" s="1322" t="s">
        <v>730</v>
      </c>
      <c r="B76" s="1317"/>
      <c r="C76" s="1317"/>
      <c r="D76" s="1317"/>
      <c r="E76" s="1317"/>
      <c r="F76" s="1317"/>
      <c r="G76" s="1317"/>
      <c r="H76" s="1317"/>
    </row>
    <row r="77" spans="1:8">
      <c r="A77" s="1317"/>
      <c r="B77" s="1317"/>
      <c r="C77" s="1317"/>
      <c r="D77" s="1317"/>
      <c r="E77" s="1317"/>
      <c r="F77" s="1317"/>
      <c r="G77" s="1317"/>
      <c r="H77" s="1317"/>
    </row>
    <row r="78" spans="1:8">
      <c r="A78" s="1322" t="s">
        <v>726</v>
      </c>
      <c r="B78" s="1317"/>
      <c r="C78" s="1317"/>
      <c r="D78" s="1317"/>
      <c r="E78" s="1317"/>
      <c r="F78" s="1317"/>
      <c r="G78" s="1317"/>
      <c r="H78" s="1317"/>
    </row>
    <row r="79" spans="1:8">
      <c r="A79" s="1322" t="s">
        <v>727</v>
      </c>
      <c r="B79" s="1317"/>
      <c r="C79" s="1317"/>
      <c r="D79" s="1317"/>
      <c r="E79" s="1317"/>
      <c r="F79" s="1317"/>
      <c r="G79" s="1317"/>
      <c r="H79" s="1317"/>
    </row>
    <row r="80" spans="1:8">
      <c r="A80" s="1322" t="s">
        <v>728</v>
      </c>
      <c r="B80" s="1317"/>
      <c r="C80" s="1317"/>
      <c r="D80" s="1317"/>
      <c r="E80" s="1317"/>
      <c r="F80" s="1317"/>
      <c r="G80" s="1317"/>
      <c r="H80" s="1317"/>
    </row>
    <row r="81" spans="1:8">
      <c r="A81" s="1317"/>
      <c r="B81" s="1317"/>
      <c r="C81" s="1317"/>
      <c r="D81" s="1317"/>
      <c r="E81" s="1317"/>
      <c r="F81" s="1317"/>
      <c r="G81" s="1317"/>
      <c r="H81" s="1317"/>
    </row>
    <row r="82" spans="1:8">
      <c r="A82" s="1322" t="s">
        <v>485</v>
      </c>
      <c r="B82" s="1317"/>
      <c r="C82" s="1317"/>
      <c r="D82" s="1317"/>
      <c r="E82" s="1317"/>
      <c r="F82" s="1317"/>
      <c r="G82" s="1317"/>
      <c r="H82" s="1317"/>
    </row>
    <row r="83" spans="1:8">
      <c r="A83" s="1317"/>
      <c r="B83" s="1317"/>
      <c r="C83" s="1317"/>
      <c r="D83" s="1317"/>
      <c r="E83" s="1317"/>
      <c r="F83" s="1317"/>
      <c r="G83" s="1317"/>
      <c r="H83" s="1317"/>
    </row>
    <row r="84" spans="1:8">
      <c r="A84" s="1322" t="s">
        <v>721</v>
      </c>
      <c r="B84" s="1317"/>
      <c r="C84" s="1317"/>
      <c r="D84" s="1317"/>
      <c r="E84" s="1317"/>
      <c r="F84" s="1317"/>
      <c r="G84" s="1317"/>
      <c r="H84" s="1317"/>
    </row>
    <row r="85" spans="1:8">
      <c r="A85" s="1322" t="s">
        <v>722</v>
      </c>
      <c r="B85" s="1317"/>
      <c r="C85" s="1317"/>
      <c r="D85" s="1317"/>
      <c r="E85" s="1317"/>
      <c r="F85" s="1317"/>
      <c r="G85" s="1317"/>
      <c r="H85" s="1317"/>
    </row>
    <row r="86" spans="1:8">
      <c r="A86" s="1322" t="s">
        <v>723</v>
      </c>
      <c r="B86" s="1317"/>
      <c r="C86" s="1317"/>
      <c r="D86" s="1317"/>
      <c r="E86" s="1317"/>
      <c r="F86" s="1317"/>
      <c r="G86" s="1317"/>
      <c r="H86" s="1317"/>
    </row>
    <row r="87" spans="1:8">
      <c r="A87" s="1322" t="s">
        <v>724</v>
      </c>
      <c r="B87" s="1317"/>
      <c r="C87" s="1317"/>
      <c r="D87" s="1317"/>
      <c r="E87" s="1317"/>
      <c r="F87" s="1317"/>
      <c r="G87" s="1317"/>
      <c r="H87" s="1317"/>
    </row>
    <row r="88" spans="1:8">
      <c r="A88" s="1322" t="s">
        <v>725</v>
      </c>
      <c r="B88" s="1317"/>
      <c r="C88" s="1317"/>
      <c r="D88" s="1317"/>
      <c r="E88" s="1317"/>
      <c r="F88" s="1317"/>
      <c r="G88" s="1317"/>
      <c r="H88" s="1317"/>
    </row>
    <row r="89" spans="1:8">
      <c r="A89" s="1322" t="s">
        <v>610</v>
      </c>
      <c r="B89" s="1317"/>
      <c r="C89" s="1317"/>
      <c r="D89" s="1317"/>
      <c r="E89" s="1317"/>
      <c r="F89" s="1317"/>
      <c r="G89" s="1317"/>
      <c r="H89" s="1317"/>
    </row>
    <row r="90" spans="1:8">
      <c r="A90" s="1317"/>
      <c r="B90" s="1317"/>
      <c r="C90" s="1317"/>
      <c r="D90" s="1317"/>
      <c r="E90" s="1317"/>
      <c r="F90" s="1317"/>
      <c r="G90" s="1317"/>
      <c r="H90" s="1317"/>
    </row>
    <row r="91" spans="1:8">
      <c r="A91" s="1322" t="s">
        <v>714</v>
      </c>
      <c r="B91" s="1317"/>
      <c r="C91" s="1317"/>
      <c r="D91" s="1317"/>
      <c r="E91" s="1317"/>
      <c r="F91" s="1317"/>
      <c r="G91" s="1317"/>
      <c r="H91" s="1317"/>
    </row>
    <row r="92" spans="1:8">
      <c r="A92" s="1322" t="s">
        <v>715</v>
      </c>
      <c r="B92" s="1317"/>
      <c r="C92" s="1317"/>
      <c r="D92" s="1317"/>
      <c r="E92" s="1317"/>
      <c r="F92" s="1317"/>
      <c r="G92" s="1317"/>
      <c r="H92" s="1317"/>
    </row>
    <row r="93" spans="1:8">
      <c r="A93" s="1322" t="s">
        <v>716</v>
      </c>
      <c r="B93" s="1317"/>
      <c r="C93" s="1317"/>
      <c r="D93" s="1317"/>
      <c r="E93" s="1317"/>
      <c r="F93" s="1317"/>
      <c r="G93" s="1317"/>
      <c r="H93" s="1317"/>
    </row>
    <row r="94" spans="1:8">
      <c r="A94" s="1322" t="s">
        <v>717</v>
      </c>
      <c r="B94" s="1317"/>
      <c r="C94" s="1317"/>
      <c r="D94" s="1317"/>
      <c r="E94" s="1317"/>
      <c r="F94" s="1317"/>
      <c r="G94" s="1317"/>
      <c r="H94" s="1317"/>
    </row>
    <row r="95" spans="1:8">
      <c r="A95" s="1322" t="s">
        <v>718</v>
      </c>
      <c r="B95" s="1317"/>
      <c r="C95" s="1317"/>
      <c r="D95" s="1317"/>
      <c r="E95" s="1317"/>
      <c r="F95" s="1317"/>
      <c r="G95" s="1317"/>
      <c r="H95" s="1317"/>
    </row>
    <row r="96" spans="1:8">
      <c r="A96" s="1322" t="s">
        <v>719</v>
      </c>
      <c r="B96" s="1317"/>
      <c r="C96" s="1317"/>
      <c r="D96" s="1317"/>
      <c r="E96" s="1317"/>
      <c r="F96" s="1317"/>
      <c r="G96" s="1317"/>
      <c r="H96" s="1317"/>
    </row>
    <row r="97" spans="1:8">
      <c r="A97" s="1322" t="s">
        <v>720</v>
      </c>
      <c r="B97" s="1317"/>
      <c r="C97" s="1317"/>
      <c r="D97" s="1317"/>
      <c r="E97" s="1317"/>
      <c r="F97" s="1317"/>
      <c r="G97" s="1317"/>
      <c r="H97" s="1317"/>
    </row>
    <row r="98" spans="1:8">
      <c r="A98" s="1317"/>
      <c r="B98" s="1317"/>
      <c r="C98" s="1317"/>
      <c r="D98" s="1317"/>
      <c r="E98" s="1317"/>
      <c r="F98" s="1317"/>
      <c r="G98" s="1317"/>
      <c r="H98" s="1317"/>
    </row>
    <row r="99" spans="1:8">
      <c r="A99" s="1322" t="s">
        <v>712</v>
      </c>
      <c r="B99" s="1317"/>
      <c r="C99" s="1317"/>
      <c r="D99" s="1317"/>
      <c r="E99" s="1317"/>
      <c r="F99" s="1317"/>
      <c r="G99" s="1317"/>
      <c r="H99" s="1317"/>
    </row>
    <row r="100" spans="1:8">
      <c r="A100" s="1322" t="s">
        <v>713</v>
      </c>
      <c r="B100" s="1317"/>
      <c r="C100" s="1317"/>
      <c r="D100" s="1317"/>
      <c r="E100" s="1317"/>
      <c r="F100" s="1317"/>
      <c r="G100" s="1317"/>
      <c r="H100" s="1317"/>
    </row>
    <row r="101" spans="1:8">
      <c r="A101" s="1317"/>
      <c r="B101" s="1317"/>
      <c r="C101" s="1317"/>
      <c r="D101" s="1317"/>
      <c r="E101" s="1317"/>
      <c r="F101" s="1317"/>
      <c r="G101" s="1317"/>
      <c r="H101" s="1317"/>
    </row>
    <row r="102" spans="1:8" ht="15.75">
      <c r="A102" s="1323" t="s">
        <v>486</v>
      </c>
      <c r="B102" s="1317"/>
      <c r="C102" s="1317"/>
      <c r="D102" s="1317"/>
      <c r="E102" s="1317"/>
      <c r="F102" s="1317"/>
      <c r="G102" s="1317"/>
      <c r="H102" s="1317"/>
    </row>
    <row r="103" spans="1:8">
      <c r="A103" s="1317"/>
      <c r="B103" s="1317"/>
      <c r="C103" s="1317"/>
      <c r="D103" s="1317"/>
      <c r="E103" s="1317"/>
      <c r="F103" s="1317"/>
      <c r="G103" s="1317"/>
      <c r="H103" s="1317"/>
    </row>
    <row r="104" spans="1:8">
      <c r="A104" s="1322" t="s">
        <v>703</v>
      </c>
      <c r="B104" s="1317"/>
      <c r="C104" s="1317"/>
      <c r="D104" s="1317"/>
      <c r="E104" s="1317"/>
      <c r="F104" s="1317"/>
      <c r="G104" s="1317"/>
      <c r="H104" s="1317"/>
    </row>
    <row r="105" spans="1:8">
      <c r="A105" s="1322" t="s">
        <v>704</v>
      </c>
      <c r="B105" s="1317"/>
      <c r="C105" s="1317"/>
      <c r="D105" s="1317"/>
      <c r="E105" s="1317"/>
      <c r="F105" s="1317"/>
      <c r="G105" s="1317"/>
      <c r="H105" s="1317"/>
    </row>
    <row r="106" spans="1:8">
      <c r="A106" s="1322" t="s">
        <v>705</v>
      </c>
      <c r="B106" s="1317"/>
      <c r="C106" s="1317"/>
      <c r="D106" s="1317"/>
      <c r="E106" s="1317"/>
      <c r="F106" s="1317"/>
      <c r="G106" s="1317"/>
      <c r="H106" s="1317"/>
    </row>
    <row r="107" spans="1:8">
      <c r="A107" s="1322" t="s">
        <v>706</v>
      </c>
      <c r="B107" s="1317"/>
      <c r="C107" s="1317"/>
      <c r="D107" s="1317"/>
      <c r="E107" s="1317"/>
      <c r="F107" s="1317"/>
      <c r="G107" s="1317"/>
      <c r="H107" s="1317"/>
    </row>
    <row r="108" spans="1:8">
      <c r="A108" s="1322" t="s">
        <v>707</v>
      </c>
      <c r="B108" s="1317"/>
      <c r="C108" s="1317"/>
      <c r="D108" s="1317"/>
      <c r="E108" s="1317"/>
      <c r="F108" s="1317"/>
      <c r="G108" s="1317"/>
      <c r="H108" s="1317"/>
    </row>
    <row r="109" spans="1:8">
      <c r="A109" s="1322" t="s">
        <v>708</v>
      </c>
      <c r="B109" s="1317"/>
      <c r="C109" s="1317"/>
      <c r="D109" s="1317"/>
      <c r="E109" s="1317"/>
      <c r="F109" s="1317"/>
      <c r="G109" s="1317"/>
      <c r="H109" s="1317"/>
    </row>
    <row r="110" spans="1:8">
      <c r="A110" s="1322" t="s">
        <v>709</v>
      </c>
      <c r="B110" s="1317"/>
      <c r="C110" s="1317"/>
      <c r="D110" s="1317"/>
      <c r="E110" s="1317"/>
      <c r="F110" s="1317"/>
      <c r="G110" s="1317"/>
      <c r="H110" s="1317"/>
    </row>
    <row r="111" spans="1:8">
      <c r="A111" s="1322" t="s">
        <v>710</v>
      </c>
      <c r="B111" s="1317"/>
      <c r="C111" s="1317"/>
      <c r="D111" s="1317"/>
      <c r="E111" s="1317"/>
      <c r="F111" s="1317"/>
      <c r="G111" s="1317"/>
      <c r="H111" s="1317"/>
    </row>
    <row r="112" spans="1:8">
      <c r="A112" s="1322" t="s">
        <v>711</v>
      </c>
      <c r="B112" s="1317"/>
      <c r="C112" s="1317"/>
      <c r="D112" s="1317"/>
      <c r="E112" s="1317"/>
      <c r="F112" s="1317"/>
      <c r="G112" s="1317"/>
      <c r="H112" s="1317"/>
    </row>
    <row r="113" spans="1:8">
      <c r="A113" s="1317"/>
      <c r="B113" s="1317"/>
      <c r="C113" s="1317"/>
      <c r="D113" s="1317"/>
      <c r="E113" s="1317"/>
      <c r="F113" s="1317"/>
      <c r="G113" s="1317"/>
      <c r="H113" s="1317"/>
    </row>
    <row r="114" spans="1:8" ht="15.75">
      <c r="A114" s="1324" t="s">
        <v>487</v>
      </c>
      <c r="B114" s="1324"/>
      <c r="C114" s="1324"/>
      <c r="D114" s="1324"/>
      <c r="E114" s="1324"/>
      <c r="F114" s="1324"/>
      <c r="G114" s="1324"/>
      <c r="H114" s="1324"/>
    </row>
    <row r="115" spans="1:8">
      <c r="A115" s="1325" t="s">
        <v>488</v>
      </c>
      <c r="B115" s="1325"/>
      <c r="C115" s="1325"/>
      <c r="D115" s="1325"/>
      <c r="E115" s="1325"/>
      <c r="F115" s="1325"/>
      <c r="G115" s="1325"/>
      <c r="H115" s="1325"/>
    </row>
    <row r="116" spans="1:8">
      <c r="A116" s="1326"/>
      <c r="B116" s="1326"/>
      <c r="C116" s="1326"/>
      <c r="D116" s="1326"/>
      <c r="E116" s="1326"/>
      <c r="F116" s="1326"/>
      <c r="G116" s="1326"/>
      <c r="H116" s="1326"/>
    </row>
    <row r="117" spans="1:8">
      <c r="A117" s="1325" t="s">
        <v>701</v>
      </c>
      <c r="B117" s="1325"/>
      <c r="C117" s="1325"/>
      <c r="D117" s="1325"/>
      <c r="E117" s="1325"/>
      <c r="F117" s="1325"/>
      <c r="G117" s="1325"/>
      <c r="H117" s="1325"/>
    </row>
    <row r="118" spans="1:8">
      <c r="A118" s="1322" t="s">
        <v>702</v>
      </c>
      <c r="B118" s="1322"/>
      <c r="C118" s="1322"/>
      <c r="D118" s="1322"/>
      <c r="E118" s="1322"/>
      <c r="F118" s="1322"/>
      <c r="G118" s="1322"/>
      <c r="H118" s="1322"/>
    </row>
    <row r="119" spans="1:8">
      <c r="A119" s="1326"/>
      <c r="B119" s="1326"/>
      <c r="C119" s="1326"/>
      <c r="D119" s="1326"/>
      <c r="E119" s="1326"/>
      <c r="F119" s="1326"/>
      <c r="G119" s="1326"/>
      <c r="H119" s="1326"/>
    </row>
    <row r="120" spans="1:8">
      <c r="A120" s="1325" t="s">
        <v>694</v>
      </c>
      <c r="B120" s="1325"/>
      <c r="C120" s="1325"/>
      <c r="D120" s="1325"/>
      <c r="E120" s="1325"/>
      <c r="F120" s="1325"/>
      <c r="G120" s="1325"/>
      <c r="H120" s="1325"/>
    </row>
    <row r="121" spans="1:8">
      <c r="A121" s="1322" t="s">
        <v>695</v>
      </c>
      <c r="B121" s="1322"/>
      <c r="C121" s="1322"/>
      <c r="D121" s="1322"/>
      <c r="E121" s="1322"/>
      <c r="F121" s="1322"/>
      <c r="G121" s="1322"/>
      <c r="H121" s="1322"/>
    </row>
    <row r="122" spans="1:8">
      <c r="A122" s="1322" t="s">
        <v>696</v>
      </c>
      <c r="B122" s="1322"/>
      <c r="C122" s="1322"/>
      <c r="D122" s="1322"/>
      <c r="E122" s="1322"/>
      <c r="F122" s="1322"/>
      <c r="G122" s="1322"/>
      <c r="H122" s="1322"/>
    </row>
    <row r="123" spans="1:8">
      <c r="A123" s="1322" t="s">
        <v>697</v>
      </c>
      <c r="B123" s="1322"/>
      <c r="C123" s="1322"/>
      <c r="D123" s="1322"/>
      <c r="E123" s="1322"/>
      <c r="F123" s="1322"/>
      <c r="G123" s="1322"/>
      <c r="H123" s="1322"/>
    </row>
    <row r="124" spans="1:8">
      <c r="A124" s="1322" t="s">
        <v>698</v>
      </c>
      <c r="B124" s="1322"/>
      <c r="C124" s="1322"/>
      <c r="D124" s="1322"/>
      <c r="E124" s="1322"/>
      <c r="F124" s="1322"/>
      <c r="G124" s="1322"/>
      <c r="H124" s="1322"/>
    </row>
    <row r="125" spans="1:8">
      <c r="A125" s="1322" t="s">
        <v>699</v>
      </c>
      <c r="B125" s="1322"/>
      <c r="C125" s="1322"/>
      <c r="D125" s="1322"/>
      <c r="E125" s="1322"/>
      <c r="F125" s="1322"/>
      <c r="G125" s="1322"/>
      <c r="H125" s="1322"/>
    </row>
    <row r="126" spans="1:8">
      <c r="A126" s="1322" t="s">
        <v>700</v>
      </c>
      <c r="B126" s="1322"/>
      <c r="C126" s="1322"/>
      <c r="D126" s="1322"/>
      <c r="E126" s="1322"/>
      <c r="F126" s="1322"/>
      <c r="G126" s="1322"/>
      <c r="H126" s="1322"/>
    </row>
    <row r="127" spans="1:8">
      <c r="A127" s="1327"/>
      <c r="B127" s="1327"/>
      <c r="C127" s="1327"/>
      <c r="D127" s="1327"/>
      <c r="E127" s="1327"/>
      <c r="F127" s="1327"/>
      <c r="G127" s="1327"/>
      <c r="H127" s="1327"/>
    </row>
    <row r="128" spans="1:8">
      <c r="A128" s="1328"/>
      <c r="B128" s="1329" t="s">
        <v>489</v>
      </c>
      <c r="C128" s="1330"/>
      <c r="D128" s="1329" t="s">
        <v>490</v>
      </c>
      <c r="E128" s="1331"/>
      <c r="F128" s="1330"/>
      <c r="G128" s="1329" t="s">
        <v>491</v>
      </c>
      <c r="H128" s="1330"/>
    </row>
    <row r="129" spans="1:8">
      <c r="A129" s="1328" t="s">
        <v>492</v>
      </c>
      <c r="B129" s="1328" t="s">
        <v>397</v>
      </c>
      <c r="C129" s="1328" t="s">
        <v>493</v>
      </c>
      <c r="D129" s="1328" t="s">
        <v>397</v>
      </c>
      <c r="E129" s="1328" t="s">
        <v>494</v>
      </c>
      <c r="F129" s="1328" t="s">
        <v>495</v>
      </c>
      <c r="G129" s="1328" t="s">
        <v>397</v>
      </c>
      <c r="H129" s="1328" t="s">
        <v>496</v>
      </c>
    </row>
    <row r="130" spans="1:8">
      <c r="A130" s="1328" t="s">
        <v>497</v>
      </c>
      <c r="B130" s="1328">
        <v>1175</v>
      </c>
      <c r="C130" s="1332">
        <v>0.37</v>
      </c>
      <c r="D130" s="1328">
        <v>315</v>
      </c>
      <c r="E130" s="1332">
        <v>0.41</v>
      </c>
      <c r="F130" s="1332">
        <v>0.27</v>
      </c>
      <c r="G130" s="1328">
        <v>555</v>
      </c>
      <c r="H130" s="1332">
        <v>0.39</v>
      </c>
    </row>
    <row r="131" spans="1:8">
      <c r="A131" s="1328" t="s">
        <v>498</v>
      </c>
      <c r="B131" s="1328">
        <v>1369</v>
      </c>
      <c r="C131" s="1332">
        <v>0.43</v>
      </c>
      <c r="D131" s="1328">
        <v>357</v>
      </c>
      <c r="E131" s="1332">
        <v>0.47</v>
      </c>
      <c r="F131" s="1332">
        <v>0.26</v>
      </c>
      <c r="G131" s="1328">
        <v>643</v>
      </c>
      <c r="H131" s="1332">
        <v>0.45</v>
      </c>
    </row>
    <row r="132" spans="1:8">
      <c r="A132" s="1328" t="s">
        <v>499</v>
      </c>
      <c r="B132" s="1328">
        <v>53</v>
      </c>
      <c r="C132" s="1332">
        <v>0.02</v>
      </c>
      <c r="D132" s="1328">
        <v>5</v>
      </c>
      <c r="E132" s="1332">
        <v>0.01</v>
      </c>
      <c r="F132" s="1332">
        <v>0.09</v>
      </c>
      <c r="G132" s="1328">
        <v>7</v>
      </c>
      <c r="H132" s="1332">
        <v>0</v>
      </c>
    </row>
    <row r="133" spans="1:8">
      <c r="A133" s="1328" t="s">
        <v>500</v>
      </c>
      <c r="B133" s="1328">
        <v>552</v>
      </c>
      <c r="C133" s="1332">
        <v>0.18</v>
      </c>
      <c r="D133" s="1328">
        <v>87</v>
      </c>
      <c r="E133" s="1332">
        <v>0.11</v>
      </c>
      <c r="F133" s="1332">
        <v>0.16</v>
      </c>
      <c r="G133" s="1328">
        <v>222</v>
      </c>
      <c r="H133" s="1332">
        <v>0.16</v>
      </c>
    </row>
    <row r="134" spans="1:8">
      <c r="A134" s="1328" t="s">
        <v>393</v>
      </c>
      <c r="B134" s="1333">
        <v>3149</v>
      </c>
      <c r="C134" s="1328"/>
      <c r="D134" s="1328">
        <v>764</v>
      </c>
      <c r="E134" s="1328"/>
      <c r="F134" s="1328"/>
      <c r="G134" s="1328">
        <v>1427</v>
      </c>
      <c r="H134" s="1328"/>
    </row>
    <row r="135" spans="1:8">
      <c r="A135" s="1334"/>
      <c r="B135" s="1334"/>
      <c r="C135" s="1334"/>
      <c r="D135" s="1334"/>
      <c r="E135" s="1334"/>
      <c r="F135" s="1334"/>
      <c r="G135" s="1334"/>
      <c r="H135" s="1334"/>
    </row>
    <row r="136" spans="1:8">
      <c r="A136" s="1325" t="s">
        <v>690</v>
      </c>
      <c r="B136" s="1325"/>
      <c r="C136" s="1325"/>
      <c r="D136" s="1325"/>
      <c r="E136" s="1325"/>
      <c r="F136" s="1325"/>
      <c r="G136" s="1325"/>
      <c r="H136" s="1325"/>
    </row>
    <row r="137" spans="1:8">
      <c r="A137" s="1322" t="s">
        <v>691</v>
      </c>
      <c r="B137" s="1322"/>
      <c r="C137" s="1322"/>
      <c r="D137" s="1322"/>
      <c r="E137" s="1322"/>
      <c r="F137" s="1322"/>
      <c r="G137" s="1322"/>
      <c r="H137" s="1322"/>
    </row>
    <row r="138" spans="1:8">
      <c r="A138" s="1322" t="s">
        <v>692</v>
      </c>
      <c r="B138" s="1322"/>
      <c r="C138" s="1322"/>
      <c r="D138" s="1322"/>
      <c r="E138" s="1322"/>
      <c r="F138" s="1322"/>
      <c r="G138" s="1322"/>
      <c r="H138" s="1322"/>
    </row>
    <row r="139" spans="1:8">
      <c r="A139" s="1322" t="s">
        <v>693</v>
      </c>
      <c r="B139" s="1322"/>
      <c r="C139" s="1322"/>
      <c r="D139" s="1322"/>
      <c r="E139" s="1322"/>
      <c r="F139" s="1322"/>
      <c r="G139" s="1322"/>
      <c r="H139" s="1322"/>
    </row>
    <row r="140" spans="1:8">
      <c r="A140" s="1317"/>
      <c r="B140" s="1317"/>
      <c r="C140" s="1317"/>
      <c r="D140" s="1317"/>
      <c r="E140" s="1317"/>
      <c r="F140" s="1317"/>
      <c r="G140" s="1317"/>
      <c r="H140" s="1317"/>
    </row>
    <row r="141" spans="1:8" ht="15.75">
      <c r="A141" s="1323" t="s">
        <v>501</v>
      </c>
      <c r="B141" s="1317"/>
      <c r="C141" s="1317"/>
      <c r="D141" s="1317"/>
      <c r="E141" s="1317"/>
      <c r="F141" s="1317"/>
      <c r="G141" s="1317"/>
      <c r="H141" s="1317"/>
    </row>
    <row r="142" spans="1:8">
      <c r="A142" s="1317"/>
      <c r="B142" s="1317"/>
      <c r="C142" s="1317"/>
      <c r="D142" s="1317"/>
      <c r="E142" s="1317"/>
      <c r="F142" s="1317"/>
      <c r="G142" s="1317"/>
      <c r="H142" s="1317"/>
    </row>
    <row r="143" spans="1:8">
      <c r="A143" s="1322" t="s">
        <v>688</v>
      </c>
      <c r="B143" s="1317"/>
      <c r="C143" s="1317"/>
      <c r="D143" s="1317"/>
      <c r="E143" s="1317"/>
      <c r="F143" s="1317"/>
      <c r="G143" s="1317"/>
      <c r="H143" s="1317"/>
    </row>
    <row r="144" spans="1:8">
      <c r="A144" s="1322" t="s">
        <v>689</v>
      </c>
      <c r="B144" s="1317"/>
      <c r="C144" s="1317"/>
      <c r="D144" s="1317"/>
      <c r="E144" s="1317"/>
      <c r="F144" s="1317"/>
      <c r="G144" s="1317"/>
      <c r="H144" s="1317"/>
    </row>
    <row r="145" spans="1:8">
      <c r="A145" s="1317"/>
      <c r="B145" s="1317"/>
      <c r="C145" s="1317"/>
      <c r="D145" s="1317"/>
      <c r="E145" s="1317"/>
      <c r="F145" s="1317"/>
      <c r="G145" s="1317"/>
      <c r="H145" s="1317"/>
    </row>
    <row r="146" spans="1:8">
      <c r="A146" s="1322" t="s">
        <v>685</v>
      </c>
      <c r="B146" s="1317"/>
      <c r="C146" s="1317"/>
      <c r="D146" s="1317"/>
      <c r="E146" s="1317"/>
      <c r="F146" s="1317"/>
      <c r="G146" s="1317"/>
      <c r="H146" s="1317"/>
    </row>
    <row r="147" spans="1:8">
      <c r="A147" s="1322" t="s">
        <v>686</v>
      </c>
      <c r="B147" s="1317"/>
      <c r="C147" s="1317"/>
      <c r="D147" s="1317"/>
      <c r="E147" s="1317"/>
      <c r="F147" s="1317"/>
      <c r="G147" s="1317"/>
      <c r="H147" s="1317"/>
    </row>
    <row r="148" spans="1:8">
      <c r="A148" s="1322" t="s">
        <v>687</v>
      </c>
      <c r="B148" s="1317"/>
      <c r="C148" s="1317"/>
      <c r="D148" s="1317"/>
      <c r="E148" s="1317"/>
      <c r="F148" s="1317"/>
      <c r="G148" s="1317"/>
      <c r="H148" s="1317"/>
    </row>
    <row r="149" spans="1:8">
      <c r="A149" s="1317"/>
      <c r="B149" s="1317"/>
      <c r="C149" s="1317"/>
      <c r="D149" s="1317"/>
      <c r="E149" s="1317"/>
      <c r="F149" s="1317"/>
      <c r="G149" s="1317"/>
      <c r="H149" s="1317"/>
    </row>
    <row r="150" spans="1:8">
      <c r="A150" s="1322" t="s">
        <v>682</v>
      </c>
      <c r="B150" s="1317"/>
      <c r="C150" s="1317"/>
      <c r="D150" s="1317"/>
      <c r="E150" s="1317"/>
      <c r="F150" s="1317"/>
      <c r="G150" s="1317"/>
      <c r="H150" s="1317"/>
    </row>
    <row r="151" spans="1:8">
      <c r="A151" s="1322" t="s">
        <v>683</v>
      </c>
      <c r="B151" s="1317"/>
      <c r="C151" s="1317"/>
      <c r="D151" s="1317"/>
      <c r="E151" s="1317"/>
      <c r="F151" s="1317"/>
      <c r="G151" s="1317"/>
      <c r="H151" s="1317"/>
    </row>
    <row r="152" spans="1:8">
      <c r="A152" s="1322" t="s">
        <v>684</v>
      </c>
      <c r="B152" s="1317"/>
      <c r="C152" s="1317"/>
      <c r="D152" s="1317"/>
      <c r="E152" s="1317"/>
      <c r="F152" s="1317"/>
      <c r="G152" s="1317"/>
      <c r="H152" s="1317"/>
    </row>
    <row r="153" spans="1:8">
      <c r="A153" s="1317"/>
      <c r="B153" s="1317"/>
      <c r="C153" s="1317"/>
      <c r="D153" s="1317"/>
      <c r="E153" s="1317"/>
      <c r="F153" s="1317"/>
      <c r="G153" s="1317"/>
      <c r="H153" s="1317"/>
    </row>
    <row r="154" spans="1:8">
      <c r="A154" s="1322" t="s">
        <v>679</v>
      </c>
      <c r="B154" s="1317"/>
      <c r="C154" s="1317"/>
      <c r="D154" s="1317"/>
      <c r="E154" s="1317"/>
      <c r="F154" s="1317"/>
      <c r="G154" s="1317"/>
      <c r="H154" s="1317"/>
    </row>
    <row r="155" spans="1:8">
      <c r="A155" s="1322" t="s">
        <v>680</v>
      </c>
      <c r="B155" s="1317"/>
      <c r="C155" s="1317"/>
      <c r="D155" s="1317"/>
      <c r="E155" s="1317"/>
      <c r="F155" s="1317"/>
      <c r="G155" s="1317"/>
      <c r="H155" s="1317"/>
    </row>
    <row r="156" spans="1:8">
      <c r="A156" s="1322" t="s">
        <v>681</v>
      </c>
      <c r="B156" s="1317"/>
      <c r="C156" s="1317"/>
      <c r="D156" s="1317"/>
      <c r="E156" s="1317"/>
      <c r="F156" s="1317"/>
      <c r="G156" s="1317"/>
      <c r="H156" s="1317"/>
    </row>
    <row r="157" spans="1:8">
      <c r="A157" s="1317"/>
      <c r="B157" s="1317"/>
      <c r="C157" s="1317"/>
      <c r="D157" s="1317"/>
      <c r="E157" s="1317"/>
      <c r="F157" s="1317"/>
      <c r="G157" s="1317"/>
      <c r="H157" s="1317"/>
    </row>
    <row r="158" spans="1:8">
      <c r="A158" s="1322" t="s">
        <v>677</v>
      </c>
      <c r="B158" s="1317"/>
      <c r="C158" s="1317"/>
      <c r="D158" s="1317"/>
      <c r="E158" s="1317"/>
      <c r="F158" s="1317"/>
      <c r="G158" s="1317"/>
      <c r="H158" s="1317"/>
    </row>
    <row r="159" spans="1:8">
      <c r="A159" s="1322" t="s">
        <v>678</v>
      </c>
      <c r="B159" s="1317"/>
      <c r="C159" s="1317"/>
      <c r="D159" s="1317"/>
      <c r="E159" s="1317"/>
      <c r="F159" s="1317"/>
      <c r="G159" s="1317"/>
      <c r="H159" s="1317"/>
    </row>
    <row r="160" spans="1:8">
      <c r="A160" s="1317"/>
      <c r="B160" s="1317"/>
      <c r="C160" s="1317"/>
      <c r="D160" s="1317"/>
      <c r="E160" s="1317"/>
      <c r="F160" s="1317"/>
      <c r="G160" s="1317"/>
      <c r="H160" s="1317"/>
    </row>
    <row r="161" spans="1:8" ht="15.75">
      <c r="A161" s="1323" t="s">
        <v>502</v>
      </c>
      <c r="B161" s="1317"/>
      <c r="C161" s="1317"/>
      <c r="D161" s="1317"/>
      <c r="E161" s="1317"/>
      <c r="F161" s="1317"/>
      <c r="G161" s="1317"/>
      <c r="H161" s="1317"/>
    </row>
    <row r="162" spans="1:8">
      <c r="A162" s="1317"/>
      <c r="B162" s="1317"/>
      <c r="C162" s="1317"/>
      <c r="D162" s="1317"/>
      <c r="E162" s="1317"/>
      <c r="F162" s="1317"/>
      <c r="G162" s="1317"/>
      <c r="H162" s="1317"/>
    </row>
    <row r="163" spans="1:8">
      <c r="A163" s="1322" t="s">
        <v>675</v>
      </c>
      <c r="B163" s="1317"/>
      <c r="C163" s="1317"/>
      <c r="D163" s="1317"/>
      <c r="E163" s="1317"/>
      <c r="F163" s="1317"/>
      <c r="G163" s="1317"/>
      <c r="H163" s="1317"/>
    </row>
    <row r="164" spans="1:8">
      <c r="A164" s="1322" t="s">
        <v>676</v>
      </c>
      <c r="B164" s="1317"/>
      <c r="C164" s="1317"/>
      <c r="D164" s="1317"/>
      <c r="E164" s="1317"/>
      <c r="F164" s="1317"/>
      <c r="G164" s="1317"/>
      <c r="H164" s="1317"/>
    </row>
    <row r="165" spans="1:8">
      <c r="A165" s="1317"/>
      <c r="B165" s="1317"/>
      <c r="C165" s="1317"/>
      <c r="D165" s="1317"/>
      <c r="E165" s="1317"/>
      <c r="F165" s="1317"/>
      <c r="G165" s="1317"/>
      <c r="H165" s="1317"/>
    </row>
    <row r="166" spans="1:8">
      <c r="A166" s="1322" t="s">
        <v>673</v>
      </c>
      <c r="B166" s="1317"/>
      <c r="C166" s="1317"/>
      <c r="D166" s="1317"/>
      <c r="E166" s="1317"/>
      <c r="F166" s="1317"/>
      <c r="G166" s="1317"/>
      <c r="H166" s="1317"/>
    </row>
    <row r="167" spans="1:8">
      <c r="A167" s="1322" t="s">
        <v>674</v>
      </c>
      <c r="B167" s="1317"/>
      <c r="C167" s="1317"/>
      <c r="D167" s="1317"/>
      <c r="E167" s="1317"/>
      <c r="F167" s="1317"/>
      <c r="G167" s="1317"/>
      <c r="H167" s="1317"/>
    </row>
    <row r="168" spans="1:8">
      <c r="A168" s="1317"/>
      <c r="B168" s="1317"/>
      <c r="C168" s="1317"/>
      <c r="D168" s="1317"/>
      <c r="E168" s="1317"/>
      <c r="F168" s="1317"/>
      <c r="G168" s="1317"/>
      <c r="H168" s="1317"/>
    </row>
    <row r="169" spans="1:8">
      <c r="A169" s="1322" t="s">
        <v>671</v>
      </c>
      <c r="B169" s="1317"/>
      <c r="C169" s="1317"/>
      <c r="D169" s="1317"/>
      <c r="E169" s="1317"/>
      <c r="F169" s="1317"/>
      <c r="G169" s="1317"/>
      <c r="H169" s="1317"/>
    </row>
    <row r="170" spans="1:8">
      <c r="A170" s="1322" t="s">
        <v>672</v>
      </c>
      <c r="B170" s="1317"/>
      <c r="C170" s="1317"/>
      <c r="D170" s="1317"/>
      <c r="E170" s="1317"/>
      <c r="F170" s="1317"/>
      <c r="G170" s="1317"/>
      <c r="H170" s="1317"/>
    </row>
    <row r="171" spans="1:8">
      <c r="A171" s="1317"/>
      <c r="B171" s="1317"/>
      <c r="C171" s="1317"/>
      <c r="D171" s="1317"/>
      <c r="E171" s="1317"/>
      <c r="F171" s="1317"/>
      <c r="G171" s="1317"/>
      <c r="H171" s="1317"/>
    </row>
    <row r="172" spans="1:8">
      <c r="A172" s="1322" t="s">
        <v>668</v>
      </c>
      <c r="B172" s="1317"/>
      <c r="C172" s="1317"/>
      <c r="D172" s="1317"/>
      <c r="E172" s="1317"/>
      <c r="F172" s="1317"/>
      <c r="G172" s="1317"/>
      <c r="H172" s="1317"/>
    </row>
    <row r="173" spans="1:8">
      <c r="A173" s="1322" t="s">
        <v>669</v>
      </c>
      <c r="B173" s="1317"/>
      <c r="C173" s="1317"/>
      <c r="D173" s="1317"/>
      <c r="E173" s="1317"/>
      <c r="F173" s="1317"/>
      <c r="G173" s="1317"/>
      <c r="H173" s="1317"/>
    </row>
    <row r="174" spans="1:8">
      <c r="A174" s="1322" t="s">
        <v>670</v>
      </c>
      <c r="B174" s="1317"/>
      <c r="C174" s="1317"/>
      <c r="D174" s="1317"/>
      <c r="E174" s="1317"/>
      <c r="F174" s="1317"/>
      <c r="G174" s="1317"/>
      <c r="H174" s="1317"/>
    </row>
    <row r="175" spans="1:8">
      <c r="A175" s="1317"/>
      <c r="B175" s="1317"/>
      <c r="C175" s="1317"/>
      <c r="D175" s="1317"/>
      <c r="E175" s="1317"/>
      <c r="F175" s="1317"/>
      <c r="G175" s="1317"/>
      <c r="H175" s="1317"/>
    </row>
    <row r="176" spans="1:8">
      <c r="A176" s="1317"/>
      <c r="B176" s="1317"/>
      <c r="C176" s="1317"/>
      <c r="D176" s="1317"/>
      <c r="E176" s="1317"/>
      <c r="F176" s="1317"/>
      <c r="G176" s="1317"/>
      <c r="H176" s="1317"/>
    </row>
    <row r="177" spans="1:8">
      <c r="A177" s="1322" t="s">
        <v>394</v>
      </c>
      <c r="B177" s="1317"/>
      <c r="C177" s="1317"/>
      <c r="D177" s="1317"/>
      <c r="E177" s="1317"/>
      <c r="F177" s="1317"/>
      <c r="G177" s="1317"/>
      <c r="H177" s="1317"/>
    </row>
    <row r="178" spans="1:8">
      <c r="A178" s="1317"/>
      <c r="B178" s="1317"/>
      <c r="C178" s="1317"/>
      <c r="D178" s="1317"/>
      <c r="E178" s="1317"/>
      <c r="F178" s="1317"/>
      <c r="G178" s="1317"/>
      <c r="H178" s="1317"/>
    </row>
    <row r="179" spans="1:8" ht="15.75">
      <c r="A179" s="1323" t="s">
        <v>503</v>
      </c>
      <c r="B179" s="1317"/>
      <c r="C179" s="1317"/>
      <c r="D179" s="1317"/>
      <c r="E179" s="1317"/>
      <c r="F179" s="1317"/>
      <c r="G179" s="1317"/>
      <c r="H179" s="1317"/>
    </row>
    <row r="180" spans="1:8">
      <c r="A180" s="1317"/>
      <c r="B180" s="1317"/>
      <c r="C180" s="1317"/>
      <c r="D180" s="1317"/>
      <c r="E180" s="1317"/>
      <c r="F180" s="1317"/>
      <c r="G180" s="1317"/>
      <c r="H180" s="1317"/>
    </row>
    <row r="181" spans="1:8">
      <c r="A181" s="1317"/>
      <c r="B181" s="1317"/>
      <c r="C181" s="1317"/>
      <c r="D181" s="1317"/>
      <c r="E181" s="1317"/>
      <c r="F181" s="1317"/>
      <c r="G181" s="1317"/>
      <c r="H181" s="1317"/>
    </row>
    <row r="182" spans="1:8">
      <c r="A182" s="1317"/>
      <c r="B182" s="1317"/>
      <c r="C182" s="1317"/>
      <c r="D182" s="1317"/>
      <c r="E182" s="1317"/>
      <c r="F182" s="1317"/>
      <c r="G182" s="1317"/>
      <c r="H182" s="1317"/>
    </row>
    <row r="183" spans="1:8">
      <c r="A183" s="1317"/>
      <c r="B183" s="1317"/>
      <c r="C183" s="1317"/>
      <c r="D183" s="1317"/>
      <c r="E183" s="1317"/>
      <c r="F183" s="1317"/>
      <c r="G183" s="1317"/>
      <c r="H183" s="1317"/>
    </row>
    <row r="184" spans="1:8">
      <c r="A184" s="1317"/>
      <c r="B184" s="1317"/>
      <c r="C184" s="1317"/>
      <c r="D184" s="1317"/>
      <c r="E184" s="1317"/>
      <c r="F184" s="1317"/>
      <c r="G184" s="1317"/>
      <c r="H184" s="1317"/>
    </row>
    <row r="185" spans="1:8">
      <c r="A185" s="1317"/>
      <c r="B185" s="1317"/>
      <c r="C185" s="1317"/>
      <c r="D185" s="1317"/>
      <c r="E185" s="1317"/>
      <c r="F185" s="1317"/>
      <c r="G185" s="1317"/>
      <c r="H185" s="1317"/>
    </row>
    <row r="186" spans="1:8">
      <c r="A186" s="1317"/>
      <c r="B186" s="1317"/>
      <c r="C186" s="1317"/>
      <c r="D186" s="1317"/>
      <c r="E186" s="1317"/>
      <c r="F186" s="1317"/>
      <c r="G186" s="1317"/>
      <c r="H186" s="1317"/>
    </row>
    <row r="187" spans="1:8">
      <c r="A187" s="1317"/>
      <c r="B187" s="1317"/>
      <c r="C187" s="1317"/>
      <c r="D187" s="1317"/>
      <c r="E187" s="1317"/>
      <c r="F187" s="1317"/>
      <c r="G187" s="1317"/>
      <c r="H187" s="1317"/>
    </row>
    <row r="188" spans="1:8">
      <c r="A188" s="1317"/>
      <c r="B188" s="1317"/>
      <c r="C188" s="1317"/>
      <c r="D188" s="1317"/>
      <c r="E188" s="1317"/>
      <c r="F188" s="1317"/>
      <c r="G188" s="1317"/>
      <c r="H188" s="1317"/>
    </row>
    <row r="189" spans="1:8">
      <c r="A189" s="1317"/>
      <c r="B189" s="1317"/>
      <c r="C189" s="1317"/>
      <c r="D189" s="1317"/>
      <c r="E189" s="1317"/>
      <c r="F189" s="1317"/>
      <c r="G189" s="1317"/>
      <c r="H189" s="1317"/>
    </row>
    <row r="190" spans="1:8">
      <c r="A190" s="1317"/>
      <c r="B190" s="1317"/>
      <c r="C190" s="1317"/>
      <c r="D190" s="1317"/>
      <c r="E190" s="1317"/>
      <c r="F190" s="1317"/>
      <c r="G190" s="1317"/>
      <c r="H190" s="1317"/>
    </row>
    <row r="191" spans="1:8">
      <c r="A191" s="1317"/>
      <c r="B191" s="1317"/>
      <c r="C191" s="1317"/>
      <c r="D191" s="1317"/>
      <c r="E191" s="1317"/>
      <c r="F191" s="1317"/>
      <c r="G191" s="1317"/>
      <c r="H191" s="1317"/>
    </row>
    <row r="192" spans="1:8">
      <c r="A192" s="1317"/>
      <c r="B192" s="1317"/>
      <c r="C192" s="1317"/>
      <c r="D192" s="1317"/>
      <c r="E192" s="1317"/>
      <c r="F192" s="1317"/>
      <c r="G192" s="1317"/>
      <c r="H192" s="1317"/>
    </row>
    <row r="193" spans="1:8">
      <c r="A193" s="1317"/>
      <c r="B193" s="1317"/>
      <c r="C193" s="1317"/>
      <c r="D193" s="1317"/>
      <c r="E193" s="1317"/>
      <c r="F193" s="1317"/>
      <c r="G193" s="1317"/>
      <c r="H193" s="1317"/>
    </row>
    <row r="194" spans="1:8">
      <c r="A194" s="1317"/>
      <c r="B194" s="1317"/>
      <c r="C194" s="1317"/>
      <c r="D194" s="1317"/>
      <c r="E194" s="1317"/>
      <c r="F194" s="1317"/>
      <c r="G194" s="1317"/>
      <c r="H194" s="1317"/>
    </row>
    <row r="195" spans="1:8">
      <c r="A195" s="1317"/>
      <c r="B195" s="1317"/>
      <c r="C195" s="1317"/>
      <c r="D195" s="1317"/>
      <c r="E195" s="1317"/>
      <c r="F195" s="1317"/>
      <c r="G195" s="1317"/>
      <c r="H195" s="1317"/>
    </row>
    <row r="196" spans="1:8">
      <c r="A196" s="1317"/>
      <c r="B196" s="1317"/>
      <c r="C196" s="1317"/>
      <c r="D196" s="1317"/>
      <c r="E196" s="1317"/>
      <c r="F196" s="1317"/>
      <c r="G196" s="1317"/>
      <c r="H196" s="1317"/>
    </row>
    <row r="197" spans="1:8">
      <c r="A197" s="1317"/>
      <c r="B197" s="1317"/>
      <c r="C197" s="1317"/>
      <c r="D197" s="1317"/>
      <c r="E197" s="1317"/>
      <c r="F197" s="1317"/>
      <c r="G197" s="1317"/>
      <c r="H197" s="1317"/>
    </row>
    <row r="198" spans="1:8">
      <c r="A198" s="1317"/>
      <c r="B198" s="1317"/>
      <c r="C198" s="1317"/>
      <c r="D198" s="1317"/>
      <c r="E198" s="1317"/>
      <c r="F198" s="1317"/>
      <c r="G198" s="1317"/>
      <c r="H198" s="1317"/>
    </row>
    <row r="199" spans="1:8">
      <c r="A199" s="1317"/>
      <c r="B199" s="1317"/>
      <c r="C199" s="1317"/>
      <c r="D199" s="1317"/>
      <c r="E199" s="1317"/>
      <c r="F199" s="1317"/>
      <c r="G199" s="1317"/>
      <c r="H199" s="1317"/>
    </row>
    <row r="200" spans="1:8">
      <c r="A200" s="1317"/>
      <c r="B200" s="1317"/>
      <c r="C200" s="1317"/>
      <c r="D200" s="1317"/>
      <c r="E200" s="1317"/>
      <c r="F200" s="1317"/>
      <c r="G200" s="1317"/>
      <c r="H200" s="1317"/>
    </row>
    <row r="201" spans="1:8">
      <c r="A201" s="1317"/>
      <c r="B201" s="1317"/>
      <c r="C201" s="1317"/>
      <c r="D201" s="1317"/>
      <c r="E201" s="1317"/>
      <c r="F201" s="1317"/>
      <c r="G201" s="1317"/>
      <c r="H201" s="1317"/>
    </row>
    <row r="202" spans="1:8">
      <c r="A202" s="1317"/>
      <c r="B202" s="1317"/>
      <c r="C202" s="1317"/>
      <c r="D202" s="1317"/>
      <c r="E202" s="1317"/>
      <c r="F202" s="1317"/>
      <c r="G202" s="1317"/>
      <c r="H202" s="1317"/>
    </row>
    <row r="203" spans="1:8">
      <c r="A203" s="1317"/>
      <c r="B203" s="1317"/>
      <c r="C203" s="1317"/>
      <c r="D203" s="1317"/>
      <c r="E203" s="1317"/>
      <c r="F203" s="1317"/>
      <c r="G203" s="1317"/>
      <c r="H203" s="1317"/>
    </row>
    <row r="204" spans="1:8">
      <c r="A204" s="1317"/>
      <c r="B204" s="1317"/>
      <c r="C204" s="1317"/>
      <c r="D204" s="1317"/>
      <c r="E204" s="1317"/>
      <c r="F204" s="1317"/>
      <c r="G204" s="1317"/>
      <c r="H204" s="1317"/>
    </row>
    <row r="205" spans="1:8">
      <c r="A205" s="1317"/>
      <c r="B205" s="1317"/>
      <c r="C205" s="1317"/>
      <c r="D205" s="1317"/>
      <c r="E205" s="1317"/>
      <c r="F205" s="1317"/>
      <c r="G205" s="1317"/>
      <c r="H205" s="1317"/>
    </row>
    <row r="206" spans="1:8" ht="15.75">
      <c r="A206" s="1323" t="s">
        <v>504</v>
      </c>
      <c r="B206" s="1317"/>
      <c r="C206" s="1317"/>
      <c r="D206" s="1317"/>
      <c r="E206" s="1317"/>
      <c r="F206" s="1317"/>
      <c r="G206" s="1317"/>
      <c r="H206" s="1317"/>
    </row>
    <row r="207" spans="1:8">
      <c r="A207" s="1317"/>
      <c r="B207" s="1317"/>
      <c r="C207" s="1317"/>
      <c r="D207" s="1317"/>
      <c r="E207" s="1317"/>
      <c r="F207" s="1317"/>
      <c r="G207" s="1317"/>
      <c r="H207" s="1317"/>
    </row>
    <row r="208" spans="1:8">
      <c r="A208" s="1322" t="s">
        <v>663</v>
      </c>
      <c r="B208" s="1317"/>
      <c r="C208" s="1317"/>
      <c r="D208" s="1317"/>
      <c r="E208" s="1317"/>
      <c r="F208" s="1317"/>
      <c r="G208" s="1317"/>
      <c r="H208" s="1317"/>
    </row>
    <row r="209" spans="1:8">
      <c r="A209" s="1322" t="s">
        <v>664</v>
      </c>
      <c r="B209" s="1317"/>
      <c r="C209" s="1317"/>
      <c r="D209" s="1317"/>
      <c r="E209" s="1317"/>
      <c r="F209" s="1317"/>
      <c r="G209" s="1317"/>
      <c r="H209" s="1317"/>
    </row>
    <row r="210" spans="1:8">
      <c r="A210" s="1322" t="s">
        <v>665</v>
      </c>
      <c r="B210" s="1317"/>
      <c r="C210" s="1317"/>
      <c r="D210" s="1317"/>
      <c r="E210" s="1317"/>
      <c r="F210" s="1317"/>
      <c r="G210" s="1317"/>
      <c r="H210" s="1317"/>
    </row>
    <row r="211" spans="1:8">
      <c r="A211" s="1322" t="s">
        <v>666</v>
      </c>
      <c r="B211" s="1317"/>
      <c r="C211" s="1317"/>
      <c r="D211" s="1317"/>
      <c r="E211" s="1317"/>
      <c r="F211" s="1317"/>
      <c r="G211" s="1317"/>
      <c r="H211" s="1317"/>
    </row>
    <row r="212" spans="1:8">
      <c r="A212" s="1322" t="s">
        <v>667</v>
      </c>
      <c r="B212" s="1317"/>
      <c r="C212" s="1317"/>
      <c r="D212" s="1317"/>
      <c r="E212" s="1317"/>
      <c r="F212" s="1317"/>
      <c r="G212" s="1317"/>
      <c r="H212" s="1317"/>
    </row>
    <row r="213" spans="1:8">
      <c r="A213" s="1317"/>
      <c r="B213" s="1317"/>
      <c r="C213" s="1317"/>
      <c r="D213" s="1317"/>
      <c r="E213" s="1317"/>
      <c r="F213" s="1317"/>
      <c r="G213" s="1317"/>
      <c r="H213" s="1317"/>
    </row>
    <row r="214" spans="1:8">
      <c r="A214" s="1322" t="s">
        <v>660</v>
      </c>
      <c r="B214" s="1317"/>
      <c r="C214" s="1317"/>
      <c r="D214" s="1317"/>
      <c r="E214" s="1317"/>
      <c r="F214" s="1317"/>
      <c r="G214" s="1317"/>
      <c r="H214" s="1317"/>
    </row>
    <row r="215" spans="1:8">
      <c r="A215" s="1322" t="s">
        <v>661</v>
      </c>
      <c r="B215" s="1317"/>
      <c r="C215" s="1317"/>
      <c r="D215" s="1317"/>
      <c r="E215" s="1317"/>
      <c r="F215" s="1317"/>
      <c r="G215" s="1317"/>
      <c r="H215" s="1317"/>
    </row>
    <row r="216" spans="1:8">
      <c r="A216" s="1322" t="s">
        <v>662</v>
      </c>
      <c r="B216" s="1317"/>
      <c r="C216" s="1317"/>
      <c r="D216" s="1317"/>
      <c r="E216" s="1317"/>
      <c r="F216" s="1317"/>
      <c r="G216" s="1317"/>
      <c r="H216" s="1317"/>
    </row>
    <row r="217" spans="1:8" ht="15.75">
      <c r="A217" s="1323" t="s">
        <v>505</v>
      </c>
      <c r="B217" s="1317"/>
      <c r="C217" s="1317"/>
      <c r="D217" s="1317"/>
      <c r="E217" s="1317"/>
      <c r="F217" s="1317"/>
      <c r="G217" s="1317"/>
      <c r="H217" s="1317"/>
    </row>
    <row r="218" spans="1:8">
      <c r="A218" s="1317"/>
      <c r="B218" s="1317"/>
      <c r="C218" s="1317"/>
      <c r="D218" s="1317"/>
      <c r="E218" s="1317"/>
      <c r="F218" s="1317"/>
      <c r="G218" s="1317"/>
      <c r="H218" s="1317"/>
    </row>
    <row r="219" spans="1:8">
      <c r="A219" s="1322" t="s">
        <v>653</v>
      </c>
      <c r="B219" s="1317"/>
      <c r="C219" s="1317"/>
      <c r="D219" s="1317"/>
      <c r="E219" s="1317"/>
      <c r="F219" s="1317"/>
      <c r="G219" s="1317"/>
      <c r="H219" s="1317"/>
    </row>
    <row r="220" spans="1:8">
      <c r="A220" s="1322" t="s">
        <v>654</v>
      </c>
      <c r="B220" s="1317"/>
      <c r="C220" s="1317"/>
      <c r="D220" s="1317"/>
      <c r="E220" s="1317"/>
      <c r="F220" s="1317"/>
      <c r="G220" s="1317"/>
      <c r="H220" s="1317"/>
    </row>
    <row r="221" spans="1:8">
      <c r="A221" s="1322" t="s">
        <v>655</v>
      </c>
      <c r="B221" s="1317"/>
      <c r="C221" s="1317"/>
      <c r="D221" s="1317"/>
      <c r="E221" s="1317"/>
      <c r="F221" s="1317"/>
      <c r="G221" s="1317"/>
      <c r="H221" s="1317"/>
    </row>
    <row r="222" spans="1:8">
      <c r="A222" s="1322" t="s">
        <v>656</v>
      </c>
      <c r="B222" s="1317"/>
      <c r="C222" s="1317"/>
      <c r="D222" s="1317"/>
      <c r="E222" s="1317"/>
      <c r="F222" s="1317"/>
      <c r="G222" s="1317"/>
      <c r="H222" s="1317"/>
    </row>
    <row r="223" spans="1:8">
      <c r="A223" s="1322" t="s">
        <v>657</v>
      </c>
      <c r="B223" s="1317"/>
      <c r="C223" s="1317"/>
      <c r="D223" s="1317"/>
      <c r="E223" s="1317"/>
      <c r="F223" s="1317"/>
      <c r="G223" s="1317"/>
      <c r="H223" s="1317"/>
    </row>
    <row r="224" spans="1:8">
      <c r="A224" s="1322" t="s">
        <v>658</v>
      </c>
      <c r="B224" s="1317"/>
      <c r="C224" s="1317"/>
      <c r="D224" s="1317"/>
      <c r="E224" s="1317"/>
      <c r="F224" s="1317"/>
      <c r="G224" s="1317"/>
      <c r="H224" s="1317"/>
    </row>
    <row r="225" spans="1:8">
      <c r="A225" s="1322" t="s">
        <v>659</v>
      </c>
      <c r="B225" s="1317"/>
      <c r="C225" s="1317"/>
      <c r="D225" s="1317"/>
      <c r="E225" s="1317"/>
      <c r="F225" s="1317"/>
      <c r="G225" s="1317"/>
      <c r="H225" s="1317"/>
    </row>
    <row r="226" spans="1:8">
      <c r="A226" s="1317"/>
      <c r="B226" s="1317"/>
      <c r="C226" s="1317"/>
      <c r="D226" s="1317"/>
      <c r="E226" s="1317"/>
      <c r="F226" s="1317"/>
      <c r="G226" s="1317"/>
      <c r="H226" s="1317"/>
    </row>
    <row r="227" spans="1:8">
      <c r="A227" s="1322" t="s">
        <v>650</v>
      </c>
      <c r="B227" s="1317"/>
      <c r="C227" s="1317"/>
      <c r="D227" s="1317"/>
      <c r="E227" s="1317"/>
      <c r="F227" s="1317"/>
      <c r="G227" s="1317"/>
      <c r="H227" s="1317"/>
    </row>
    <row r="228" spans="1:8">
      <c r="A228" s="1322" t="s">
        <v>651</v>
      </c>
      <c r="B228" s="1317"/>
      <c r="C228" s="1317"/>
      <c r="D228" s="1317"/>
      <c r="E228" s="1317"/>
      <c r="F228" s="1317"/>
      <c r="G228" s="1317"/>
      <c r="H228" s="1317"/>
    </row>
    <row r="229" spans="1:8">
      <c r="A229" s="1322" t="s">
        <v>652</v>
      </c>
      <c r="B229" s="1317"/>
      <c r="C229" s="1317"/>
      <c r="D229" s="1317"/>
      <c r="E229" s="1317"/>
      <c r="F229" s="1317"/>
      <c r="G229" s="1317"/>
      <c r="H229" s="1317"/>
    </row>
    <row r="230" spans="1:8">
      <c r="A230" s="1317"/>
      <c r="B230" s="1317"/>
      <c r="C230" s="1317"/>
      <c r="D230" s="1317"/>
      <c r="E230" s="1317"/>
      <c r="F230" s="1317"/>
      <c r="G230" s="1317"/>
      <c r="H230" s="1317"/>
    </row>
    <row r="231" spans="1:8">
      <c r="A231" s="1322" t="s">
        <v>645</v>
      </c>
      <c r="B231" s="1317"/>
      <c r="C231" s="1317"/>
      <c r="D231" s="1317"/>
      <c r="E231" s="1317"/>
      <c r="F231" s="1317"/>
      <c r="G231" s="1317"/>
      <c r="H231" s="1317"/>
    </row>
    <row r="232" spans="1:8">
      <c r="A232" s="1322" t="s">
        <v>646</v>
      </c>
      <c r="B232" s="1317"/>
      <c r="C232" s="1317"/>
      <c r="D232" s="1317"/>
      <c r="E232" s="1317"/>
      <c r="F232" s="1317"/>
      <c r="G232" s="1317"/>
      <c r="H232" s="1317"/>
    </row>
    <row r="233" spans="1:8">
      <c r="A233" s="1322" t="s">
        <v>647</v>
      </c>
      <c r="B233" s="1317"/>
      <c r="C233" s="1317"/>
      <c r="D233" s="1317"/>
      <c r="E233" s="1317"/>
      <c r="F233" s="1317"/>
      <c r="G233" s="1317"/>
      <c r="H233" s="1317"/>
    </row>
    <row r="234" spans="1:8">
      <c r="A234" s="1322" t="s">
        <v>648</v>
      </c>
      <c r="B234" s="1317"/>
      <c r="C234" s="1317"/>
      <c r="D234" s="1317"/>
      <c r="E234" s="1317"/>
      <c r="F234" s="1317"/>
      <c r="G234" s="1317"/>
      <c r="H234" s="1317"/>
    </row>
    <row r="235" spans="1:8">
      <c r="A235" s="1322" t="s">
        <v>649</v>
      </c>
      <c r="B235" s="1317"/>
      <c r="C235" s="1317"/>
      <c r="D235" s="1317"/>
      <c r="E235" s="1317"/>
      <c r="F235" s="1317"/>
      <c r="G235" s="1317"/>
      <c r="H235" s="1317"/>
    </row>
    <row r="236" spans="1:8">
      <c r="A236" s="1317"/>
      <c r="B236" s="1317"/>
      <c r="C236" s="1317"/>
      <c r="D236" s="1317"/>
      <c r="E236" s="1317"/>
      <c r="F236" s="1317"/>
      <c r="G236" s="1317"/>
      <c r="H236" s="1317"/>
    </row>
    <row r="237" spans="1:8">
      <c r="A237" s="1322" t="s">
        <v>639</v>
      </c>
      <c r="B237" s="1317"/>
      <c r="C237" s="1317"/>
      <c r="D237" s="1317"/>
      <c r="E237" s="1317"/>
      <c r="F237" s="1317"/>
      <c r="G237" s="1317"/>
      <c r="H237" s="1317"/>
    </row>
    <row r="238" spans="1:8">
      <c r="A238" s="1322" t="s">
        <v>640</v>
      </c>
      <c r="B238" s="1317"/>
      <c r="C238" s="1317"/>
      <c r="D238" s="1317"/>
      <c r="E238" s="1317"/>
      <c r="F238" s="1317"/>
      <c r="G238" s="1317"/>
      <c r="H238" s="1317"/>
    </row>
    <row r="239" spans="1:8">
      <c r="A239" s="1322" t="s">
        <v>641</v>
      </c>
      <c r="B239" s="1317"/>
      <c r="C239" s="1317"/>
      <c r="D239" s="1317"/>
      <c r="E239" s="1317"/>
      <c r="F239" s="1317"/>
      <c r="G239" s="1317"/>
      <c r="H239" s="1317"/>
    </row>
    <row r="240" spans="1:8">
      <c r="A240" s="1322" t="s">
        <v>642</v>
      </c>
      <c r="B240" s="1317"/>
      <c r="C240" s="1317"/>
      <c r="D240" s="1317"/>
      <c r="E240" s="1317"/>
      <c r="F240" s="1317"/>
      <c r="G240" s="1317"/>
      <c r="H240" s="1317"/>
    </row>
    <row r="241" spans="1:8">
      <c r="A241" s="1322" t="s">
        <v>643</v>
      </c>
      <c r="B241" s="1317"/>
      <c r="C241" s="1317"/>
      <c r="D241" s="1317"/>
      <c r="E241" s="1317"/>
      <c r="F241" s="1317"/>
      <c r="G241" s="1317"/>
      <c r="H241" s="1317"/>
    </row>
    <row r="242" spans="1:8">
      <c r="A242" s="1322" t="s">
        <v>644</v>
      </c>
      <c r="B242" s="1317"/>
      <c r="C242" s="1317"/>
      <c r="D242" s="1317"/>
      <c r="E242" s="1317"/>
      <c r="F242" s="1317"/>
      <c r="G242" s="1317"/>
      <c r="H242" s="1317"/>
    </row>
    <row r="243" spans="1:8">
      <c r="A243" s="1317"/>
      <c r="B243" s="1317"/>
      <c r="C243" s="1317"/>
      <c r="D243" s="1317"/>
      <c r="E243" s="1317"/>
      <c r="F243" s="1317"/>
      <c r="G243" s="1317"/>
      <c r="H243" s="1317"/>
    </row>
    <row r="244" spans="1:8">
      <c r="A244" s="1322" t="s">
        <v>629</v>
      </c>
      <c r="B244" s="1317"/>
      <c r="C244" s="1317"/>
      <c r="D244" s="1317"/>
      <c r="E244" s="1317"/>
      <c r="F244" s="1317"/>
      <c r="G244" s="1317"/>
      <c r="H244" s="1317"/>
    </row>
    <row r="245" spans="1:8">
      <c r="A245" s="1322" t="s">
        <v>630</v>
      </c>
      <c r="B245" s="1317"/>
      <c r="C245" s="1317"/>
      <c r="D245" s="1317"/>
      <c r="E245" s="1317"/>
      <c r="F245" s="1317"/>
      <c r="G245" s="1317"/>
      <c r="H245" s="1317"/>
    </row>
    <row r="246" spans="1:8">
      <c r="A246" s="1322" t="s">
        <v>631</v>
      </c>
      <c r="B246" s="1317"/>
      <c r="C246" s="1317"/>
      <c r="D246" s="1317"/>
      <c r="E246" s="1317"/>
      <c r="F246" s="1317"/>
      <c r="G246" s="1317"/>
      <c r="H246" s="1317"/>
    </row>
    <row r="247" spans="1:8">
      <c r="A247" s="1322" t="s">
        <v>632</v>
      </c>
      <c r="B247" s="1317"/>
      <c r="C247" s="1317"/>
      <c r="D247" s="1317"/>
      <c r="E247" s="1317"/>
      <c r="F247" s="1317"/>
      <c r="G247" s="1317"/>
      <c r="H247" s="1317"/>
    </row>
    <row r="248" spans="1:8">
      <c r="A248" s="1322" t="s">
        <v>633</v>
      </c>
      <c r="B248" s="1317"/>
      <c r="C248" s="1317"/>
      <c r="D248" s="1317"/>
      <c r="E248" s="1317"/>
      <c r="F248" s="1317"/>
      <c r="G248" s="1317"/>
      <c r="H248" s="1317"/>
    </row>
    <row r="249" spans="1:8">
      <c r="A249" s="1322" t="s">
        <v>634</v>
      </c>
      <c r="B249" s="1317"/>
      <c r="C249" s="1317"/>
      <c r="D249" s="1317"/>
      <c r="E249" s="1317"/>
      <c r="F249" s="1317"/>
      <c r="G249" s="1317"/>
      <c r="H249" s="1317"/>
    </row>
    <row r="250" spans="1:8">
      <c r="A250" s="1322" t="s">
        <v>635</v>
      </c>
      <c r="B250" s="1317"/>
      <c r="C250" s="1317"/>
      <c r="D250" s="1317"/>
      <c r="E250" s="1317"/>
      <c r="F250" s="1317"/>
      <c r="G250" s="1317"/>
      <c r="H250" s="1317"/>
    </row>
    <row r="251" spans="1:8">
      <c r="A251" s="1322" t="s">
        <v>636</v>
      </c>
      <c r="B251" s="1317"/>
      <c r="C251" s="1317"/>
      <c r="D251" s="1317"/>
      <c r="E251" s="1317"/>
      <c r="F251" s="1317"/>
      <c r="G251" s="1317"/>
      <c r="H251" s="1317"/>
    </row>
    <row r="252" spans="1:8">
      <c r="A252" s="1322" t="s">
        <v>637</v>
      </c>
      <c r="B252" s="1317"/>
      <c r="C252" s="1317"/>
      <c r="D252" s="1317"/>
      <c r="E252" s="1317"/>
      <c r="F252" s="1317"/>
      <c r="G252" s="1317"/>
      <c r="H252" s="1317"/>
    </row>
    <row r="253" spans="1:8">
      <c r="A253" s="1322" t="s">
        <v>638</v>
      </c>
      <c r="B253" s="1317"/>
      <c r="C253" s="1317"/>
      <c r="D253" s="1317"/>
      <c r="E253" s="1317"/>
      <c r="F253" s="1317"/>
      <c r="G253" s="1317"/>
      <c r="H253" s="1317"/>
    </row>
    <row r="254" spans="1:8">
      <c r="A254" s="1317"/>
      <c r="B254" s="1317"/>
      <c r="C254" s="1317"/>
      <c r="D254" s="1317"/>
      <c r="E254" s="1317"/>
      <c r="F254" s="1317"/>
      <c r="G254" s="1317"/>
      <c r="H254" s="1317"/>
    </row>
    <row r="255" spans="1:8">
      <c r="A255" s="1322" t="s">
        <v>627</v>
      </c>
      <c r="B255" s="1317"/>
      <c r="C255" s="1317"/>
      <c r="D255" s="1317"/>
      <c r="E255" s="1317"/>
      <c r="F255" s="1317"/>
      <c r="G255" s="1317"/>
      <c r="H255" s="1317"/>
    </row>
    <row r="256" spans="1:8">
      <c r="A256" s="1322" t="s">
        <v>628</v>
      </c>
      <c r="B256" s="1317"/>
      <c r="C256" s="1317"/>
      <c r="D256" s="1317"/>
      <c r="E256" s="1317"/>
      <c r="F256" s="1317"/>
      <c r="G256" s="1317"/>
      <c r="H256" s="1317"/>
    </row>
    <row r="257" spans="1:8">
      <c r="A257" s="1317"/>
      <c r="B257" s="1317"/>
      <c r="C257" s="1317"/>
      <c r="D257" s="1317"/>
      <c r="E257" s="1317"/>
      <c r="F257" s="1317"/>
      <c r="G257" s="1317"/>
      <c r="H257" s="1317"/>
    </row>
    <row r="258" spans="1:8">
      <c r="A258" s="1322" t="s">
        <v>611</v>
      </c>
      <c r="B258" s="1317"/>
      <c r="C258" s="1317"/>
      <c r="D258" s="1317"/>
      <c r="E258" s="1317"/>
      <c r="F258" s="1317"/>
      <c r="G258" s="1317"/>
      <c r="H258" s="1317"/>
    </row>
    <row r="259" spans="1:8">
      <c r="A259" s="1322" t="s">
        <v>612</v>
      </c>
      <c r="B259" s="1317"/>
      <c r="C259" s="1317"/>
      <c r="D259" s="1317"/>
      <c r="E259" s="1317"/>
      <c r="F259" s="1317"/>
      <c r="G259" s="1317"/>
      <c r="H259" s="1317"/>
    </row>
    <row r="260" spans="1:8">
      <c r="A260" s="1322" t="s">
        <v>613</v>
      </c>
      <c r="B260" s="1317"/>
      <c r="C260" s="1317"/>
      <c r="D260" s="1317"/>
      <c r="E260" s="1317"/>
      <c r="F260" s="1317"/>
      <c r="G260" s="1317"/>
      <c r="H260" s="1317"/>
    </row>
    <row r="261" spans="1:8">
      <c r="A261" s="1322" t="s">
        <v>614</v>
      </c>
      <c r="B261" s="1317"/>
      <c r="C261" s="1317"/>
      <c r="D261" s="1317"/>
      <c r="E261" s="1317"/>
      <c r="F261" s="1317"/>
      <c r="G261" s="1317"/>
      <c r="H261" s="1317"/>
    </row>
    <row r="262" spans="1:8">
      <c r="A262" s="1322" t="s">
        <v>615</v>
      </c>
      <c r="B262" s="1317"/>
      <c r="C262" s="1317"/>
      <c r="D262" s="1317"/>
      <c r="E262" s="1317"/>
      <c r="F262" s="1317"/>
      <c r="G262" s="1317"/>
      <c r="H262" s="1317"/>
    </row>
    <row r="263" spans="1:8">
      <c r="A263" s="1322" t="s">
        <v>616</v>
      </c>
      <c r="B263" s="1317"/>
      <c r="C263" s="1317"/>
      <c r="D263" s="1317"/>
      <c r="E263" s="1317"/>
      <c r="F263" s="1317"/>
      <c r="G263" s="1317"/>
      <c r="H263" s="1317"/>
    </row>
    <row r="264" spans="1:8">
      <c r="A264" s="1322" t="s">
        <v>617</v>
      </c>
      <c r="B264" s="1317"/>
      <c r="C264" s="1317"/>
      <c r="D264" s="1317"/>
      <c r="E264" s="1317"/>
      <c r="F264" s="1317"/>
      <c r="G264" s="1317"/>
      <c r="H264" s="1317"/>
    </row>
    <row r="265" spans="1:8">
      <c r="A265" s="1322" t="s">
        <v>618</v>
      </c>
      <c r="B265" s="1317"/>
      <c r="C265" s="1317"/>
      <c r="D265" s="1317"/>
      <c r="E265" s="1317"/>
      <c r="F265" s="1317"/>
      <c r="G265" s="1317"/>
      <c r="H265" s="1317"/>
    </row>
    <row r="266" spans="1:8">
      <c r="A266" s="1322" t="s">
        <v>619</v>
      </c>
      <c r="B266" s="1317"/>
      <c r="C266" s="1317"/>
      <c r="D266" s="1317"/>
      <c r="E266" s="1317"/>
      <c r="F266" s="1317"/>
      <c r="G266" s="1317"/>
      <c r="H266" s="1317"/>
    </row>
    <row r="267" spans="1:8">
      <c r="A267" s="1322" t="s">
        <v>620</v>
      </c>
      <c r="B267" s="1317"/>
      <c r="C267" s="1317"/>
      <c r="D267" s="1317"/>
      <c r="E267" s="1317"/>
      <c r="F267" s="1317"/>
      <c r="G267" s="1317"/>
      <c r="H267" s="1317"/>
    </row>
    <row r="268" spans="1:8">
      <c r="A268" s="1322" t="s">
        <v>621</v>
      </c>
      <c r="B268" s="1317"/>
      <c r="C268" s="1317"/>
      <c r="D268" s="1317"/>
      <c r="E268" s="1317"/>
      <c r="F268" s="1317"/>
      <c r="G268" s="1317"/>
      <c r="H268" s="1317"/>
    </row>
    <row r="269" spans="1:8">
      <c r="A269" s="1322" t="s">
        <v>622</v>
      </c>
      <c r="B269" s="1317"/>
      <c r="C269" s="1317"/>
      <c r="D269" s="1317"/>
      <c r="E269" s="1317"/>
      <c r="F269" s="1317"/>
      <c r="G269" s="1317"/>
      <c r="H269" s="1317"/>
    </row>
    <row r="270" spans="1:8">
      <c r="A270" s="1322" t="s">
        <v>623</v>
      </c>
      <c r="B270" s="1317"/>
      <c r="C270" s="1317"/>
      <c r="D270" s="1317"/>
      <c r="E270" s="1317"/>
      <c r="F270" s="1317"/>
      <c r="G270" s="1317"/>
      <c r="H270" s="1317"/>
    </row>
    <row r="271" spans="1:8">
      <c r="A271" s="1322" t="s">
        <v>624</v>
      </c>
      <c r="B271" s="1317"/>
      <c r="C271" s="1317"/>
      <c r="D271" s="1317"/>
      <c r="E271" s="1317"/>
      <c r="F271" s="1317"/>
      <c r="G271" s="1317"/>
      <c r="H271" s="1317"/>
    </row>
    <row r="272" spans="1:8">
      <c r="A272" s="1322" t="s">
        <v>625</v>
      </c>
      <c r="B272" s="1317"/>
      <c r="C272" s="1317"/>
      <c r="D272" s="1317"/>
      <c r="E272" s="1317"/>
      <c r="F272" s="1317"/>
      <c r="G272" s="1317"/>
      <c r="H272" s="1317"/>
    </row>
    <row r="273" spans="1:8">
      <c r="A273" s="1322" t="s">
        <v>626</v>
      </c>
      <c r="B273" s="1317"/>
      <c r="C273" s="1317"/>
      <c r="D273" s="1317"/>
      <c r="E273" s="1317"/>
      <c r="F273" s="1317"/>
      <c r="G273" s="1317"/>
      <c r="H273" s="1317"/>
    </row>
    <row r="274" spans="1:8">
      <c r="A274" s="1317"/>
      <c r="B274" s="1317"/>
      <c r="C274" s="1317"/>
      <c r="D274" s="1317"/>
      <c r="E274" s="1317"/>
      <c r="F274" s="1317"/>
      <c r="G274" s="1317"/>
      <c r="H274" s="1317"/>
    </row>
    <row r="275" spans="1:8">
      <c r="A275" s="1322" t="s">
        <v>604</v>
      </c>
      <c r="B275" s="1317"/>
      <c r="C275" s="1317"/>
      <c r="D275" s="1317"/>
      <c r="E275" s="1317"/>
      <c r="F275" s="1317"/>
      <c r="G275" s="1317"/>
      <c r="H275" s="1317"/>
    </row>
    <row r="276" spans="1:8">
      <c r="A276" s="1322" t="s">
        <v>605</v>
      </c>
      <c r="B276" s="1317"/>
      <c r="C276" s="1317"/>
      <c r="D276" s="1317"/>
      <c r="E276" s="1317"/>
      <c r="F276" s="1317"/>
      <c r="G276" s="1317"/>
      <c r="H276" s="1317"/>
    </row>
    <row r="277" spans="1:8">
      <c r="A277" s="1322" t="s">
        <v>606</v>
      </c>
      <c r="B277" s="1317"/>
      <c r="C277" s="1317"/>
      <c r="D277" s="1317"/>
      <c r="E277" s="1317"/>
      <c r="F277" s="1317"/>
      <c r="G277" s="1317"/>
      <c r="H277" s="1317"/>
    </row>
    <row r="278" spans="1:8">
      <c r="A278" s="1322" t="s">
        <v>607</v>
      </c>
      <c r="B278" s="1317"/>
      <c r="C278" s="1317"/>
      <c r="D278" s="1317"/>
      <c r="E278" s="1317"/>
      <c r="F278" s="1317"/>
      <c r="G278" s="1317"/>
      <c r="H278" s="1317"/>
    </row>
    <row r="279" spans="1:8">
      <c r="A279" s="1322" t="s">
        <v>608</v>
      </c>
      <c r="B279" s="1317"/>
      <c r="C279" s="1317"/>
      <c r="D279" s="1317"/>
      <c r="E279" s="1317"/>
      <c r="F279" s="1317"/>
      <c r="G279" s="1317"/>
      <c r="H279" s="1317"/>
    </row>
    <row r="280" spans="1:8">
      <c r="A280" s="1322" t="s">
        <v>609</v>
      </c>
      <c r="B280" s="1317"/>
      <c r="C280" s="1317"/>
      <c r="D280" s="1317"/>
      <c r="E280" s="1317"/>
      <c r="F280" s="1317"/>
      <c r="G280" s="1317"/>
      <c r="H280" s="1317"/>
    </row>
    <row r="281" spans="1:8">
      <c r="A281" s="1322" t="s">
        <v>610</v>
      </c>
      <c r="B281" s="1317"/>
      <c r="C281" s="1317"/>
      <c r="D281" s="1317"/>
      <c r="E281" s="1317"/>
      <c r="F281" s="1317"/>
      <c r="G281" s="1317"/>
      <c r="H281" s="1317"/>
    </row>
    <row r="282" spans="1:8">
      <c r="A282" s="1317"/>
      <c r="B282" s="1317"/>
      <c r="C282" s="1317"/>
      <c r="D282" s="1317"/>
      <c r="E282" s="1317"/>
      <c r="F282" s="1317"/>
      <c r="G282" s="1317"/>
      <c r="H282" s="1317"/>
    </row>
    <row r="283" spans="1:8">
      <c r="A283" s="1322" t="s">
        <v>595</v>
      </c>
      <c r="B283" s="1317"/>
      <c r="C283" s="1317"/>
      <c r="D283" s="1317"/>
      <c r="E283" s="1317"/>
      <c r="F283" s="1317"/>
      <c r="G283" s="1317"/>
      <c r="H283" s="1317"/>
    </row>
    <row r="284" spans="1:8">
      <c r="A284" s="1322" t="s">
        <v>596</v>
      </c>
      <c r="B284" s="1317"/>
      <c r="C284" s="1317"/>
      <c r="D284" s="1317"/>
      <c r="E284" s="1317"/>
      <c r="F284" s="1317"/>
      <c r="G284" s="1317"/>
      <c r="H284" s="1317"/>
    </row>
    <row r="285" spans="1:8">
      <c r="A285" s="1322" t="s">
        <v>597</v>
      </c>
      <c r="B285" s="1317"/>
      <c r="C285" s="1317"/>
      <c r="D285" s="1317"/>
      <c r="E285" s="1317"/>
      <c r="F285" s="1317"/>
      <c r="G285" s="1317"/>
      <c r="H285" s="1317"/>
    </row>
    <row r="286" spans="1:8">
      <c r="A286" s="1322" t="s">
        <v>598</v>
      </c>
      <c r="B286" s="1317"/>
      <c r="C286" s="1317"/>
      <c r="D286" s="1317"/>
      <c r="E286" s="1317"/>
      <c r="F286" s="1317"/>
      <c r="G286" s="1317"/>
      <c r="H286" s="1317"/>
    </row>
    <row r="287" spans="1:8">
      <c r="A287" s="1322" t="s">
        <v>599</v>
      </c>
      <c r="B287" s="1317"/>
      <c r="C287" s="1317"/>
      <c r="D287" s="1317"/>
      <c r="E287" s="1317"/>
      <c r="F287" s="1317"/>
      <c r="G287" s="1317"/>
      <c r="H287" s="1317"/>
    </row>
    <row r="288" spans="1:8">
      <c r="A288" s="1322" t="s">
        <v>600</v>
      </c>
      <c r="B288" s="1317"/>
      <c r="C288" s="1317"/>
      <c r="D288" s="1317"/>
      <c r="E288" s="1317"/>
      <c r="F288" s="1317"/>
      <c r="G288" s="1317"/>
      <c r="H288" s="1317"/>
    </row>
    <row r="289" spans="1:8">
      <c r="A289" s="1322" t="s">
        <v>601</v>
      </c>
      <c r="B289" s="1317"/>
      <c r="C289" s="1317"/>
      <c r="D289" s="1317"/>
      <c r="E289" s="1317"/>
      <c r="F289" s="1317"/>
      <c r="G289" s="1317"/>
      <c r="H289" s="1317"/>
    </row>
    <row r="290" spans="1:8">
      <c r="A290" s="1322" t="s">
        <v>602</v>
      </c>
      <c r="B290" s="1317"/>
      <c r="C290" s="1317"/>
      <c r="D290" s="1317"/>
      <c r="E290" s="1317"/>
      <c r="F290" s="1317"/>
      <c r="G290" s="1317"/>
      <c r="H290" s="1317"/>
    </row>
    <row r="291" spans="1:8">
      <c r="A291" s="1322" t="s">
        <v>603</v>
      </c>
      <c r="B291" s="1317"/>
      <c r="C291" s="1317"/>
      <c r="D291" s="1317"/>
      <c r="E291" s="1317"/>
      <c r="F291" s="1317"/>
      <c r="G291" s="1317"/>
      <c r="H291" s="1317"/>
    </row>
    <row r="292" spans="1:8">
      <c r="A292" s="1317"/>
      <c r="B292" s="1317"/>
      <c r="C292" s="1317"/>
      <c r="D292" s="1317"/>
      <c r="E292" s="1317"/>
      <c r="F292" s="1317"/>
      <c r="G292" s="1317"/>
      <c r="H292" s="1317"/>
    </row>
    <row r="293" spans="1:8">
      <c r="A293" s="1322" t="s">
        <v>588</v>
      </c>
      <c r="B293" s="1317"/>
      <c r="C293" s="1317"/>
      <c r="D293" s="1317"/>
      <c r="E293" s="1317"/>
      <c r="F293" s="1317"/>
      <c r="G293" s="1317"/>
      <c r="H293" s="1317"/>
    </row>
    <row r="294" spans="1:8">
      <c r="A294" s="1322" t="s">
        <v>589</v>
      </c>
      <c r="B294" s="1317"/>
      <c r="C294" s="1317"/>
      <c r="D294" s="1317"/>
      <c r="E294" s="1317"/>
      <c r="F294" s="1317"/>
      <c r="G294" s="1317"/>
      <c r="H294" s="1317"/>
    </row>
    <row r="295" spans="1:8">
      <c r="A295" s="1322" t="s">
        <v>590</v>
      </c>
      <c r="B295" s="1317"/>
      <c r="C295" s="1317"/>
      <c r="D295" s="1317"/>
      <c r="E295" s="1317"/>
      <c r="F295" s="1317"/>
      <c r="G295" s="1317"/>
      <c r="H295" s="1317"/>
    </row>
    <row r="296" spans="1:8">
      <c r="A296" s="1322" t="s">
        <v>591</v>
      </c>
      <c r="B296" s="1317"/>
      <c r="C296" s="1317"/>
      <c r="D296" s="1317"/>
      <c r="E296" s="1317"/>
      <c r="F296" s="1317"/>
      <c r="G296" s="1317"/>
      <c r="H296" s="1317"/>
    </row>
    <row r="297" spans="1:8">
      <c r="A297" s="1322" t="s">
        <v>592</v>
      </c>
      <c r="B297" s="1317"/>
      <c r="C297" s="1317"/>
      <c r="D297" s="1317"/>
      <c r="E297" s="1317"/>
      <c r="F297" s="1317"/>
      <c r="G297" s="1317"/>
      <c r="H297" s="1317"/>
    </row>
    <row r="298" spans="1:8">
      <c r="A298" s="1322" t="s">
        <v>593</v>
      </c>
      <c r="B298" s="1317"/>
      <c r="C298" s="1317"/>
      <c r="D298" s="1317"/>
      <c r="E298" s="1317"/>
      <c r="F298" s="1317"/>
      <c r="G298" s="1317"/>
      <c r="H298" s="1317"/>
    </row>
    <row r="299" spans="1:8">
      <c r="A299" s="1322" t="s">
        <v>594</v>
      </c>
      <c r="B299" s="1317"/>
      <c r="C299" s="1317"/>
      <c r="D299" s="1317"/>
      <c r="E299" s="1317"/>
      <c r="F299" s="1317"/>
      <c r="G299" s="1317"/>
      <c r="H299" s="1317"/>
    </row>
    <row r="300" spans="1:8">
      <c r="A300" s="1317"/>
      <c r="B300" s="1317"/>
      <c r="C300" s="1317"/>
      <c r="D300" s="1317"/>
      <c r="E300" s="1317"/>
      <c r="F300" s="1317"/>
      <c r="G300" s="1317"/>
      <c r="H300" s="1317"/>
    </row>
    <row r="301" spans="1:8">
      <c r="A301" s="1322" t="s">
        <v>585</v>
      </c>
      <c r="B301" s="1317"/>
      <c r="C301" s="1317"/>
      <c r="D301" s="1317"/>
      <c r="E301" s="1317"/>
      <c r="F301" s="1317"/>
      <c r="G301" s="1317"/>
      <c r="H301" s="1317"/>
    </row>
    <row r="302" spans="1:8">
      <c r="A302" s="1322" t="s">
        <v>586</v>
      </c>
      <c r="B302" s="1317"/>
      <c r="C302" s="1317"/>
      <c r="D302" s="1317"/>
      <c r="E302" s="1317"/>
      <c r="F302" s="1317"/>
      <c r="G302" s="1317"/>
      <c r="H302" s="1317"/>
    </row>
    <row r="303" spans="1:8">
      <c r="A303" s="1322" t="s">
        <v>587</v>
      </c>
      <c r="B303" s="1317"/>
      <c r="C303" s="1317"/>
      <c r="D303" s="1317"/>
      <c r="E303" s="1317"/>
      <c r="F303" s="1317"/>
      <c r="G303" s="1317"/>
      <c r="H303" s="1317"/>
    </row>
    <row r="304" spans="1:8">
      <c r="A304" s="1317"/>
      <c r="B304" s="1317"/>
      <c r="C304" s="1317"/>
      <c r="D304" s="1317"/>
      <c r="E304" s="1317"/>
      <c r="F304" s="1317"/>
      <c r="G304" s="1317"/>
      <c r="H304" s="1317"/>
    </row>
    <row r="305" spans="1:8">
      <c r="A305" s="1322" t="s">
        <v>583</v>
      </c>
      <c r="B305" s="1317"/>
      <c r="C305" s="1317"/>
      <c r="D305" s="1317"/>
      <c r="E305" s="1317"/>
      <c r="F305" s="1317"/>
      <c r="G305" s="1317"/>
      <c r="H305" s="1317"/>
    </row>
    <row r="306" spans="1:8">
      <c r="A306" s="1322" t="s">
        <v>584</v>
      </c>
      <c r="B306" s="1317"/>
      <c r="C306" s="1317"/>
      <c r="D306" s="1317"/>
      <c r="E306" s="1317"/>
      <c r="F306" s="1317"/>
      <c r="G306" s="1317"/>
      <c r="H306" s="1317"/>
    </row>
    <row r="307" spans="1:8">
      <c r="A307" s="1317"/>
      <c r="B307" s="1317"/>
      <c r="C307" s="1317"/>
      <c r="D307" s="1317"/>
      <c r="E307" s="1317"/>
      <c r="F307" s="1317"/>
      <c r="G307" s="1317"/>
      <c r="H307" s="1317"/>
    </row>
    <row r="308" spans="1:8">
      <c r="A308" s="1322" t="s">
        <v>570</v>
      </c>
      <c r="B308" s="1317"/>
      <c r="C308" s="1317"/>
      <c r="D308" s="1317"/>
      <c r="E308" s="1317"/>
      <c r="F308" s="1317"/>
      <c r="G308" s="1317"/>
      <c r="H308" s="1317"/>
    </row>
    <row r="309" spans="1:8">
      <c r="A309" s="1322" t="s">
        <v>571</v>
      </c>
      <c r="B309" s="1317"/>
      <c r="C309" s="1317"/>
      <c r="D309" s="1317"/>
      <c r="E309" s="1317"/>
      <c r="F309" s="1317"/>
      <c r="G309" s="1317"/>
      <c r="H309" s="1317"/>
    </row>
    <row r="310" spans="1:8">
      <c r="A310" s="1322" t="s">
        <v>572</v>
      </c>
      <c r="B310" s="1317"/>
      <c r="C310" s="1317"/>
      <c r="D310" s="1317"/>
      <c r="E310" s="1317"/>
      <c r="F310" s="1317"/>
      <c r="G310" s="1317"/>
      <c r="H310" s="1317"/>
    </row>
    <row r="311" spans="1:8">
      <c r="A311" s="1322" t="s">
        <v>573</v>
      </c>
      <c r="B311" s="1317"/>
      <c r="C311" s="1317"/>
      <c r="D311" s="1317"/>
      <c r="E311" s="1317"/>
      <c r="F311" s="1317"/>
      <c r="G311" s="1317"/>
      <c r="H311" s="1317"/>
    </row>
    <row r="312" spans="1:8">
      <c r="A312" s="1322" t="s">
        <v>574</v>
      </c>
      <c r="B312" s="1317"/>
      <c r="C312" s="1317"/>
      <c r="D312" s="1317"/>
      <c r="E312" s="1317"/>
      <c r="F312" s="1317"/>
      <c r="G312" s="1317"/>
      <c r="H312" s="1317"/>
    </row>
    <row r="313" spans="1:8">
      <c r="A313" s="1322" t="s">
        <v>575</v>
      </c>
      <c r="B313" s="1317"/>
      <c r="C313" s="1317"/>
      <c r="D313" s="1317"/>
      <c r="E313" s="1317"/>
      <c r="F313" s="1317"/>
      <c r="G313" s="1317"/>
      <c r="H313" s="1317"/>
    </row>
    <row r="314" spans="1:8">
      <c r="A314" s="1322" t="s">
        <v>576</v>
      </c>
      <c r="B314" s="1317"/>
      <c r="C314" s="1317"/>
      <c r="D314" s="1317"/>
      <c r="E314" s="1317"/>
      <c r="F314" s="1317"/>
      <c r="G314" s="1317"/>
      <c r="H314" s="1317"/>
    </row>
    <row r="315" spans="1:8">
      <c r="A315" s="1322" t="s">
        <v>577</v>
      </c>
      <c r="B315" s="1317"/>
      <c r="C315" s="1317"/>
      <c r="D315" s="1317"/>
      <c r="E315" s="1317"/>
      <c r="F315" s="1317"/>
      <c r="G315" s="1317"/>
      <c r="H315" s="1317"/>
    </row>
    <row r="316" spans="1:8">
      <c r="A316" s="1322" t="s">
        <v>578</v>
      </c>
      <c r="B316" s="1317"/>
      <c r="C316" s="1317"/>
      <c r="D316" s="1317"/>
      <c r="E316" s="1317"/>
      <c r="F316" s="1317"/>
      <c r="G316" s="1317"/>
      <c r="H316" s="1317"/>
    </row>
    <row r="317" spans="1:8">
      <c r="A317" s="1322" t="s">
        <v>579</v>
      </c>
      <c r="B317" s="1317"/>
      <c r="C317" s="1317"/>
      <c r="D317" s="1317"/>
      <c r="E317" s="1317"/>
      <c r="F317" s="1317"/>
      <c r="G317" s="1317"/>
      <c r="H317" s="1317"/>
    </row>
    <row r="318" spans="1:8">
      <c r="A318" s="1322" t="s">
        <v>580</v>
      </c>
      <c r="B318" s="1317"/>
      <c r="C318" s="1317"/>
      <c r="D318" s="1317"/>
      <c r="E318" s="1317"/>
      <c r="F318" s="1317"/>
      <c r="G318" s="1317"/>
      <c r="H318" s="1317"/>
    </row>
    <row r="319" spans="1:8">
      <c r="A319" s="1322" t="s">
        <v>581</v>
      </c>
      <c r="B319" s="1317"/>
      <c r="C319" s="1317"/>
      <c r="D319" s="1317"/>
      <c r="E319" s="1317"/>
      <c r="F319" s="1317"/>
      <c r="G319" s="1317"/>
      <c r="H319" s="1317"/>
    </row>
    <row r="320" spans="1:8">
      <c r="A320" s="1322" t="s">
        <v>582</v>
      </c>
      <c r="B320" s="1317"/>
      <c r="C320" s="1317"/>
      <c r="D320" s="1317"/>
      <c r="E320" s="1317"/>
      <c r="F320" s="1317"/>
      <c r="G320" s="1317"/>
      <c r="H320" s="1317"/>
    </row>
    <row r="321" spans="1:8">
      <c r="A321" s="1317"/>
      <c r="B321" s="1317"/>
      <c r="C321" s="1317"/>
      <c r="D321" s="1317"/>
      <c r="E321" s="1317"/>
      <c r="F321" s="1317"/>
      <c r="G321" s="1317"/>
      <c r="H321" s="1317"/>
    </row>
    <row r="322" spans="1:8">
      <c r="A322" s="1322" t="s">
        <v>562</v>
      </c>
      <c r="B322" s="1317"/>
      <c r="C322" s="1317"/>
      <c r="D322" s="1317"/>
      <c r="E322" s="1317"/>
      <c r="F322" s="1317"/>
      <c r="G322" s="1317"/>
      <c r="H322" s="1317"/>
    </row>
    <row r="323" spans="1:8">
      <c r="A323" s="1322" t="s">
        <v>563</v>
      </c>
      <c r="B323" s="1317"/>
      <c r="C323" s="1317"/>
      <c r="D323" s="1317"/>
      <c r="E323" s="1317"/>
      <c r="F323" s="1317"/>
      <c r="G323" s="1317"/>
      <c r="H323" s="1317"/>
    </row>
    <row r="324" spans="1:8">
      <c r="A324" s="1322" t="s">
        <v>564</v>
      </c>
      <c r="B324" s="1317"/>
      <c r="C324" s="1317"/>
      <c r="D324" s="1317"/>
      <c r="E324" s="1317"/>
      <c r="F324" s="1317"/>
      <c r="G324" s="1317"/>
      <c r="H324" s="1317"/>
    </row>
    <row r="325" spans="1:8">
      <c r="A325" s="1322" t="s">
        <v>565</v>
      </c>
      <c r="B325" s="1317"/>
      <c r="C325" s="1317"/>
      <c r="D325" s="1317"/>
      <c r="E325" s="1317"/>
      <c r="F325" s="1317"/>
      <c r="G325" s="1317"/>
      <c r="H325" s="1317"/>
    </row>
    <row r="326" spans="1:8">
      <c r="A326" s="1322" t="s">
        <v>566</v>
      </c>
      <c r="B326" s="1317"/>
      <c r="C326" s="1317"/>
      <c r="D326" s="1317"/>
      <c r="E326" s="1317"/>
      <c r="F326" s="1317"/>
      <c r="G326" s="1317"/>
      <c r="H326" s="1317"/>
    </row>
    <row r="327" spans="1:8">
      <c r="A327" s="1322" t="s">
        <v>567</v>
      </c>
      <c r="B327" s="1317"/>
      <c r="C327" s="1317"/>
      <c r="D327" s="1317"/>
      <c r="E327" s="1317"/>
      <c r="F327" s="1317"/>
      <c r="G327" s="1317"/>
      <c r="H327" s="1317"/>
    </row>
    <row r="328" spans="1:8">
      <c r="A328" s="1322" t="s">
        <v>568</v>
      </c>
      <c r="B328" s="1317"/>
      <c r="C328" s="1317"/>
      <c r="D328" s="1317"/>
      <c r="E328" s="1317"/>
      <c r="F328" s="1317"/>
      <c r="G328" s="1317"/>
      <c r="H328" s="1317"/>
    </row>
    <row r="329" spans="1:8">
      <c r="A329" s="1322" t="s">
        <v>569</v>
      </c>
      <c r="B329" s="1317"/>
      <c r="C329" s="1317"/>
      <c r="D329" s="1317"/>
      <c r="E329" s="1317"/>
      <c r="F329" s="1317"/>
      <c r="G329" s="1317"/>
      <c r="H329" s="1317"/>
    </row>
    <row r="330" spans="1:8">
      <c r="A330" s="1317"/>
      <c r="B330" s="1317"/>
      <c r="C330" s="1317"/>
      <c r="D330" s="1317"/>
      <c r="E330" s="1317"/>
      <c r="F330" s="1317"/>
      <c r="G330" s="1317"/>
      <c r="H330" s="1317"/>
    </row>
    <row r="331" spans="1:8">
      <c r="A331" s="1322" t="s">
        <v>527</v>
      </c>
      <c r="B331" s="1317"/>
      <c r="C331" s="1317"/>
      <c r="D331" s="1317"/>
      <c r="E331" s="1317"/>
      <c r="F331" s="1317"/>
      <c r="G331" s="1317"/>
      <c r="H331" s="1317"/>
    </row>
    <row r="332" spans="1:8">
      <c r="A332" s="1322" t="s">
        <v>528</v>
      </c>
      <c r="B332" s="1317"/>
      <c r="C332" s="1317"/>
      <c r="D332" s="1317"/>
      <c r="E332" s="1317"/>
      <c r="F332" s="1317"/>
      <c r="G332" s="1317"/>
      <c r="H332" s="1317"/>
    </row>
    <row r="333" spans="1:8">
      <c r="A333" s="1322" t="s">
        <v>529</v>
      </c>
      <c r="B333" s="1317"/>
      <c r="C333" s="1317"/>
      <c r="D333" s="1317"/>
      <c r="E333" s="1317"/>
      <c r="F333" s="1317"/>
      <c r="G333" s="1317"/>
      <c r="H333" s="1317"/>
    </row>
    <row r="334" spans="1:8">
      <c r="A334" s="1322" t="s">
        <v>530</v>
      </c>
      <c r="B334" s="1317"/>
      <c r="C334" s="1317"/>
      <c r="D334" s="1317"/>
      <c r="E334" s="1317"/>
      <c r="F334" s="1317"/>
      <c r="G334" s="1317"/>
      <c r="H334" s="1317"/>
    </row>
    <row r="335" spans="1:8">
      <c r="A335" s="1322" t="s">
        <v>531</v>
      </c>
      <c r="B335" s="1317"/>
      <c r="C335" s="1317"/>
      <c r="D335" s="1317"/>
      <c r="E335" s="1317"/>
      <c r="F335" s="1317"/>
      <c r="G335" s="1317"/>
      <c r="H335" s="1317"/>
    </row>
    <row r="336" spans="1:8">
      <c r="A336" s="1322" t="s">
        <v>532</v>
      </c>
      <c r="B336" s="1317"/>
      <c r="C336" s="1317"/>
      <c r="D336" s="1317"/>
      <c r="E336" s="1317"/>
      <c r="F336" s="1317"/>
      <c r="G336" s="1317"/>
      <c r="H336" s="1317"/>
    </row>
    <row r="337" spans="1:8">
      <c r="A337" s="1322" t="s">
        <v>533</v>
      </c>
      <c r="B337" s="1317"/>
      <c r="C337" s="1317"/>
      <c r="D337" s="1317"/>
      <c r="E337" s="1317"/>
      <c r="F337" s="1317"/>
      <c r="G337" s="1317"/>
      <c r="H337" s="1317"/>
    </row>
    <row r="338" spans="1:8">
      <c r="A338" s="1322" t="s">
        <v>534</v>
      </c>
      <c r="B338" s="1317"/>
      <c r="C338" s="1317"/>
      <c r="D338" s="1317"/>
      <c r="E338" s="1317"/>
      <c r="F338" s="1317"/>
      <c r="G338" s="1317"/>
      <c r="H338" s="1317"/>
    </row>
    <row r="339" spans="1:8">
      <c r="A339" s="1322" t="s">
        <v>535</v>
      </c>
      <c r="B339" s="1317"/>
      <c r="C339" s="1317"/>
      <c r="D339" s="1317"/>
      <c r="E339" s="1317"/>
      <c r="F339" s="1317"/>
      <c r="G339" s="1317"/>
      <c r="H339" s="1317"/>
    </row>
    <row r="340" spans="1:8">
      <c r="A340" s="1322" t="s">
        <v>536</v>
      </c>
      <c r="B340" s="1317"/>
      <c r="C340" s="1317"/>
      <c r="D340" s="1317"/>
      <c r="E340" s="1317"/>
      <c r="F340" s="1317"/>
      <c r="G340" s="1317"/>
      <c r="H340" s="1317"/>
    </row>
    <row r="341" spans="1:8">
      <c r="A341" s="1322" t="s">
        <v>537</v>
      </c>
      <c r="B341" s="1317"/>
      <c r="C341" s="1317"/>
      <c r="D341" s="1317"/>
      <c r="E341" s="1317"/>
      <c r="F341" s="1317"/>
      <c r="G341" s="1317"/>
      <c r="H341" s="1317"/>
    </row>
    <row r="342" spans="1:8">
      <c r="A342" s="1322" t="s">
        <v>538</v>
      </c>
      <c r="B342" s="1317"/>
      <c r="C342" s="1317"/>
      <c r="D342" s="1317"/>
      <c r="E342" s="1317"/>
      <c r="F342" s="1317"/>
      <c r="G342" s="1317"/>
      <c r="H342" s="1317"/>
    </row>
    <row r="343" spans="1:8">
      <c r="A343" s="1322" t="s">
        <v>539</v>
      </c>
      <c r="B343" s="1317"/>
      <c r="C343" s="1317"/>
      <c r="D343" s="1317"/>
      <c r="E343" s="1317"/>
      <c r="F343" s="1317"/>
      <c r="G343" s="1317"/>
      <c r="H343" s="1317"/>
    </row>
    <row r="344" spans="1:8">
      <c r="A344" s="1322" t="s">
        <v>540</v>
      </c>
      <c r="B344" s="1317"/>
      <c r="C344" s="1317"/>
      <c r="D344" s="1317"/>
      <c r="E344" s="1317"/>
      <c r="F344" s="1317"/>
      <c r="G344" s="1317"/>
      <c r="H344" s="1317"/>
    </row>
    <row r="345" spans="1:8">
      <c r="A345" s="1322" t="s">
        <v>541</v>
      </c>
      <c r="B345" s="1317"/>
      <c r="C345" s="1317"/>
      <c r="D345" s="1317"/>
      <c r="E345" s="1317"/>
      <c r="F345" s="1317"/>
      <c r="G345" s="1317"/>
      <c r="H345" s="1317"/>
    </row>
    <row r="346" spans="1:8">
      <c r="A346" s="1322" t="s">
        <v>542</v>
      </c>
      <c r="B346" s="1317"/>
      <c r="C346" s="1317"/>
      <c r="D346" s="1317"/>
      <c r="E346" s="1317"/>
      <c r="F346" s="1317"/>
      <c r="G346" s="1317"/>
      <c r="H346" s="1317"/>
    </row>
    <row r="347" spans="1:8">
      <c r="A347" s="1322" t="s">
        <v>543</v>
      </c>
      <c r="B347" s="1317"/>
      <c r="C347" s="1317"/>
      <c r="D347" s="1317"/>
      <c r="E347" s="1317"/>
      <c r="F347" s="1317"/>
      <c r="G347" s="1317"/>
      <c r="H347" s="1317"/>
    </row>
    <row r="348" spans="1:8">
      <c r="A348" s="1322" t="s">
        <v>544</v>
      </c>
      <c r="B348" s="1317"/>
      <c r="C348" s="1317"/>
      <c r="D348" s="1317"/>
      <c r="E348" s="1317"/>
      <c r="F348" s="1317"/>
      <c r="G348" s="1317"/>
      <c r="H348" s="1317"/>
    </row>
    <row r="349" spans="1:8">
      <c r="A349" s="1322" t="s">
        <v>545</v>
      </c>
      <c r="B349" s="1317"/>
      <c r="C349" s="1317"/>
      <c r="D349" s="1317"/>
      <c r="E349" s="1317"/>
      <c r="F349" s="1317"/>
      <c r="G349" s="1317"/>
      <c r="H349" s="1317"/>
    </row>
    <row r="350" spans="1:8">
      <c r="A350" s="1322" t="s">
        <v>546</v>
      </c>
      <c r="B350" s="1317"/>
      <c r="C350" s="1317"/>
      <c r="D350" s="1317"/>
      <c r="E350" s="1317"/>
      <c r="F350" s="1317"/>
      <c r="G350" s="1317"/>
      <c r="H350" s="1317"/>
    </row>
    <row r="351" spans="1:8">
      <c r="A351" s="1322" t="s">
        <v>547</v>
      </c>
      <c r="B351" s="1317"/>
      <c r="C351" s="1317"/>
      <c r="D351" s="1317"/>
      <c r="E351" s="1317"/>
      <c r="F351" s="1317"/>
      <c r="G351" s="1317"/>
      <c r="H351" s="1317"/>
    </row>
    <row r="352" spans="1:8">
      <c r="A352" s="1322" t="s">
        <v>548</v>
      </c>
      <c r="B352" s="1317"/>
      <c r="C352" s="1317"/>
      <c r="D352" s="1317"/>
      <c r="E352" s="1317"/>
      <c r="F352" s="1317"/>
      <c r="G352" s="1317"/>
      <c r="H352" s="1317"/>
    </row>
    <row r="353" spans="1:8">
      <c r="A353" s="1322" t="s">
        <v>549</v>
      </c>
      <c r="B353" s="1317"/>
      <c r="C353" s="1317"/>
      <c r="D353" s="1317"/>
      <c r="E353" s="1317"/>
      <c r="F353" s="1317"/>
      <c r="G353" s="1317"/>
      <c r="H353" s="1317"/>
    </row>
    <row r="354" spans="1:8">
      <c r="A354" s="1322" t="s">
        <v>550</v>
      </c>
      <c r="B354" s="1317"/>
      <c r="C354" s="1317"/>
      <c r="D354" s="1317"/>
      <c r="E354" s="1317"/>
      <c r="F354" s="1317"/>
      <c r="G354" s="1317"/>
      <c r="H354" s="1317"/>
    </row>
    <row r="355" spans="1:8">
      <c r="A355" s="1322" t="s">
        <v>551</v>
      </c>
      <c r="B355" s="1317"/>
      <c r="C355" s="1317"/>
      <c r="D355" s="1317"/>
      <c r="E355" s="1317"/>
      <c r="F355" s="1317"/>
      <c r="G355" s="1317"/>
      <c r="H355" s="1317"/>
    </row>
    <row r="356" spans="1:8">
      <c r="A356" s="1322" t="s">
        <v>552</v>
      </c>
      <c r="B356" s="1317"/>
      <c r="C356" s="1317"/>
      <c r="D356" s="1317"/>
      <c r="E356" s="1317"/>
      <c r="F356" s="1317"/>
      <c r="G356" s="1317"/>
      <c r="H356" s="1317"/>
    </row>
    <row r="357" spans="1:8">
      <c r="A357" s="1322" t="s">
        <v>553</v>
      </c>
      <c r="B357" s="1317"/>
      <c r="C357" s="1317"/>
      <c r="D357" s="1317"/>
      <c r="E357" s="1317"/>
      <c r="F357" s="1317"/>
      <c r="G357" s="1317"/>
      <c r="H357" s="1317"/>
    </row>
    <row r="358" spans="1:8">
      <c r="A358" s="1322" t="s">
        <v>554</v>
      </c>
      <c r="B358" s="1317"/>
      <c r="C358" s="1317"/>
      <c r="D358" s="1317"/>
      <c r="E358" s="1317"/>
      <c r="F358" s="1317"/>
      <c r="G358" s="1317"/>
      <c r="H358" s="1317"/>
    </row>
    <row r="359" spans="1:8">
      <c r="A359" s="1322" t="s">
        <v>555</v>
      </c>
      <c r="B359" s="1317"/>
      <c r="C359" s="1317"/>
      <c r="D359" s="1317"/>
      <c r="E359" s="1317"/>
      <c r="F359" s="1317"/>
      <c r="G359" s="1317"/>
      <c r="H359" s="1317"/>
    </row>
    <row r="360" spans="1:8">
      <c r="A360" s="1322" t="s">
        <v>556</v>
      </c>
      <c r="B360" s="1317"/>
      <c r="C360" s="1317"/>
      <c r="D360" s="1317"/>
      <c r="E360" s="1317"/>
      <c r="F360" s="1317"/>
      <c r="G360" s="1317"/>
      <c r="H360" s="1317"/>
    </row>
    <row r="361" spans="1:8">
      <c r="A361" s="1322" t="s">
        <v>557</v>
      </c>
      <c r="B361" s="1317"/>
      <c r="C361" s="1317"/>
      <c r="D361" s="1317"/>
      <c r="E361" s="1317"/>
      <c r="F361" s="1317"/>
      <c r="G361" s="1317"/>
      <c r="H361" s="1317"/>
    </row>
    <row r="362" spans="1:8">
      <c r="A362" s="1322" t="s">
        <v>558</v>
      </c>
      <c r="B362" s="1317"/>
      <c r="C362" s="1317"/>
      <c r="D362" s="1317"/>
      <c r="E362" s="1317"/>
      <c r="F362" s="1317"/>
      <c r="G362" s="1317"/>
      <c r="H362" s="1317"/>
    </row>
    <row r="363" spans="1:8">
      <c r="A363" s="1322" t="s">
        <v>559</v>
      </c>
      <c r="B363" s="1317"/>
      <c r="C363" s="1317"/>
      <c r="D363" s="1317"/>
      <c r="E363" s="1317"/>
      <c r="F363" s="1317"/>
      <c r="G363" s="1317"/>
      <c r="H363" s="1317"/>
    </row>
    <row r="364" spans="1:8">
      <c r="A364" s="1322" t="s">
        <v>560</v>
      </c>
      <c r="B364" s="1317"/>
      <c r="C364" s="1317"/>
      <c r="D364" s="1317"/>
      <c r="E364" s="1317"/>
      <c r="F364" s="1317"/>
      <c r="G364" s="1317"/>
      <c r="H364" s="1317"/>
    </row>
    <row r="365" spans="1:8">
      <c r="A365" s="1322" t="s">
        <v>561</v>
      </c>
      <c r="B365" s="1317"/>
      <c r="C365" s="1317"/>
      <c r="D365" s="1317"/>
      <c r="E365" s="1317"/>
      <c r="F365" s="1317"/>
      <c r="G365" s="1317"/>
      <c r="H365" s="1317"/>
    </row>
    <row r="366" spans="1:8">
      <c r="A366" s="1317"/>
      <c r="B366" s="1317"/>
      <c r="C366" s="1317"/>
      <c r="D366" s="1317"/>
      <c r="E366" s="1317"/>
      <c r="F366" s="1317"/>
      <c r="G366" s="1317"/>
      <c r="H366" s="1317"/>
    </row>
    <row r="367" spans="1:8">
      <c r="A367" s="1322" t="s">
        <v>519</v>
      </c>
      <c r="B367" s="1317"/>
      <c r="C367" s="1317"/>
      <c r="D367" s="1317"/>
      <c r="E367" s="1317"/>
      <c r="F367" s="1317"/>
      <c r="G367" s="1317"/>
      <c r="H367" s="1317"/>
    </row>
    <row r="368" spans="1:8">
      <c r="A368" s="1322" t="s">
        <v>523</v>
      </c>
      <c r="B368" s="1317"/>
      <c r="C368" s="1317"/>
      <c r="D368" s="1317"/>
      <c r="E368" s="1317"/>
      <c r="F368" s="1317"/>
      <c r="G368" s="1317"/>
      <c r="H368" s="1317"/>
    </row>
    <row r="369" spans="1:8">
      <c r="A369" s="1322" t="s">
        <v>524</v>
      </c>
      <c r="B369" s="1317"/>
      <c r="C369" s="1317"/>
      <c r="D369" s="1317"/>
      <c r="E369" s="1317"/>
      <c r="F369" s="1317"/>
      <c r="G369" s="1317"/>
      <c r="H369" s="1317"/>
    </row>
    <row r="370" spans="1:8">
      <c r="A370" s="1322" t="s">
        <v>525</v>
      </c>
      <c r="B370" s="1317"/>
      <c r="C370" s="1317"/>
      <c r="D370" s="1317"/>
      <c r="E370" s="1317"/>
      <c r="F370" s="1317"/>
      <c r="G370" s="1317"/>
      <c r="H370" s="1317"/>
    </row>
    <row r="371" spans="1:8">
      <c r="A371" s="1322" t="s">
        <v>526</v>
      </c>
      <c r="B371" s="1317"/>
      <c r="C371" s="1317"/>
      <c r="D371" s="1317"/>
      <c r="E371" s="1317"/>
      <c r="F371" s="1317"/>
      <c r="G371" s="1317"/>
      <c r="H371" s="1317"/>
    </row>
    <row r="372" spans="1:8">
      <c r="A372" s="1317"/>
      <c r="B372" s="1317"/>
      <c r="C372" s="1317"/>
      <c r="D372" s="1317"/>
      <c r="E372" s="1317"/>
      <c r="F372" s="1317"/>
      <c r="G372" s="1317"/>
      <c r="H372" s="1317"/>
    </row>
    <row r="373" spans="1:8">
      <c r="A373" s="1322" t="s">
        <v>519</v>
      </c>
      <c r="B373" s="1317"/>
      <c r="C373" s="1317"/>
      <c r="D373" s="1317"/>
      <c r="E373" s="1317"/>
      <c r="F373" s="1317"/>
      <c r="G373" s="1317"/>
      <c r="H373" s="1317"/>
    </row>
    <row r="374" spans="1:8">
      <c r="A374" s="1322" t="s">
        <v>520</v>
      </c>
      <c r="B374" s="1317"/>
      <c r="C374" s="1317"/>
      <c r="D374" s="1317"/>
      <c r="E374" s="1317"/>
      <c r="F374" s="1317"/>
      <c r="G374" s="1317"/>
      <c r="H374" s="1317"/>
    </row>
    <row r="375" spans="1:8">
      <c r="A375" s="1322" t="s">
        <v>521</v>
      </c>
      <c r="B375" s="1317"/>
      <c r="C375" s="1317"/>
      <c r="D375" s="1317"/>
      <c r="E375" s="1317"/>
      <c r="F375" s="1317"/>
      <c r="G375" s="1317"/>
      <c r="H375" s="1317"/>
    </row>
    <row r="376" spans="1:8">
      <c r="A376" s="1322" t="s">
        <v>522</v>
      </c>
      <c r="B376" s="1317"/>
      <c r="C376" s="1317"/>
      <c r="D376" s="1317"/>
      <c r="E376" s="1317"/>
      <c r="F376" s="1317"/>
      <c r="G376" s="1317"/>
      <c r="H376" s="1317"/>
    </row>
    <row r="377" spans="1:8">
      <c r="A377" s="1317"/>
      <c r="B377" s="1317"/>
      <c r="C377" s="1317"/>
      <c r="D377" s="1317"/>
      <c r="E377" s="1317"/>
      <c r="F377" s="1317"/>
      <c r="G377" s="1317"/>
      <c r="H377" s="1317"/>
    </row>
    <row r="378" spans="1:8">
      <c r="A378" s="1322" t="s">
        <v>513</v>
      </c>
      <c r="B378" s="1317"/>
      <c r="C378" s="1317"/>
      <c r="D378" s="1317"/>
      <c r="E378" s="1317"/>
      <c r="F378" s="1317"/>
      <c r="G378" s="1317"/>
      <c r="H378" s="1317"/>
    </row>
    <row r="379" spans="1:8">
      <c r="A379" s="1322" t="s">
        <v>514</v>
      </c>
      <c r="B379" s="1317"/>
      <c r="C379" s="1317"/>
      <c r="D379" s="1317"/>
      <c r="E379" s="1317"/>
      <c r="F379" s="1317"/>
      <c r="G379" s="1317"/>
      <c r="H379" s="1317"/>
    </row>
    <row r="380" spans="1:8">
      <c r="A380" s="1322" t="s">
        <v>515</v>
      </c>
      <c r="B380" s="1317"/>
      <c r="C380" s="1317"/>
      <c r="D380" s="1317"/>
      <c r="E380" s="1317"/>
      <c r="F380" s="1317"/>
      <c r="G380" s="1317"/>
      <c r="H380" s="1317"/>
    </row>
    <row r="381" spans="1:8">
      <c r="A381" s="1322" t="s">
        <v>516</v>
      </c>
      <c r="B381" s="1317"/>
      <c r="C381" s="1317"/>
      <c r="D381" s="1317"/>
      <c r="E381" s="1317"/>
      <c r="F381" s="1317"/>
      <c r="G381" s="1317"/>
      <c r="H381" s="1317"/>
    </row>
    <row r="382" spans="1:8">
      <c r="A382" s="1322" t="s">
        <v>517</v>
      </c>
      <c r="B382" s="1317"/>
      <c r="C382" s="1317"/>
      <c r="D382" s="1317"/>
      <c r="E382" s="1317"/>
      <c r="F382" s="1317"/>
      <c r="G382" s="1317"/>
      <c r="H382" s="1317"/>
    </row>
    <row r="383" spans="1:8">
      <c r="A383" s="1322" t="s">
        <v>518</v>
      </c>
      <c r="B383" s="1317"/>
      <c r="C383" s="1317"/>
      <c r="D383" s="1317"/>
      <c r="E383" s="1317"/>
      <c r="F383" s="1317"/>
      <c r="G383" s="1317"/>
      <c r="H383" s="1317"/>
    </row>
    <row r="384" spans="1:8">
      <c r="A384" s="1317"/>
      <c r="B384" s="1317"/>
      <c r="C384" s="1317"/>
      <c r="D384" s="1317"/>
      <c r="E384" s="1317"/>
      <c r="F384" s="1317"/>
      <c r="G384" s="1317"/>
      <c r="H384" s="1317"/>
    </row>
    <row r="385" spans="1:8">
      <c r="A385" s="1322" t="s">
        <v>508</v>
      </c>
      <c r="B385" s="1317"/>
      <c r="C385" s="1317"/>
      <c r="D385" s="1317"/>
      <c r="E385" s="1317"/>
      <c r="F385" s="1317"/>
      <c r="G385" s="1317"/>
      <c r="H385" s="1317"/>
    </row>
    <row r="386" spans="1:8">
      <c r="A386" s="1322" t="s">
        <v>509</v>
      </c>
      <c r="B386" s="1317"/>
      <c r="C386" s="1317"/>
      <c r="D386" s="1317"/>
      <c r="E386" s="1317"/>
      <c r="F386" s="1317"/>
      <c r="G386" s="1317"/>
      <c r="H386" s="1317"/>
    </row>
    <row r="387" spans="1:8">
      <c r="A387" s="1322" t="s">
        <v>510</v>
      </c>
      <c r="B387" s="1317"/>
      <c r="C387" s="1317"/>
      <c r="D387" s="1317"/>
      <c r="E387" s="1317"/>
      <c r="F387" s="1317"/>
      <c r="G387" s="1317"/>
      <c r="H387" s="1317"/>
    </row>
    <row r="388" spans="1:8">
      <c r="A388" s="1322" t="s">
        <v>511</v>
      </c>
      <c r="B388" s="1317"/>
      <c r="C388" s="1317"/>
      <c r="D388" s="1317"/>
      <c r="E388" s="1317"/>
      <c r="F388" s="1317"/>
      <c r="G388" s="1317"/>
      <c r="H388" s="1317"/>
    </row>
    <row r="389" spans="1:8">
      <c r="A389" s="1322" t="s">
        <v>512</v>
      </c>
      <c r="B389" s="1317"/>
      <c r="C389" s="1317"/>
      <c r="D389" s="1317"/>
      <c r="E389" s="1317"/>
      <c r="F389" s="1317"/>
      <c r="G389" s="1317"/>
      <c r="H389" s="1317"/>
    </row>
    <row r="390" spans="1:8">
      <c r="A390" s="1317"/>
      <c r="B390" s="1317"/>
      <c r="C390" s="1317"/>
      <c r="D390" s="1317"/>
      <c r="E390" s="1317"/>
      <c r="F390" s="1317"/>
      <c r="G390" s="1317"/>
      <c r="H390" s="1317"/>
    </row>
    <row r="391" spans="1:8">
      <c r="A391" s="1322" t="s">
        <v>506</v>
      </c>
      <c r="B391" s="1317"/>
      <c r="C391" s="1317"/>
      <c r="D391" s="1317"/>
      <c r="E391" s="1317"/>
      <c r="F391" s="1317"/>
      <c r="G391" s="1317"/>
      <c r="H391" s="1317"/>
    </row>
    <row r="392" spans="1:8">
      <c r="A392" s="1322" t="s">
        <v>507</v>
      </c>
      <c r="B392" s="1317"/>
      <c r="C392" s="1317"/>
      <c r="D392" s="1317"/>
      <c r="E392" s="1317"/>
      <c r="F392" s="1317"/>
      <c r="G392" s="1317"/>
      <c r="H392" s="1317"/>
    </row>
    <row r="394" spans="1:8">
      <c r="A394" s="1318" t="s">
        <v>764</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3"/>
    <pageSetUpPr fitToPage="1"/>
  </sheetPr>
  <dimension ref="A1:CL303"/>
  <sheetViews>
    <sheetView showGridLines="0" zoomScale="85" zoomScaleNormal="85" zoomScaleSheetLayoutView="75" workbookViewId="0">
      <pane xSplit="2" ySplit="3" topLeftCell="V4" activePane="bottomRight" state="frozen"/>
      <selection activeCell="J26" sqref="J26"/>
      <selection pane="topRight" activeCell="J26" sqref="J26"/>
      <selection pane="bottomLeft" activeCell="J26" sqref="J26"/>
      <selection pane="bottomRight" activeCell="B1" sqref="B1"/>
    </sheetView>
  </sheetViews>
  <sheetFormatPr defaultColWidth="12.5703125" defaultRowHeight="13.5" customHeight="1" outlineLevelRow="1" outlineLevelCol="1"/>
  <cols>
    <col min="1" max="1" width="3.42578125" hidden="1" customWidth="1"/>
    <col min="2" max="2" width="45.140625" customWidth="1"/>
    <col min="3" max="6" width="10.42578125" hidden="1" customWidth="1" outlineLevel="1"/>
    <col min="7" max="7" width="11" hidden="1" customWidth="1" collapsed="1"/>
    <col min="8" max="11" width="10.42578125" hidden="1" customWidth="1" outlineLevel="1"/>
    <col min="12" max="12" width="11" hidden="1" customWidth="1" collapsed="1"/>
    <col min="13" max="16" width="10.42578125" hidden="1" customWidth="1" outlineLevel="1"/>
    <col min="17" max="17" width="11" hidden="1" customWidth="1" collapsed="1"/>
    <col min="18" max="21" width="10.42578125" hidden="1" customWidth="1" outlineLevel="1"/>
    <col min="22" max="22" width="11" customWidth="1" collapsed="1"/>
    <col min="23" max="26" width="10.42578125" hidden="1" customWidth="1" outlineLevel="1"/>
    <col min="27" max="27" width="11" customWidth="1" collapsed="1"/>
    <col min="28" max="31" width="10.42578125" hidden="1" customWidth="1" outlineLevel="1"/>
    <col min="32" max="32" width="11" customWidth="1" collapsed="1"/>
    <col min="33" max="36" width="10.42578125" hidden="1" customWidth="1" outlineLevel="1"/>
    <col min="37" max="37" width="11" customWidth="1" collapsed="1"/>
    <col min="38" max="41" width="11" hidden="1" customWidth="1" outlineLevel="1"/>
    <col min="42" max="42" width="11" customWidth="1" collapsed="1"/>
    <col min="43" max="46" width="11" hidden="1" customWidth="1" outlineLevel="1"/>
    <col min="47" max="47" width="11" customWidth="1" collapsed="1"/>
    <col min="48" max="51" width="11" customWidth="1" outlineLevel="1"/>
    <col min="52" max="52" width="11" customWidth="1"/>
    <col min="53" max="56" width="11" hidden="1" customWidth="1" outlineLevel="1"/>
    <col min="57" max="57" width="11" customWidth="1" collapsed="1"/>
    <col min="58" max="61" width="11" hidden="1" customWidth="1" outlineLevel="1"/>
    <col min="62" max="62" width="11" customWidth="1" collapsed="1"/>
    <col min="63" max="68" width="11" customWidth="1"/>
    <col min="69" max="69" width="12.140625" customWidth="1" collapsed="1"/>
    <col min="70" max="71" width="12.140625" customWidth="1"/>
    <col min="72" max="72" width="28.7109375" hidden="1" customWidth="1" outlineLevel="1"/>
    <col min="73" max="74" width="12.140625" hidden="1" customWidth="1" outlineLevel="1"/>
    <col min="75" max="77" width="12.5703125" hidden="1" customWidth="1" outlineLevel="1"/>
    <col min="78" max="78" width="12.5703125" customWidth="1" collapsed="1"/>
    <col min="79" max="80" width="12.5703125" customWidth="1"/>
  </cols>
  <sheetData>
    <row r="1" spans="1:80" ht="15" customHeight="1">
      <c r="A1" s="100"/>
      <c r="B1" s="101" t="s">
        <v>4</v>
      </c>
      <c r="C1" s="100"/>
      <c r="D1" s="100"/>
      <c r="E1" s="100"/>
      <c r="F1" s="100"/>
      <c r="G1" s="102"/>
      <c r="H1" s="103"/>
      <c r="I1" s="103"/>
      <c r="J1" s="103"/>
      <c r="K1" s="103"/>
      <c r="L1" s="102"/>
      <c r="M1" s="104"/>
      <c r="N1" s="105"/>
      <c r="O1" s="105"/>
      <c r="P1" s="105"/>
      <c r="Q1" s="102"/>
      <c r="R1" s="104"/>
      <c r="S1" s="102"/>
      <c r="T1" s="102"/>
      <c r="U1" s="102"/>
      <c r="V1" s="102"/>
      <c r="W1" s="104"/>
      <c r="X1" s="102"/>
      <c r="Y1" s="102"/>
      <c r="Z1" s="102"/>
      <c r="AA1" s="102"/>
      <c r="AB1" s="106"/>
      <c r="AC1" s="102"/>
      <c r="AD1" s="102"/>
      <c r="AE1" s="102"/>
      <c r="AF1" s="102"/>
      <c r="AG1" s="102"/>
      <c r="AH1" s="1189"/>
      <c r="AI1" s="107"/>
      <c r="AJ1" s="108"/>
      <c r="AK1" s="109"/>
      <c r="AL1" s="110" t="s">
        <v>43</v>
      </c>
      <c r="AM1" s="102"/>
      <c r="AN1" s="102"/>
      <c r="AO1" s="102"/>
      <c r="AP1" s="109"/>
      <c r="AQ1" s="109"/>
      <c r="AR1" s="102"/>
      <c r="AS1" s="102"/>
      <c r="AT1" s="102"/>
      <c r="AU1" s="1183"/>
      <c r="AV1" s="247"/>
      <c r="AW1" s="247"/>
      <c r="AX1" s="1198"/>
      <c r="AY1" s="1218"/>
      <c r="AZ1" s="1183"/>
      <c r="BA1" s="1210"/>
      <c r="BB1" s="1210"/>
      <c r="BC1" s="1210"/>
      <c r="BD1" s="102"/>
      <c r="BE1" s="102"/>
      <c r="BF1" s="1210"/>
      <c r="BG1" s="1210"/>
      <c r="BH1" s="1210"/>
      <c r="BI1" s="102"/>
      <c r="BJ1" s="102"/>
      <c r="BK1" s="102"/>
      <c r="BL1" s="102"/>
      <c r="BM1" s="102"/>
      <c r="BN1" s="102"/>
      <c r="BO1" s="102"/>
      <c r="BP1" s="102"/>
      <c r="BQ1" s="112"/>
      <c r="BR1" s="100"/>
      <c r="BS1" s="100"/>
      <c r="BZ1" s="100"/>
      <c r="CA1" s="100"/>
      <c r="CB1" s="100"/>
    </row>
    <row r="2" spans="1:80" ht="13.5" customHeight="1">
      <c r="A2" s="113"/>
      <c r="B2" s="114"/>
      <c r="C2" s="115"/>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6"/>
      <c r="AE2" s="115"/>
      <c r="AF2" s="115"/>
      <c r="AG2" s="115"/>
      <c r="AH2" s="115"/>
      <c r="AI2" s="116"/>
      <c r="AJ2" s="117"/>
      <c r="AK2" s="115"/>
      <c r="AL2" s="115"/>
      <c r="AM2" s="115"/>
      <c r="AN2" s="115">
        <f>1.769</f>
        <v>1.7689999999999999</v>
      </c>
      <c r="AO2" s="115">
        <v>9.6</v>
      </c>
      <c r="AP2" s="115"/>
      <c r="AQ2" s="115"/>
      <c r="AR2" s="1237"/>
      <c r="AS2" s="115"/>
      <c r="AT2" s="115"/>
      <c r="AU2" s="1188"/>
      <c r="AV2" s="247"/>
      <c r="AW2" s="1247"/>
      <c r="AX2" s="109"/>
      <c r="AY2" s="109"/>
      <c r="AZ2" s="108"/>
      <c r="BA2" s="108"/>
      <c r="BB2" s="1188"/>
      <c r="BC2" s="108"/>
      <c r="BD2" s="108"/>
      <c r="BE2" s="108"/>
      <c r="BF2" s="108"/>
      <c r="BG2" s="1188"/>
      <c r="BH2" s="108"/>
      <c r="BI2" s="108"/>
      <c r="BJ2" s="108"/>
      <c r="BK2" s="108"/>
      <c r="BL2" s="108"/>
      <c r="BM2" s="108"/>
      <c r="BN2" s="108"/>
      <c r="BO2" s="108"/>
      <c r="BP2" s="118"/>
      <c r="BQ2" s="119"/>
      <c r="BR2" s="120"/>
      <c r="BS2" s="120"/>
      <c r="BZ2" s="113"/>
      <c r="CA2" s="120"/>
      <c r="CB2" s="120"/>
    </row>
    <row r="3" spans="1:80" ht="13.5" customHeight="1">
      <c r="A3" s="113"/>
      <c r="B3" s="114"/>
      <c r="C3" s="121" t="s">
        <v>44</v>
      </c>
      <c r="D3" s="121" t="s">
        <v>45</v>
      </c>
      <c r="E3" s="121" t="s">
        <v>46</v>
      </c>
      <c r="F3" s="121" t="s">
        <v>47</v>
      </c>
      <c r="G3" s="21" t="s">
        <v>48</v>
      </c>
      <c r="H3" s="121" t="s">
        <v>49</v>
      </c>
      <c r="I3" s="121" t="s">
        <v>50</v>
      </c>
      <c r="J3" s="121" t="s">
        <v>51</v>
      </c>
      <c r="K3" s="121" t="s">
        <v>52</v>
      </c>
      <c r="L3" s="21" t="s">
        <v>53</v>
      </c>
      <c r="M3" s="121" t="s">
        <v>54</v>
      </c>
      <c r="N3" s="121" t="s">
        <v>55</v>
      </c>
      <c r="O3" s="121" t="s">
        <v>56</v>
      </c>
      <c r="P3" s="121" t="s">
        <v>57</v>
      </c>
      <c r="Q3" s="21" t="s">
        <v>58</v>
      </c>
      <c r="R3" s="121" t="s">
        <v>59</v>
      </c>
      <c r="S3" s="121" t="s">
        <v>60</v>
      </c>
      <c r="T3" s="121" t="s">
        <v>61</v>
      </c>
      <c r="U3" s="121" t="s">
        <v>62</v>
      </c>
      <c r="V3" s="21" t="s">
        <v>63</v>
      </c>
      <c r="W3" s="121" t="s">
        <v>64</v>
      </c>
      <c r="X3" s="121" t="s">
        <v>65</v>
      </c>
      <c r="Y3" s="121" t="s">
        <v>66</v>
      </c>
      <c r="Z3" s="121" t="s">
        <v>67</v>
      </c>
      <c r="AA3" s="21" t="s">
        <v>68</v>
      </c>
      <c r="AB3" s="121" t="s">
        <v>69</v>
      </c>
      <c r="AC3" s="121" t="s">
        <v>70</v>
      </c>
      <c r="AD3" s="121" t="s">
        <v>71</v>
      </c>
      <c r="AE3" s="121" t="s">
        <v>72</v>
      </c>
      <c r="AF3" s="21" t="s">
        <v>8</v>
      </c>
      <c r="AG3" s="121" t="s">
        <v>73</v>
      </c>
      <c r="AH3" s="121" t="s">
        <v>74</v>
      </c>
      <c r="AI3" s="121" t="s">
        <v>75</v>
      </c>
      <c r="AJ3" s="121" t="s">
        <v>76</v>
      </c>
      <c r="AK3" s="21" t="s">
        <v>9</v>
      </c>
      <c r="AL3" s="121" t="s">
        <v>77</v>
      </c>
      <c r="AM3" s="121" t="s">
        <v>78</v>
      </c>
      <c r="AN3" s="121" t="s">
        <v>402</v>
      </c>
      <c r="AO3" s="121" t="s">
        <v>403</v>
      </c>
      <c r="AP3" s="21" t="s">
        <v>404</v>
      </c>
      <c r="AQ3" s="121" t="s">
        <v>416</v>
      </c>
      <c r="AR3" s="121" t="s">
        <v>417</v>
      </c>
      <c r="AS3" s="121" t="s">
        <v>420</v>
      </c>
      <c r="AT3" s="121" t="s">
        <v>462</v>
      </c>
      <c r="AU3" s="21" t="s">
        <v>463</v>
      </c>
      <c r="AV3" s="121" t="s">
        <v>79</v>
      </c>
      <c r="AW3" s="121" t="s">
        <v>80</v>
      </c>
      <c r="AX3" s="121" t="s">
        <v>81</v>
      </c>
      <c r="AY3" s="121" t="s">
        <v>82</v>
      </c>
      <c r="AZ3" s="21" t="s">
        <v>83</v>
      </c>
      <c r="BA3" s="121" t="s">
        <v>405</v>
      </c>
      <c r="BB3" s="121" t="s">
        <v>406</v>
      </c>
      <c r="BC3" s="121" t="s">
        <v>407</v>
      </c>
      <c r="BD3" s="121" t="s">
        <v>408</v>
      </c>
      <c r="BE3" s="21" t="s">
        <v>409</v>
      </c>
      <c r="BF3" s="121" t="s">
        <v>421</v>
      </c>
      <c r="BG3" s="121" t="s">
        <v>422</v>
      </c>
      <c r="BH3" s="121" t="s">
        <v>423</v>
      </c>
      <c r="BI3" s="121" t="s">
        <v>424</v>
      </c>
      <c r="BJ3" s="21" t="s">
        <v>425</v>
      </c>
      <c r="BK3" s="727"/>
      <c r="BL3" s="21" t="s">
        <v>426</v>
      </c>
      <c r="BM3" s="108"/>
      <c r="BN3" s="108"/>
      <c r="BO3" s="108"/>
      <c r="BP3" s="118"/>
      <c r="BQ3" s="119"/>
      <c r="BR3" s="120"/>
      <c r="BS3" s="120"/>
      <c r="BZ3" s="113"/>
      <c r="CA3" s="120"/>
      <c r="CB3" s="120"/>
    </row>
    <row r="4" spans="1:80" ht="15.75" customHeight="1">
      <c r="A4" s="108"/>
      <c r="B4" s="122" t="s">
        <v>84</v>
      </c>
      <c r="C4" s="108"/>
      <c r="D4" s="108"/>
      <c r="E4" s="108"/>
      <c r="F4" s="108"/>
      <c r="G4" s="123"/>
      <c r="H4" s="108"/>
      <c r="I4" s="108"/>
      <c r="J4" s="108"/>
      <c r="K4" s="108"/>
      <c r="L4" s="123"/>
      <c r="M4" s="124" t="s">
        <v>85</v>
      </c>
      <c r="N4" s="108"/>
      <c r="O4" s="108"/>
      <c r="P4" s="108"/>
      <c r="Q4" s="123"/>
      <c r="R4" s="124" t="s">
        <v>85</v>
      </c>
      <c r="S4" s="108"/>
      <c r="T4" s="108"/>
      <c r="U4" s="108"/>
      <c r="V4" s="123"/>
      <c r="W4" s="124" t="s">
        <v>85</v>
      </c>
      <c r="X4" s="108"/>
      <c r="Y4" s="108"/>
      <c r="Z4" s="108"/>
      <c r="AA4" s="123"/>
      <c r="AB4" s="108"/>
      <c r="AC4" s="108"/>
      <c r="AD4" s="108"/>
      <c r="AE4" s="108"/>
      <c r="AF4" s="123"/>
      <c r="AG4" s="108"/>
      <c r="AH4" s="108"/>
      <c r="AI4" s="108"/>
      <c r="AJ4" s="108"/>
      <c r="AK4" s="123"/>
      <c r="AL4" s="1207">
        <f>+AL20-AL16</f>
        <v>1.7202768342476471E-2</v>
      </c>
      <c r="AM4" s="1207">
        <f>+AM20-AM16</f>
        <v>4.4155159240067077E-2</v>
      </c>
      <c r="AN4" s="1207">
        <f>+AN20-AN16</f>
        <v>1.6882326743682396E-2</v>
      </c>
      <c r="AO4" s="1207">
        <f>+AO20-AO16</f>
        <v>1.2365756745174261E-2</v>
      </c>
      <c r="AP4" s="123"/>
      <c r="AQ4" s="1207"/>
      <c r="AR4" s="1207"/>
      <c r="AS4" s="1207"/>
      <c r="AT4" s="1207"/>
      <c r="AU4" s="123"/>
      <c r="AV4" s="108"/>
      <c r="AW4" s="108"/>
      <c r="AX4" s="108"/>
      <c r="AY4" s="108"/>
      <c r="AZ4" s="123"/>
      <c r="BA4" s="108"/>
      <c r="BB4" s="108"/>
      <c r="BC4" s="108"/>
      <c r="BD4" s="108"/>
      <c r="BE4" s="123"/>
      <c r="BF4" s="108"/>
      <c r="BG4" s="108"/>
      <c r="BH4" s="108"/>
      <c r="BI4" s="108"/>
      <c r="BJ4" s="123"/>
      <c r="BK4" s="108"/>
      <c r="BL4" s="123"/>
      <c r="BM4" s="108"/>
      <c r="BN4" s="109"/>
      <c r="BO4" s="108"/>
      <c r="BP4" s="118"/>
      <c r="BQ4" s="125"/>
      <c r="BR4" s="126"/>
      <c r="BS4" s="126"/>
      <c r="BZ4" s="108"/>
      <c r="CA4" s="126"/>
      <c r="CB4" s="126"/>
    </row>
    <row r="5" spans="1:80" ht="16.5" customHeight="1">
      <c r="A5" s="108"/>
      <c r="B5" s="127" t="s">
        <v>86</v>
      </c>
      <c r="C5" s="108"/>
      <c r="D5" s="108"/>
      <c r="E5" s="108"/>
      <c r="F5" s="108"/>
      <c r="G5" s="123"/>
      <c r="H5" s="108"/>
      <c r="I5" s="108"/>
      <c r="J5" s="108"/>
      <c r="K5" s="108"/>
      <c r="L5" s="123"/>
      <c r="M5" s="108"/>
      <c r="N5" s="108"/>
      <c r="O5" s="108"/>
      <c r="P5" s="108"/>
      <c r="Q5" s="123"/>
      <c r="R5" s="108"/>
      <c r="S5" s="108"/>
      <c r="T5" s="108"/>
      <c r="U5" s="108"/>
      <c r="V5" s="123"/>
      <c r="W5" s="108"/>
      <c r="X5" s="108"/>
      <c r="Y5" s="108"/>
      <c r="Z5" s="108"/>
      <c r="AA5" s="123"/>
      <c r="AB5" s="108"/>
      <c r="AC5" s="108"/>
      <c r="AD5" s="108"/>
      <c r="AE5" s="108"/>
      <c r="AF5" s="123"/>
      <c r="AG5" s="108"/>
      <c r="AH5" s="108"/>
      <c r="AI5" s="108"/>
      <c r="AJ5" s="108"/>
      <c r="AK5" s="123"/>
      <c r="AL5" s="108"/>
      <c r="AM5" s="108"/>
      <c r="AN5" s="108"/>
      <c r="AO5" s="108"/>
      <c r="AP5" s="123"/>
      <c r="AQ5" s="108"/>
      <c r="AR5" s="108"/>
      <c r="AS5" s="108"/>
      <c r="AT5" s="108"/>
      <c r="AU5" s="123"/>
      <c r="AV5" s="108"/>
      <c r="AW5" s="108"/>
      <c r="AX5" s="108"/>
      <c r="AY5" s="108"/>
      <c r="AZ5" s="123"/>
      <c r="BA5" s="108"/>
      <c r="BB5" s="108"/>
      <c r="BC5" s="108"/>
      <c r="BD5" s="108"/>
      <c r="BE5" s="123"/>
      <c r="BF5" s="108"/>
      <c r="BG5" s="108"/>
      <c r="BH5" s="108"/>
      <c r="BI5" s="108"/>
      <c r="BJ5" s="123"/>
      <c r="BK5" s="108"/>
      <c r="BL5" s="123"/>
      <c r="BM5" s="108"/>
      <c r="BN5" s="727"/>
      <c r="BO5" s="108"/>
      <c r="BP5" s="118"/>
      <c r="BQ5" s="125"/>
      <c r="BR5" s="126"/>
      <c r="BS5" s="126"/>
      <c r="BZ5" s="109"/>
      <c r="CA5" s="1296"/>
      <c r="CB5" s="126"/>
    </row>
    <row r="6" spans="1:80" ht="12.75" hidden="1" outlineLevel="1">
      <c r="A6" s="128"/>
      <c r="B6" s="129" t="s">
        <v>13</v>
      </c>
      <c r="C6" s="130"/>
      <c r="D6" s="130"/>
      <c r="E6" s="131"/>
      <c r="F6" s="130"/>
      <c r="G6" s="132"/>
      <c r="H6" s="130"/>
      <c r="I6" s="130"/>
      <c r="J6" s="131"/>
      <c r="K6" s="130"/>
      <c r="L6" s="132"/>
      <c r="M6" s="130"/>
      <c r="N6" s="130"/>
      <c r="O6" s="131"/>
      <c r="P6" s="130"/>
      <c r="Q6" s="132"/>
      <c r="R6" s="133"/>
      <c r="S6" s="133"/>
      <c r="T6" s="134"/>
      <c r="U6" s="133"/>
      <c r="V6" s="135"/>
      <c r="W6" s="133"/>
      <c r="X6" s="133"/>
      <c r="Y6" s="134"/>
      <c r="Z6" s="133"/>
      <c r="AA6" s="135"/>
      <c r="AB6" s="130"/>
      <c r="AC6" s="130"/>
      <c r="AD6" s="131"/>
      <c r="AE6" s="130"/>
      <c r="AF6" s="132"/>
      <c r="AG6" s="130"/>
      <c r="AH6" s="130"/>
      <c r="AI6" s="131"/>
      <c r="AJ6" s="130"/>
      <c r="AK6" s="132"/>
      <c r="AL6" s="130"/>
      <c r="AM6" s="130"/>
      <c r="AN6" s="131"/>
      <c r="AO6" s="130"/>
      <c r="AP6" s="132"/>
      <c r="AQ6" s="130"/>
      <c r="AR6" s="130"/>
      <c r="AS6" s="131"/>
      <c r="AT6" s="130"/>
      <c r="AU6" s="132"/>
      <c r="AV6" s="130"/>
      <c r="AW6" s="130"/>
      <c r="AX6" s="131"/>
      <c r="AY6" s="130"/>
      <c r="AZ6" s="132"/>
      <c r="BA6" s="130"/>
      <c r="BB6" s="130"/>
      <c r="BC6" s="131"/>
      <c r="BD6" s="130"/>
      <c r="BE6" s="132"/>
      <c r="BF6" s="130"/>
      <c r="BG6" s="130"/>
      <c r="BH6" s="131"/>
      <c r="BI6" s="130"/>
      <c r="BJ6" s="132"/>
      <c r="BK6" s="136"/>
      <c r="BL6" s="132"/>
      <c r="BM6" s="136"/>
      <c r="BN6" s="136"/>
      <c r="BO6" s="136"/>
      <c r="BP6" s="136"/>
      <c r="BQ6" s="137"/>
      <c r="BR6" s="138"/>
      <c r="BS6" s="138"/>
      <c r="BZ6" s="128"/>
      <c r="CA6" s="138"/>
      <c r="CB6" s="138"/>
    </row>
    <row r="7" spans="1:80" ht="15" hidden="1" outlineLevel="1">
      <c r="A7" s="128"/>
      <c r="B7" s="139"/>
      <c r="C7" s="140"/>
      <c r="D7" s="140"/>
      <c r="E7" s="140"/>
      <c r="F7" s="140"/>
      <c r="G7" s="141"/>
      <c r="H7" s="142"/>
      <c r="I7" s="140"/>
      <c r="J7" s="140"/>
      <c r="K7" s="140"/>
      <c r="L7" s="141"/>
      <c r="M7" s="140"/>
      <c r="N7" s="140"/>
      <c r="O7" s="140"/>
      <c r="P7" s="140"/>
      <c r="Q7" s="141"/>
      <c r="R7" s="140"/>
      <c r="S7" s="143"/>
      <c r="T7" s="140"/>
      <c r="U7" s="140"/>
      <c r="V7" s="141"/>
      <c r="W7" s="140"/>
      <c r="X7" s="140"/>
      <c r="Y7" s="140"/>
      <c r="Z7" s="140"/>
      <c r="AA7" s="141"/>
      <c r="AB7" s="140"/>
      <c r="AC7" s="140"/>
      <c r="AD7" s="140"/>
      <c r="AE7" s="140"/>
      <c r="AF7" s="141"/>
      <c r="AG7" s="140"/>
      <c r="AH7" s="140"/>
      <c r="AI7" s="140"/>
      <c r="AJ7" s="140"/>
      <c r="AK7" s="141"/>
      <c r="AL7" s="140"/>
      <c r="AM7" s="140"/>
      <c r="AN7" s="140"/>
      <c r="AO7" s="140"/>
      <c r="AP7" s="141"/>
      <c r="AQ7" s="140"/>
      <c r="AR7" s="140"/>
      <c r="AS7" s="140"/>
      <c r="AT7" s="140"/>
      <c r="AU7" s="141"/>
      <c r="AV7" s="140"/>
      <c r="AW7" s="140"/>
      <c r="AX7" s="140"/>
      <c r="AY7" s="140"/>
      <c r="AZ7" s="141"/>
      <c r="BA7" s="140"/>
      <c r="BB7" s="140"/>
      <c r="BC7" s="140"/>
      <c r="BD7" s="140"/>
      <c r="BE7" s="141"/>
      <c r="BF7" s="140"/>
      <c r="BG7" s="140"/>
      <c r="BH7" s="140"/>
      <c r="BI7" s="140"/>
      <c r="BJ7" s="141"/>
      <c r="BK7" s="136"/>
      <c r="BL7" s="141"/>
      <c r="BM7" s="136"/>
      <c r="BN7" s="136"/>
      <c r="BO7" s="136"/>
      <c r="BP7" s="136"/>
      <c r="BQ7" s="144"/>
      <c r="BR7" s="138"/>
      <c r="BS7" s="138"/>
      <c r="BZ7" s="128"/>
      <c r="CA7" s="128"/>
      <c r="CB7" s="128"/>
    </row>
    <row r="8" spans="1:80" ht="12.75" hidden="1" customHeight="1" outlineLevel="1">
      <c r="A8" s="145"/>
      <c r="B8" s="146" t="s">
        <v>87</v>
      </c>
      <c r="C8" s="147"/>
      <c r="D8" s="147"/>
      <c r="E8" s="147"/>
      <c r="F8" s="147"/>
      <c r="G8" s="148"/>
      <c r="H8" s="147"/>
      <c r="I8" s="147"/>
      <c r="J8" s="147"/>
      <c r="K8" s="147"/>
      <c r="L8" s="148"/>
      <c r="M8" s="147">
        <v>371.44600000000003</v>
      </c>
      <c r="N8" s="147">
        <v>402.56400000000002</v>
      </c>
      <c r="O8" s="147">
        <v>409.346</v>
      </c>
      <c r="P8" s="147">
        <v>439.04700000000003</v>
      </c>
      <c r="Q8" s="148">
        <f>+SUM(M8:P8)</f>
        <v>1622.403</v>
      </c>
      <c r="R8" s="147">
        <v>432.78899999999999</v>
      </c>
      <c r="S8" s="147">
        <v>469.62200000000001</v>
      </c>
      <c r="T8" s="147">
        <v>466.73599999999999</v>
      </c>
      <c r="U8" s="147">
        <v>494.09199999999998</v>
      </c>
      <c r="V8" s="148"/>
      <c r="W8" s="147">
        <v>497.96600000000001</v>
      </c>
      <c r="X8" s="149"/>
      <c r="Y8" s="149"/>
      <c r="Z8" s="149"/>
      <c r="AA8" s="150"/>
      <c r="AB8" s="149"/>
      <c r="AC8" s="149"/>
      <c r="AD8" s="149"/>
      <c r="AE8" s="149"/>
      <c r="AF8" s="150"/>
      <c r="AG8" s="149"/>
      <c r="AH8" s="149"/>
      <c r="AI8" s="149"/>
      <c r="AJ8" s="149"/>
      <c r="AK8" s="150"/>
      <c r="AL8" s="149"/>
      <c r="AM8" s="149"/>
      <c r="AN8" s="149"/>
      <c r="AO8" s="149"/>
      <c r="AP8" s="150"/>
      <c r="AQ8" s="149"/>
      <c r="AR8" s="149"/>
      <c r="AS8" s="149"/>
      <c r="AT8" s="149"/>
      <c r="AU8" s="150"/>
      <c r="AV8" s="149"/>
      <c r="AW8" s="149"/>
      <c r="AX8" s="149"/>
      <c r="AY8" s="149"/>
      <c r="AZ8" s="150"/>
      <c r="BA8" s="149"/>
      <c r="BB8" s="149"/>
      <c r="BC8" s="149"/>
      <c r="BD8" s="149"/>
      <c r="BE8" s="150"/>
      <c r="BF8" s="149"/>
      <c r="BG8" s="149"/>
      <c r="BH8" s="149"/>
      <c r="BI8" s="149"/>
      <c r="BJ8" s="150"/>
      <c r="BK8" s="149"/>
      <c r="BL8" s="150"/>
      <c r="BM8" s="149"/>
      <c r="BN8" s="149"/>
      <c r="BO8" s="149"/>
      <c r="BP8" s="149"/>
      <c r="BQ8" s="151"/>
      <c r="BR8" s="152"/>
      <c r="BS8" s="152"/>
      <c r="BZ8" s="145"/>
      <c r="CA8" s="145"/>
      <c r="CB8" s="145"/>
    </row>
    <row r="9" spans="1:80" ht="12.75" hidden="1" customHeight="1" outlineLevel="1">
      <c r="A9" s="144"/>
      <c r="B9" s="153" t="s">
        <v>16</v>
      </c>
      <c r="C9" s="154"/>
      <c r="D9" s="154"/>
      <c r="E9" s="154"/>
      <c r="F9" s="154"/>
      <c r="G9" s="155"/>
      <c r="H9" s="156"/>
      <c r="I9" s="154"/>
      <c r="J9" s="156"/>
      <c r="K9" s="156"/>
      <c r="L9" s="155"/>
      <c r="M9" s="157"/>
      <c r="N9" s="157"/>
      <c r="O9" s="157"/>
      <c r="P9" s="157"/>
      <c r="Q9" s="158"/>
      <c r="R9" s="156">
        <f>+R8/M8-1</f>
        <v>0.16514648158817158</v>
      </c>
      <c r="S9" s="156">
        <f>+S8/N8-1</f>
        <v>0.16657723989229045</v>
      </c>
      <c r="T9" s="156">
        <f>+T8/O8-1</f>
        <v>0.1401992446487812</v>
      </c>
      <c r="U9" s="156">
        <f>+U8/P8-1</f>
        <v>0.12537382102599492</v>
      </c>
      <c r="V9" s="155"/>
      <c r="W9" s="156">
        <f>+W8/R8-1</f>
        <v>0.15059763533731219</v>
      </c>
      <c r="X9" s="159"/>
      <c r="Y9" s="160"/>
      <c r="Z9" s="159"/>
      <c r="AA9" s="161"/>
      <c r="AB9" s="159"/>
      <c r="AC9" s="159"/>
      <c r="AD9" s="159"/>
      <c r="AE9" s="159"/>
      <c r="AF9" s="161"/>
      <c r="AG9" s="159"/>
      <c r="AH9" s="159"/>
      <c r="AI9" s="159"/>
      <c r="AJ9" s="159"/>
      <c r="AK9" s="161"/>
      <c r="AL9" s="159"/>
      <c r="AM9" s="159"/>
      <c r="AN9" s="159"/>
      <c r="AO9" s="159"/>
      <c r="AP9" s="161"/>
      <c r="AQ9" s="159"/>
      <c r="AR9" s="159"/>
      <c r="AS9" s="159"/>
      <c r="AT9" s="159"/>
      <c r="AU9" s="161"/>
      <c r="AV9" s="159"/>
      <c r="AW9" s="159"/>
      <c r="AX9" s="159"/>
      <c r="AY9" s="159"/>
      <c r="AZ9" s="161"/>
      <c r="BA9" s="159"/>
      <c r="BB9" s="159"/>
      <c r="BC9" s="159"/>
      <c r="BD9" s="159"/>
      <c r="BE9" s="161"/>
      <c r="BF9" s="159"/>
      <c r="BG9" s="159"/>
      <c r="BH9" s="159"/>
      <c r="BI9" s="159"/>
      <c r="BJ9" s="161"/>
      <c r="BK9" s="162"/>
      <c r="BL9" s="161"/>
      <c r="BM9" s="162"/>
      <c r="BN9" s="162"/>
      <c r="BO9" s="162"/>
      <c r="BP9" s="162"/>
      <c r="BQ9" s="144"/>
      <c r="BR9" s="163"/>
      <c r="BS9" s="163"/>
      <c r="BZ9" s="144"/>
      <c r="CA9" s="144"/>
      <c r="CB9" s="144"/>
    </row>
    <row r="10" spans="1:80" ht="4.5" hidden="1" customHeight="1" outlineLevel="1">
      <c r="A10" s="128"/>
      <c r="B10" s="153"/>
      <c r="C10" s="136"/>
      <c r="D10" s="136"/>
      <c r="E10" s="136"/>
      <c r="F10" s="136"/>
      <c r="G10" s="141"/>
      <c r="H10" s="136"/>
      <c r="I10" s="136"/>
      <c r="J10" s="136"/>
      <c r="K10" s="136"/>
      <c r="L10" s="141"/>
      <c r="M10" s="136"/>
      <c r="N10" s="136"/>
      <c r="O10" s="136"/>
      <c r="P10" s="136"/>
      <c r="Q10" s="141"/>
      <c r="R10" s="136"/>
      <c r="S10" s="136"/>
      <c r="T10" s="136"/>
      <c r="U10" s="136"/>
      <c r="V10" s="141"/>
      <c r="W10" s="136"/>
      <c r="X10" s="136"/>
      <c r="Y10" s="136"/>
      <c r="Z10" s="136"/>
      <c r="AA10" s="164"/>
      <c r="AB10" s="136"/>
      <c r="AC10" s="136"/>
      <c r="AD10" s="136"/>
      <c r="AE10" s="136"/>
      <c r="AF10" s="164"/>
      <c r="AG10" s="136"/>
      <c r="AH10" s="136"/>
      <c r="AI10" s="136"/>
      <c r="AJ10" s="136"/>
      <c r="AK10" s="164"/>
      <c r="AL10" s="136"/>
      <c r="AM10" s="136"/>
      <c r="AN10" s="136"/>
      <c r="AO10" s="136"/>
      <c r="AP10" s="164"/>
      <c r="AQ10" s="136"/>
      <c r="AR10" s="136"/>
      <c r="AS10" s="136"/>
      <c r="AT10" s="136"/>
      <c r="AU10" s="164"/>
      <c r="AV10" s="136"/>
      <c r="AW10" s="136"/>
      <c r="AX10" s="136"/>
      <c r="AY10" s="136"/>
      <c r="AZ10" s="164"/>
      <c r="BA10" s="136"/>
      <c r="BB10" s="136"/>
      <c r="BC10" s="136"/>
      <c r="BD10" s="136"/>
      <c r="BE10" s="164"/>
      <c r="BF10" s="136"/>
      <c r="BG10" s="136"/>
      <c r="BH10" s="136"/>
      <c r="BI10" s="136"/>
      <c r="BJ10" s="164"/>
      <c r="BK10" s="165"/>
      <c r="BL10" s="164"/>
      <c r="BM10" s="165"/>
      <c r="BN10" s="165"/>
      <c r="BO10" s="165"/>
      <c r="BP10" s="165"/>
      <c r="BQ10" s="144"/>
      <c r="BR10" s="138"/>
      <c r="BS10" s="138"/>
      <c r="BZ10" s="128"/>
      <c r="CA10" s="128"/>
      <c r="CB10" s="128"/>
    </row>
    <row r="11" spans="1:80" ht="12.75" hidden="1" customHeight="1" outlineLevel="1">
      <c r="A11" s="166"/>
      <c r="B11" s="167" t="s">
        <v>88</v>
      </c>
      <c r="C11" s="168"/>
      <c r="D11" s="168"/>
      <c r="E11" s="168"/>
      <c r="F11" s="168"/>
      <c r="G11" s="169"/>
      <c r="H11" s="168"/>
      <c r="I11" s="168"/>
      <c r="J11" s="168"/>
      <c r="K11" s="168"/>
      <c r="L11" s="169"/>
      <c r="M11" s="170">
        <v>182.21600000000001</v>
      </c>
      <c r="N11" s="170">
        <v>185.69399999999999</v>
      </c>
      <c r="O11" s="170">
        <v>192.46600000000001</v>
      </c>
      <c r="P11" s="170">
        <v>196.35900000000001</v>
      </c>
      <c r="Q11" s="148">
        <f>+SUM(M11:P11)</f>
        <v>756.73500000000001</v>
      </c>
      <c r="R11" s="170">
        <v>200.208</v>
      </c>
      <c r="S11" s="170">
        <v>209.244</v>
      </c>
      <c r="T11" s="170">
        <v>208.239</v>
      </c>
      <c r="U11" s="170">
        <v>222.90600000000001</v>
      </c>
      <c r="V11" s="169"/>
      <c r="W11" s="170">
        <v>225.065</v>
      </c>
      <c r="X11" s="171"/>
      <c r="Y11" s="171"/>
      <c r="Z11" s="171"/>
      <c r="AA11" s="172"/>
      <c r="AB11" s="171"/>
      <c r="AC11" s="171"/>
      <c r="AD11" s="171"/>
      <c r="AE11" s="171"/>
      <c r="AF11" s="172"/>
      <c r="AG11" s="171"/>
      <c r="AH11" s="171"/>
      <c r="AI11" s="171"/>
      <c r="AJ11" s="171"/>
      <c r="AK11" s="172"/>
      <c r="AL11" s="171"/>
      <c r="AM11" s="171"/>
      <c r="AN11" s="171"/>
      <c r="AO11" s="171"/>
      <c r="AP11" s="172"/>
      <c r="AQ11" s="171"/>
      <c r="AR11" s="171"/>
      <c r="AS11" s="171"/>
      <c r="AT11" s="171"/>
      <c r="AU11" s="172"/>
      <c r="AV11" s="171"/>
      <c r="AW11" s="171"/>
      <c r="AX11" s="171"/>
      <c r="AY11" s="171"/>
      <c r="AZ11" s="172"/>
      <c r="BA11" s="171"/>
      <c r="BB11" s="171"/>
      <c r="BC11" s="171"/>
      <c r="BD11" s="171"/>
      <c r="BE11" s="172"/>
      <c r="BF11" s="171"/>
      <c r="BG11" s="171"/>
      <c r="BH11" s="171"/>
      <c r="BI11" s="171"/>
      <c r="BJ11" s="172"/>
      <c r="BK11" s="173"/>
      <c r="BL11" s="172"/>
      <c r="BM11" s="173"/>
      <c r="BN11" s="173"/>
      <c r="BO11" s="173"/>
      <c r="BP11" s="173"/>
      <c r="BQ11" s="174"/>
      <c r="BR11" s="175"/>
      <c r="BS11" s="175"/>
      <c r="BZ11" s="166"/>
      <c r="CA11" s="166"/>
      <c r="CB11" s="166"/>
    </row>
    <row r="12" spans="1:80" ht="12.75" hidden="1" customHeight="1" outlineLevel="1">
      <c r="A12" s="144"/>
      <c r="B12" s="153" t="s">
        <v>16</v>
      </c>
      <c r="C12" s="157"/>
      <c r="D12" s="157"/>
      <c r="E12" s="157"/>
      <c r="F12" s="157"/>
      <c r="G12" s="176"/>
      <c r="H12" s="156"/>
      <c r="I12" s="156"/>
      <c r="J12" s="156"/>
      <c r="K12" s="156"/>
      <c r="L12" s="176"/>
      <c r="M12" s="156"/>
      <c r="N12" s="156"/>
      <c r="O12" s="156"/>
      <c r="P12" s="156"/>
      <c r="Q12" s="177"/>
      <c r="R12" s="156">
        <f>+R11/M11-1</f>
        <v>9.8739956974140508E-2</v>
      </c>
      <c r="S12" s="156">
        <f>+S11/N11-1</f>
        <v>0.12682154512262112</v>
      </c>
      <c r="T12" s="156">
        <f>+T11/O11-1</f>
        <v>8.1952137000820935E-2</v>
      </c>
      <c r="U12" s="156">
        <f>+U11/P11-1</f>
        <v>0.13519624768918148</v>
      </c>
      <c r="V12" s="176"/>
      <c r="W12" s="156">
        <f>+W11/R11-1</f>
        <v>0.12415587788699756</v>
      </c>
      <c r="X12" s="159"/>
      <c r="Y12" s="159"/>
      <c r="Z12" s="159"/>
      <c r="AA12" s="178"/>
      <c r="AB12" s="159"/>
      <c r="AC12" s="159"/>
      <c r="AD12" s="159"/>
      <c r="AE12" s="159"/>
      <c r="AF12" s="178"/>
      <c r="AG12" s="159"/>
      <c r="AH12" s="159"/>
      <c r="AI12" s="159"/>
      <c r="AJ12" s="159"/>
      <c r="AK12" s="178"/>
      <c r="AL12" s="159"/>
      <c r="AM12" s="159"/>
      <c r="AN12" s="159"/>
      <c r="AO12" s="159"/>
      <c r="AP12" s="178"/>
      <c r="AQ12" s="159"/>
      <c r="AR12" s="159"/>
      <c r="AS12" s="159"/>
      <c r="AT12" s="159"/>
      <c r="AU12" s="178"/>
      <c r="AV12" s="159"/>
      <c r="AW12" s="159"/>
      <c r="AX12" s="159"/>
      <c r="AY12" s="159"/>
      <c r="AZ12" s="178"/>
      <c r="BA12" s="159"/>
      <c r="BB12" s="159"/>
      <c r="BC12" s="159"/>
      <c r="BD12" s="159"/>
      <c r="BE12" s="178"/>
      <c r="BF12" s="159"/>
      <c r="BG12" s="159"/>
      <c r="BH12" s="159"/>
      <c r="BI12" s="159"/>
      <c r="BJ12" s="178"/>
      <c r="BK12" s="179"/>
      <c r="BL12" s="178"/>
      <c r="BM12" s="179"/>
      <c r="BN12" s="179"/>
      <c r="BO12" s="179"/>
      <c r="BP12" s="179"/>
      <c r="BQ12" s="144"/>
      <c r="BR12" s="180"/>
      <c r="BS12" s="163"/>
      <c r="BZ12" s="144"/>
      <c r="CA12" s="144"/>
      <c r="CB12" s="144"/>
    </row>
    <row r="13" spans="1:80" ht="12.75" hidden="1" customHeight="1" outlineLevel="1">
      <c r="A13" s="144"/>
      <c r="B13" s="153" t="s">
        <v>89</v>
      </c>
      <c r="C13" s="181"/>
      <c r="D13" s="181"/>
      <c r="E13" s="181"/>
      <c r="F13" s="181"/>
      <c r="G13" s="176"/>
      <c r="H13" s="181"/>
      <c r="I13" s="181"/>
      <c r="J13" s="181"/>
      <c r="K13" s="181"/>
      <c r="L13" s="176"/>
      <c r="M13" s="156"/>
      <c r="N13" s="156"/>
      <c r="O13" s="156"/>
      <c r="P13" s="181"/>
      <c r="Q13" s="177"/>
      <c r="R13" s="181"/>
      <c r="S13" s="181"/>
      <c r="T13" s="181"/>
      <c r="U13" s="181"/>
      <c r="V13" s="176"/>
      <c r="W13" s="182"/>
      <c r="X13" s="182"/>
      <c r="Y13" s="182"/>
      <c r="Z13" s="182"/>
      <c r="AA13" s="178"/>
      <c r="AB13" s="182"/>
      <c r="AC13" s="182"/>
      <c r="AD13" s="182"/>
      <c r="AE13" s="182"/>
      <c r="AF13" s="178"/>
      <c r="AG13" s="182"/>
      <c r="AH13" s="182"/>
      <c r="AI13" s="182"/>
      <c r="AJ13" s="182"/>
      <c r="AK13" s="178"/>
      <c r="AL13" s="182"/>
      <c r="AM13" s="182"/>
      <c r="AN13" s="182"/>
      <c r="AO13" s="182"/>
      <c r="AP13" s="178"/>
      <c r="AQ13" s="182"/>
      <c r="AR13" s="182"/>
      <c r="AS13" s="182"/>
      <c r="AT13" s="182"/>
      <c r="AU13" s="178"/>
      <c r="AV13" s="182"/>
      <c r="AW13" s="182"/>
      <c r="AX13" s="182"/>
      <c r="AY13" s="182"/>
      <c r="AZ13" s="178"/>
      <c r="BA13" s="182"/>
      <c r="BB13" s="182"/>
      <c r="BC13" s="182"/>
      <c r="BD13" s="182"/>
      <c r="BE13" s="178"/>
      <c r="BF13" s="182"/>
      <c r="BG13" s="182"/>
      <c r="BH13" s="182"/>
      <c r="BI13" s="182"/>
      <c r="BJ13" s="178"/>
      <c r="BK13" s="179"/>
      <c r="BL13" s="178"/>
      <c r="BM13" s="179"/>
      <c r="BN13" s="179"/>
      <c r="BO13" s="179"/>
      <c r="BP13" s="179"/>
      <c r="BQ13" s="144"/>
      <c r="BR13" s="163"/>
      <c r="BS13" s="163"/>
      <c r="BZ13" s="144"/>
      <c r="CA13" s="144"/>
      <c r="CB13" s="144"/>
    </row>
    <row r="14" spans="1:80" ht="10.5" hidden="1" customHeight="1" outlineLevel="1">
      <c r="A14" s="144"/>
      <c r="B14" s="183"/>
      <c r="C14" s="181"/>
      <c r="D14" s="181"/>
      <c r="E14" s="181"/>
      <c r="F14" s="181"/>
      <c r="G14" s="184"/>
      <c r="H14" s="185"/>
      <c r="I14" s="185"/>
      <c r="J14" s="185"/>
      <c r="K14" s="185"/>
      <c r="L14" s="184"/>
      <c r="M14" s="185"/>
      <c r="N14" s="185"/>
      <c r="O14" s="185"/>
      <c r="P14" s="181"/>
      <c r="Q14" s="186"/>
      <c r="R14" s="181"/>
      <c r="S14" s="181"/>
      <c r="T14" s="181"/>
      <c r="U14" s="181"/>
      <c r="V14" s="184"/>
      <c r="W14" s="187"/>
      <c r="X14" s="187"/>
      <c r="Y14" s="187"/>
      <c r="Z14" s="187"/>
      <c r="AA14" s="188"/>
      <c r="AB14" s="187"/>
      <c r="AC14" s="187"/>
      <c r="AD14" s="187"/>
      <c r="AE14" s="187"/>
      <c r="AF14" s="188"/>
      <c r="AG14" s="187"/>
      <c r="AH14" s="187"/>
      <c r="AI14" s="187"/>
      <c r="AJ14" s="187"/>
      <c r="AK14" s="188"/>
      <c r="AL14" s="187"/>
      <c r="AM14" s="187"/>
      <c r="AN14" s="187"/>
      <c r="AO14" s="187"/>
      <c r="AP14" s="518"/>
      <c r="AQ14" s="187"/>
      <c r="AR14" s="187"/>
      <c r="AS14" s="187"/>
      <c r="AT14" s="187"/>
      <c r="AU14" s="188"/>
      <c r="AV14" s="187"/>
      <c r="AW14" s="187"/>
      <c r="AX14" s="187"/>
      <c r="AY14" s="187"/>
      <c r="AZ14" s="188"/>
      <c r="BA14" s="187"/>
      <c r="BB14" s="187"/>
      <c r="BC14" s="187"/>
      <c r="BD14" s="187"/>
      <c r="BE14" s="188"/>
      <c r="BF14" s="187"/>
      <c r="BG14" s="187"/>
      <c r="BH14" s="187"/>
      <c r="BI14" s="187"/>
      <c r="BJ14" s="188"/>
      <c r="BK14" s="189"/>
      <c r="BL14" s="518"/>
      <c r="BM14" s="189"/>
      <c r="BN14" s="189"/>
      <c r="BO14" s="189"/>
      <c r="BP14" s="189"/>
      <c r="BQ14" s="144"/>
      <c r="BR14" s="163"/>
      <c r="BS14" s="163"/>
      <c r="BZ14" s="144"/>
      <c r="CA14" s="144"/>
      <c r="CB14" s="144"/>
    </row>
    <row r="15" spans="1:80" ht="12.75" customHeight="1" collapsed="1">
      <c r="A15" s="190"/>
      <c r="B15" s="191" t="s">
        <v>90</v>
      </c>
      <c r="C15" s="192">
        <v>157.5</v>
      </c>
      <c r="D15" s="192">
        <v>179.3</v>
      </c>
      <c r="E15" s="192">
        <v>183.9</v>
      </c>
      <c r="F15" s="192">
        <v>185.9</v>
      </c>
      <c r="G15" s="193">
        <f>+SUM(C15:F15)</f>
        <v>706.6</v>
      </c>
      <c r="H15" s="192">
        <v>175.8</v>
      </c>
      <c r="I15" s="192">
        <v>188.2</v>
      </c>
      <c r="J15" s="192">
        <v>200.4</v>
      </c>
      <c r="K15" s="192">
        <v>208.4</v>
      </c>
      <c r="L15" s="193">
        <f>+SUM(H15:K15)</f>
        <v>772.8</v>
      </c>
      <c r="M15" s="192">
        <f>+M8-M11</f>
        <v>189.23000000000002</v>
      </c>
      <c r="N15" s="192">
        <f>+N8-N11</f>
        <v>216.87000000000003</v>
      </c>
      <c r="O15" s="192">
        <f>+O8-O11</f>
        <v>216.88</v>
      </c>
      <c r="P15" s="192">
        <f>+P8-P11</f>
        <v>242.68800000000002</v>
      </c>
      <c r="Q15" s="193">
        <f>+SUM(M15:P15)</f>
        <v>865.66800000000001</v>
      </c>
      <c r="R15" s="192">
        <f>+'Segment Detail '!R8+'Segment Detail '!R68</f>
        <v>232.58100000000002</v>
      </c>
      <c r="S15" s="192">
        <f>+S8-S11</f>
        <v>260.37800000000004</v>
      </c>
      <c r="T15" s="192">
        <f>+T8-T11</f>
        <v>258.49699999999996</v>
      </c>
      <c r="U15" s="192">
        <f>+U8-U11</f>
        <v>271.18599999999998</v>
      </c>
      <c r="V15" s="193">
        <f>+SUM(R15:U15)</f>
        <v>1022.6420000000001</v>
      </c>
      <c r="W15" s="192">
        <f>+'Segment Detail '!W8+'Segment Detail '!W68</f>
        <v>272.90100000000001</v>
      </c>
      <c r="X15" s="192">
        <v>296.90699999999998</v>
      </c>
      <c r="Y15" s="192">
        <f>+'Segment Detail '!Y8+'Segment Detail '!Y68</f>
        <v>294.20600000000002</v>
      </c>
      <c r="Z15" s="192">
        <v>308.62200000000001</v>
      </c>
      <c r="AA15" s="193">
        <f>+SUM(W15:Z15)</f>
        <v>1172.636</v>
      </c>
      <c r="AB15" s="192">
        <v>288.53199999999998</v>
      </c>
      <c r="AC15" s="192">
        <v>331.339</v>
      </c>
      <c r="AD15" s="192">
        <f>+'Segment Detail '!AD84</f>
        <v>380.517</v>
      </c>
      <c r="AE15" s="192">
        <v>402.15</v>
      </c>
      <c r="AF15" s="193">
        <f>+SUM(AB15:AE15)</f>
        <v>1402.538</v>
      </c>
      <c r="AG15" s="192">
        <v>374.46499999999997</v>
      </c>
      <c r="AH15" s="192">
        <f>+'Segment Detail '!AH84</f>
        <v>423.64599999999996</v>
      </c>
      <c r="AI15" s="192">
        <f>+'Segment Detail '!AI84</f>
        <v>430.45</v>
      </c>
      <c r="AJ15" s="192">
        <f>+'Segment Detail '!AJ84</f>
        <v>453.17500000000001</v>
      </c>
      <c r="AK15" s="193">
        <f>+SUM(AG15:AJ15)</f>
        <v>1681.7359999999999</v>
      </c>
      <c r="AL15" s="192">
        <f>+'Segment Detail '!AL84</f>
        <v>431.21</v>
      </c>
      <c r="AM15" s="192">
        <f>+'Segment Detail '!AM84</f>
        <v>480.48099999999999</v>
      </c>
      <c r="AN15" s="192">
        <f>+'Segment Detail '!AN84</f>
        <v>490.65799999999996</v>
      </c>
      <c r="AO15" s="192">
        <f>+'Segment Detail '!AO84</f>
        <v>502.41199999999998</v>
      </c>
      <c r="AP15" s="193">
        <f>+SUM(AL15:AO15)</f>
        <v>1904.761</v>
      </c>
      <c r="AQ15" s="192">
        <f>+'Segment Detail '!AQ84</f>
        <v>470.11</v>
      </c>
      <c r="AR15" s="192">
        <f>+'Segment Detail '!AR84</f>
        <v>530.03099999999995</v>
      </c>
      <c r="AS15" s="192">
        <f>+'Segment Detail '!AS84</f>
        <v>554.23199999999997</v>
      </c>
      <c r="AT15" s="192">
        <f>+'Segment Detail '!AT84</f>
        <v>568.93900000000008</v>
      </c>
      <c r="AU15" s="193">
        <f>+SUM(AQ15:AT15)</f>
        <v>2123.3119999999999</v>
      </c>
      <c r="AV15" s="192">
        <f>+'Segment Detail '!AV84</f>
        <v>834.18369240073662</v>
      </c>
      <c r="AW15" s="192">
        <f>+'Segment Detail '!AW84</f>
        <v>974.04075877311811</v>
      </c>
      <c r="AX15" s="192">
        <f>+'Segment Detail '!AX84</f>
        <v>1019.6747410615835</v>
      </c>
      <c r="AY15" s="192">
        <f>+'Segment Detail '!AY84</f>
        <v>1050.9686447799286</v>
      </c>
      <c r="AZ15" s="193">
        <f>+SUM(AV15:AY15)</f>
        <v>3878.8678370153666</v>
      </c>
      <c r="BA15" s="192">
        <f>+'Segment Detail '!BA84</f>
        <v>986.28138857865451</v>
      </c>
      <c r="BB15" s="192">
        <f>+'Segment Detail '!BB84</f>
        <v>1062.5588687708921</v>
      </c>
      <c r="BC15" s="192">
        <f>+'Segment Detail '!BC84</f>
        <v>1111.5949561767081</v>
      </c>
      <c r="BD15" s="192">
        <f>+'Segment Detail '!BD84</f>
        <v>1146.5627353644629</v>
      </c>
      <c r="BE15" s="193">
        <f>+SUM(BA15:BD15)</f>
        <v>4306.9979488907184</v>
      </c>
      <c r="BF15" s="192">
        <f>+'Segment Detail '!BF84</f>
        <v>1078.3335646736259</v>
      </c>
      <c r="BG15" s="192">
        <f>+'Segment Detail '!BG84</f>
        <v>1160.9091022111227</v>
      </c>
      <c r="BH15" s="192">
        <f>+'Segment Detail '!BH84</f>
        <v>1213.2059658113858</v>
      </c>
      <c r="BI15" s="192">
        <f>+'Segment Detail '!BI84</f>
        <v>1252.4004406569991</v>
      </c>
      <c r="BJ15" s="193">
        <f>+SUM(BF15:BI15)</f>
        <v>4704.8490733531335</v>
      </c>
      <c r="BK15" s="173"/>
      <c r="BL15" s="193">
        <v>3316.268</v>
      </c>
      <c r="BM15" s="173"/>
      <c r="BN15" s="173"/>
      <c r="BO15" s="173"/>
      <c r="BP15" s="173"/>
      <c r="BQ15" s="151"/>
      <c r="BR15" s="194"/>
      <c r="BS15" s="194"/>
      <c r="BZ15" s="1297"/>
      <c r="CA15" s="1267"/>
      <c r="CB15" s="194"/>
    </row>
    <row r="16" spans="1:80" ht="12.75" customHeight="1">
      <c r="A16" s="195"/>
      <c r="B16" s="196" t="s">
        <v>16</v>
      </c>
      <c r="C16" s="197"/>
      <c r="D16" s="197"/>
      <c r="E16" s="197"/>
      <c r="F16" s="197"/>
      <c r="G16" s="176"/>
      <c r="H16" s="198">
        <f t="shared" ref="H16:AU16" si="0">+H15/C15-1</f>
        <v>0.11619047619047618</v>
      </c>
      <c r="I16" s="198">
        <f t="shared" si="0"/>
        <v>4.9637479085331782E-2</v>
      </c>
      <c r="J16" s="198">
        <f t="shared" si="0"/>
        <v>8.9722675367047255E-2</v>
      </c>
      <c r="K16" s="198">
        <f t="shared" si="0"/>
        <v>0.12103281334050564</v>
      </c>
      <c r="L16" s="176">
        <f t="shared" si="0"/>
        <v>9.3688083781488629E-2</v>
      </c>
      <c r="M16" s="198">
        <f t="shared" si="0"/>
        <v>7.6393629124004603E-2</v>
      </c>
      <c r="N16" s="198">
        <f t="shared" si="0"/>
        <v>0.15233793836344334</v>
      </c>
      <c r="O16" s="198">
        <f t="shared" si="0"/>
        <v>8.2235528942115721E-2</v>
      </c>
      <c r="P16" s="198">
        <f t="shared" si="0"/>
        <v>0.16452975047984641</v>
      </c>
      <c r="Q16" s="176">
        <f t="shared" si="0"/>
        <v>0.12017080745341624</v>
      </c>
      <c r="R16" s="198">
        <f t="shared" si="0"/>
        <v>0.22909158167309629</v>
      </c>
      <c r="S16" s="198">
        <f t="shared" si="0"/>
        <v>0.20061788168026928</v>
      </c>
      <c r="T16" s="198">
        <f t="shared" si="0"/>
        <v>0.19188952416082605</v>
      </c>
      <c r="U16" s="198">
        <f t="shared" si="0"/>
        <v>0.11742648997890281</v>
      </c>
      <c r="V16" s="176">
        <f t="shared" si="0"/>
        <v>0.18133279733107854</v>
      </c>
      <c r="W16" s="198">
        <f t="shared" si="0"/>
        <v>0.17335895881434848</v>
      </c>
      <c r="X16" s="198">
        <f t="shared" si="0"/>
        <v>0.14029219058445763</v>
      </c>
      <c r="Y16" s="198">
        <f t="shared" si="0"/>
        <v>0.13814086817255156</v>
      </c>
      <c r="Z16" s="198">
        <f t="shared" si="0"/>
        <v>0.13804547432389591</v>
      </c>
      <c r="AA16" s="176">
        <f t="shared" si="0"/>
        <v>0.14667302927124037</v>
      </c>
      <c r="AB16" s="198">
        <f t="shared" si="0"/>
        <v>5.7277181102304286E-2</v>
      </c>
      <c r="AC16" s="198">
        <f t="shared" si="0"/>
        <v>0.11596897344959878</v>
      </c>
      <c r="AD16" s="198">
        <f t="shared" si="0"/>
        <v>0.29336927187072992</v>
      </c>
      <c r="AE16" s="198">
        <f t="shared" si="0"/>
        <v>0.3030503334175787</v>
      </c>
      <c r="AF16" s="176">
        <f t="shared" si="0"/>
        <v>0.1960557240268932</v>
      </c>
      <c r="AG16" s="198">
        <f t="shared" si="0"/>
        <v>0.2978283171364009</v>
      </c>
      <c r="AH16" s="198">
        <f t="shared" si="0"/>
        <v>0.27858779075206952</v>
      </c>
      <c r="AI16" s="198">
        <f t="shared" si="0"/>
        <v>0.13122409774070531</v>
      </c>
      <c r="AJ16" s="198">
        <f t="shared" si="0"/>
        <v>0.12688051721994298</v>
      </c>
      <c r="AK16" s="176">
        <f t="shared" si="0"/>
        <v>0.19906626415826167</v>
      </c>
      <c r="AL16" s="198">
        <f t="shared" si="0"/>
        <v>0.15153619163339704</v>
      </c>
      <c r="AM16" s="198">
        <f t="shared" si="0"/>
        <v>0.13415681960882453</v>
      </c>
      <c r="AN16" s="198">
        <f t="shared" si="0"/>
        <v>0.13987222673945854</v>
      </c>
      <c r="AO16" s="198">
        <f t="shared" si="0"/>
        <v>0.1086489766646439</v>
      </c>
      <c r="AP16" s="176">
        <f t="shared" si="0"/>
        <v>0.13261593971943286</v>
      </c>
      <c r="AQ16" s="198">
        <f t="shared" si="0"/>
        <v>9.0211265972496069E-2</v>
      </c>
      <c r="AR16" s="198">
        <f t="shared" si="0"/>
        <v>0.10312582599520059</v>
      </c>
      <c r="AS16" s="198">
        <f t="shared" si="0"/>
        <v>0.12956886466744666</v>
      </c>
      <c r="AT16" s="198">
        <f t="shared" si="0"/>
        <v>0.13241522893561486</v>
      </c>
      <c r="AU16" s="176">
        <f t="shared" si="0"/>
        <v>0.11473932950118138</v>
      </c>
      <c r="AV16" s="198">
        <f t="shared" ref="AV16:BE16" si="1">+AV15/AQ15-1</f>
        <v>0.7744436246851516</v>
      </c>
      <c r="AW16" s="198">
        <f t="shared" si="1"/>
        <v>0.83770526398100897</v>
      </c>
      <c r="AX16" s="198">
        <f t="shared" si="1"/>
        <v>0.83979766787479537</v>
      </c>
      <c r="AY16" s="198">
        <f t="shared" si="1"/>
        <v>0.84724310476154452</v>
      </c>
      <c r="AZ16" s="176">
        <f t="shared" si="1"/>
        <v>0.8268006948650819</v>
      </c>
      <c r="BA16" s="198">
        <f t="shared" si="1"/>
        <v>0.18233117904785301</v>
      </c>
      <c r="BB16" s="198">
        <f t="shared" si="1"/>
        <v>9.0877213505181853E-2</v>
      </c>
      <c r="BC16" s="198">
        <f t="shared" si="1"/>
        <v>9.014660402338337E-2</v>
      </c>
      <c r="BD16" s="198">
        <f t="shared" si="1"/>
        <v>9.0958080490166848E-2</v>
      </c>
      <c r="BE16" s="176">
        <f t="shared" si="1"/>
        <v>0.11037501917177472</v>
      </c>
      <c r="BF16" s="198">
        <f>+BF15/BA15-1</f>
        <v>9.3332569346795902E-2</v>
      </c>
      <c r="BG16" s="198">
        <f>+BG15/BB15-1</f>
        <v>9.2559797231749119E-2</v>
      </c>
      <c r="BH16" s="198">
        <f>+BH15/BC15-1</f>
        <v>9.1410103176579049E-2</v>
      </c>
      <c r="BI16" s="198">
        <f>+BI15/BD15-1</f>
        <v>9.2308691036337542E-2</v>
      </c>
      <c r="BJ16" s="176">
        <f>+BJ15/BE15-1</f>
        <v>9.2373186424405729E-2</v>
      </c>
      <c r="BK16" s="179"/>
      <c r="BL16" s="176"/>
      <c r="BM16" s="179"/>
      <c r="BN16" s="173"/>
      <c r="BO16" s="173"/>
      <c r="BP16" s="173"/>
      <c r="BQ16" s="199"/>
      <c r="BR16" s="200"/>
      <c r="BS16" s="200"/>
      <c r="BZ16" s="1271"/>
      <c r="CA16" s="201"/>
      <c r="CB16" s="201"/>
    </row>
    <row r="17" spans="1:80" ht="12.75" customHeight="1">
      <c r="A17" s="190"/>
      <c r="B17" s="153"/>
      <c r="C17" s="168"/>
      <c r="D17" s="168"/>
      <c r="E17" s="168"/>
      <c r="F17" s="168"/>
      <c r="G17" s="176"/>
      <c r="H17" s="156"/>
      <c r="I17" s="156"/>
      <c r="J17" s="156"/>
      <c r="K17" s="156"/>
      <c r="L17" s="176"/>
      <c r="M17" s="156"/>
      <c r="N17" s="156"/>
      <c r="O17" s="156"/>
      <c r="P17" s="156"/>
      <c r="Q17" s="177"/>
      <c r="R17" s="156"/>
      <c r="S17" s="156"/>
      <c r="T17" s="156"/>
      <c r="U17" s="156"/>
      <c r="V17" s="176"/>
      <c r="W17" s="156"/>
      <c r="X17" s="156"/>
      <c r="Y17" s="156"/>
      <c r="Z17" s="156"/>
      <c r="AA17" s="176"/>
      <c r="AB17" s="156"/>
      <c r="AC17" s="156"/>
      <c r="AD17" s="156"/>
      <c r="AE17" s="156"/>
      <c r="AF17" s="176"/>
      <c r="AG17" s="156"/>
      <c r="AH17" s="156"/>
      <c r="AI17" s="156"/>
      <c r="AJ17" s="156"/>
      <c r="AK17" s="176"/>
      <c r="AL17" s="156"/>
      <c r="AM17" s="156"/>
      <c r="AN17" s="156"/>
      <c r="AO17" s="156"/>
      <c r="AP17" s="176"/>
      <c r="AQ17" s="156"/>
      <c r="AR17" s="156"/>
      <c r="AS17" s="156"/>
      <c r="AT17" s="156"/>
      <c r="AU17" s="176"/>
      <c r="AV17" s="156"/>
      <c r="AW17" s="156"/>
      <c r="AX17" s="156"/>
      <c r="AY17" s="156"/>
      <c r="AZ17" s="176"/>
      <c r="BA17" s="156"/>
      <c r="BB17" s="156"/>
      <c r="BC17" s="156"/>
      <c r="BD17" s="156"/>
      <c r="BE17" s="176"/>
      <c r="BF17" s="156"/>
      <c r="BG17" s="156"/>
      <c r="BH17" s="156"/>
      <c r="BI17" s="156"/>
      <c r="BJ17" s="176"/>
      <c r="BK17" s="179"/>
      <c r="BL17" s="176"/>
      <c r="BM17" s="179"/>
      <c r="BN17" s="173"/>
      <c r="BO17" s="173"/>
      <c r="BP17" s="173"/>
      <c r="BQ17" s="137"/>
      <c r="BR17" s="194"/>
      <c r="BS17" s="194"/>
      <c r="BZ17" s="174"/>
      <c r="CA17" s="202"/>
      <c r="CB17" s="202"/>
    </row>
    <row r="18" spans="1:80" ht="12.75" customHeight="1">
      <c r="A18" s="203"/>
      <c r="B18" s="204" t="s">
        <v>91</v>
      </c>
      <c r="C18" s="205"/>
      <c r="D18" s="205"/>
      <c r="E18" s="205"/>
      <c r="F18" s="205"/>
      <c r="G18" s="184"/>
      <c r="H18" s="205"/>
      <c r="I18" s="205"/>
      <c r="J18" s="205"/>
      <c r="K18" s="205"/>
      <c r="L18" s="184"/>
      <c r="M18" s="205"/>
      <c r="N18" s="205"/>
      <c r="O18" s="205"/>
      <c r="P18" s="205"/>
      <c r="Q18" s="184"/>
      <c r="R18" s="181"/>
      <c r="S18" s="181"/>
      <c r="T18" s="181"/>
      <c r="U18" s="181"/>
      <c r="V18" s="184"/>
      <c r="W18" s="181"/>
      <c r="X18" s="181"/>
      <c r="Y18" s="181"/>
      <c r="Z18" s="181"/>
      <c r="AA18" s="184"/>
      <c r="AB18" s="181"/>
      <c r="AC18" s="181"/>
      <c r="AD18" s="181"/>
      <c r="AE18" s="181"/>
      <c r="AF18" s="184"/>
      <c r="AG18" s="181"/>
      <c r="AH18" s="181"/>
      <c r="AI18" s="181"/>
      <c r="AJ18" s="181"/>
      <c r="AK18" s="184"/>
      <c r="AL18" s="181"/>
      <c r="AM18" s="181"/>
      <c r="AN18" s="181"/>
      <c r="AO18" s="181"/>
      <c r="AP18" s="1246"/>
      <c r="AQ18" s="181"/>
      <c r="AR18" s="181"/>
      <c r="AS18" s="181"/>
      <c r="AT18" s="181"/>
      <c r="AU18" s="184"/>
      <c r="AV18" s="181"/>
      <c r="AW18" s="181"/>
      <c r="AX18" s="181"/>
      <c r="AY18" s="181"/>
      <c r="AZ18" s="184"/>
      <c r="BA18" s="181"/>
      <c r="BB18" s="181"/>
      <c r="BC18" s="181"/>
      <c r="BD18" s="181"/>
      <c r="BE18" s="184"/>
      <c r="BF18" s="181"/>
      <c r="BG18" s="181"/>
      <c r="BH18" s="181"/>
      <c r="BI18" s="181"/>
      <c r="BJ18" s="184"/>
      <c r="BK18" s="189"/>
      <c r="BL18" s="1246"/>
      <c r="BM18" s="189"/>
      <c r="BN18" s="189"/>
      <c r="BO18" s="170"/>
      <c r="BP18" s="189"/>
      <c r="BQ18" s="144"/>
      <c r="BR18" s="194"/>
      <c r="BS18" s="194"/>
      <c r="BZ18" s="144"/>
      <c r="CA18" s="202"/>
      <c r="CB18" s="202"/>
    </row>
    <row r="19" spans="1:80" ht="12.75" customHeight="1">
      <c r="A19" s="190"/>
      <c r="B19" s="206" t="s">
        <v>92</v>
      </c>
      <c r="C19" s="170">
        <v>45.7</v>
      </c>
      <c r="D19" s="170">
        <v>51.6</v>
      </c>
      <c r="E19" s="170">
        <v>48.6</v>
      </c>
      <c r="F19" s="170">
        <v>48.4</v>
      </c>
      <c r="G19" s="169">
        <f>+SUM(C19:F19)</f>
        <v>194.3</v>
      </c>
      <c r="H19" s="170">
        <v>49.9</v>
      </c>
      <c r="I19" s="170">
        <v>52</v>
      </c>
      <c r="J19" s="170">
        <v>54</v>
      </c>
      <c r="K19" s="170">
        <v>56.3</v>
      </c>
      <c r="L19" s="169">
        <f>+SUM(H19:K19)</f>
        <v>212.2</v>
      </c>
      <c r="M19" s="170">
        <v>56.2</v>
      </c>
      <c r="N19" s="170">
        <v>59.6</v>
      </c>
      <c r="O19" s="170">
        <v>56.2</v>
      </c>
      <c r="P19" s="170">
        <v>64.099999999999994</v>
      </c>
      <c r="Q19" s="169">
        <f>+SUM(M19:P19)</f>
        <v>236.1</v>
      </c>
      <c r="R19" s="170">
        <v>72.757000000000005</v>
      </c>
      <c r="S19" s="170">
        <v>70.531999999999996</v>
      </c>
      <c r="T19" s="170">
        <v>69.313000000000002</v>
      </c>
      <c r="U19" s="170">
        <v>68.042000000000002</v>
      </c>
      <c r="V19" s="169">
        <f>+SUM(R19:U19)</f>
        <v>280.64400000000001</v>
      </c>
      <c r="W19" s="170">
        <v>75.975999999999999</v>
      </c>
      <c r="X19" s="170">
        <v>76.436000000000007</v>
      </c>
      <c r="Y19" s="170">
        <v>79.551000000000002</v>
      </c>
      <c r="Z19" s="170">
        <v>80.081000000000003</v>
      </c>
      <c r="AA19" s="169">
        <f>+SUM(W19:Z19)</f>
        <v>312.04400000000004</v>
      </c>
      <c r="AB19" s="170">
        <v>78.444000000000003</v>
      </c>
      <c r="AC19" s="170">
        <v>90.507000000000005</v>
      </c>
      <c r="AD19" s="170">
        <v>111.233</v>
      </c>
      <c r="AE19" s="170">
        <v>116.169</v>
      </c>
      <c r="AF19" s="169">
        <f>+SUM(AB19:AE19)</f>
        <v>396.35300000000001</v>
      </c>
      <c r="AG19" s="170">
        <v>116.05500000000001</v>
      </c>
      <c r="AH19" s="170">
        <v>122.925</v>
      </c>
      <c r="AI19" s="170">
        <v>132.48099999999999</v>
      </c>
      <c r="AJ19" s="170">
        <v>132.488</v>
      </c>
      <c r="AK19" s="169">
        <f>+SUM(AG19:AJ19)</f>
        <v>503.94900000000001</v>
      </c>
      <c r="AL19" s="170">
        <v>135.63800000000001</v>
      </c>
      <c r="AM19" s="170">
        <v>144.84399999999999</v>
      </c>
      <c r="AN19" s="170">
        <v>153.24799999999999</v>
      </c>
      <c r="AO19" s="170">
        <v>148.52099999999999</v>
      </c>
      <c r="AP19" s="169">
        <f>+SUM(AL19:AO19)</f>
        <v>582.25099999999998</v>
      </c>
      <c r="AQ19" s="170">
        <v>155.04</v>
      </c>
      <c r="AR19" s="170">
        <v>168.26300000000001</v>
      </c>
      <c r="AS19" s="170">
        <f>173.779</f>
        <v>173.779</v>
      </c>
      <c r="AT19" s="170">
        <v>172.42400000000001</v>
      </c>
      <c r="AU19" s="169">
        <f>+SUM(AQ19:AT19)</f>
        <v>669.50599999999997</v>
      </c>
      <c r="AV19" s="170">
        <f>+AV15*AV21</f>
        <v>233.57143387220628</v>
      </c>
      <c r="AW19" s="170">
        <f>+AW15*AW21</f>
        <v>270.78333093892684</v>
      </c>
      <c r="AX19" s="170">
        <f>+AX15*AX21</f>
        <v>281.43022853299709</v>
      </c>
      <c r="AY19" s="170">
        <f>+AY15*AY21</f>
        <v>287.96540866970048</v>
      </c>
      <c r="AZ19" s="169">
        <f>+SUM(AV19:AY19)</f>
        <v>1073.7504020138308</v>
      </c>
      <c r="BA19" s="170">
        <f>+BA15*BA21</f>
        <v>273.69308533057665</v>
      </c>
      <c r="BB19" s="170">
        <f>+BB15*BB21</f>
        <v>292.73496834638081</v>
      </c>
      <c r="BC19" s="170">
        <f>+BC15*BC21</f>
        <v>304.02122051432968</v>
      </c>
      <c r="BD19" s="170">
        <f>+BD15*BD21</f>
        <v>311.29178265145168</v>
      </c>
      <c r="BE19" s="169">
        <f>+SUM(BA19:BD19)</f>
        <v>1181.7410568427388</v>
      </c>
      <c r="BF19" s="170">
        <f>+BF15*BF21</f>
        <v>299.2375641969312</v>
      </c>
      <c r="BG19" s="170">
        <f>+BG15*BG21</f>
        <v>319.83045765916432</v>
      </c>
      <c r="BH19" s="170">
        <f>+BH15*BH21</f>
        <v>331.81183164941405</v>
      </c>
      <c r="BI19" s="170">
        <f>+BI15*BI21</f>
        <v>340.02671963837525</v>
      </c>
      <c r="BJ19" s="169">
        <f>+SUM(BF19:BI19)</f>
        <v>1290.9065731438848</v>
      </c>
      <c r="BK19" s="207"/>
      <c r="BL19" s="169">
        <v>920.29600000000005</v>
      </c>
      <c r="BM19" s="207"/>
      <c r="BN19" s="173"/>
      <c r="BO19" s="170"/>
      <c r="BP19" s="173"/>
      <c r="BQ19" s="144"/>
      <c r="BR19" s="194"/>
      <c r="BS19" s="194"/>
      <c r="BZ19" s="174"/>
      <c r="CA19" s="202"/>
      <c r="CB19" s="202"/>
    </row>
    <row r="20" spans="1:80" ht="12.75" customHeight="1">
      <c r="A20" s="203"/>
      <c r="B20" s="153" t="s">
        <v>16</v>
      </c>
      <c r="C20" s="157"/>
      <c r="D20" s="157"/>
      <c r="E20" s="157"/>
      <c r="F20" s="157"/>
      <c r="G20" s="176"/>
      <c r="H20" s="157">
        <f>+H19/C19-1</f>
        <v>9.1903719912472592E-2</v>
      </c>
      <c r="I20" s="157">
        <f>+I19/D19-1</f>
        <v>7.7519379844961378E-3</v>
      </c>
      <c r="J20" s="157">
        <f>+J19/E19-1</f>
        <v>0.11111111111111116</v>
      </c>
      <c r="K20" s="157">
        <f>+K19/F19-1</f>
        <v>0.16322314049586772</v>
      </c>
      <c r="L20" s="176">
        <f>+L19/G19-1</f>
        <v>9.2125579001543834E-2</v>
      </c>
      <c r="M20" s="156">
        <f t="shared" ref="M20:AZ20" si="2">+M19/H19-1</f>
        <v>0.12625250501002006</v>
      </c>
      <c r="N20" s="156">
        <f t="shared" si="2"/>
        <v>0.14615384615384608</v>
      </c>
      <c r="O20" s="156">
        <f t="shared" si="2"/>
        <v>4.0740740740740744E-2</v>
      </c>
      <c r="P20" s="156">
        <f t="shared" si="2"/>
        <v>0.13854351687388977</v>
      </c>
      <c r="Q20" s="176">
        <f>+Q19/L19-1</f>
        <v>0.11262959472196044</v>
      </c>
      <c r="R20" s="156">
        <f t="shared" si="2"/>
        <v>0.294608540925267</v>
      </c>
      <c r="S20" s="156">
        <f t="shared" si="2"/>
        <v>0.18342281879194622</v>
      </c>
      <c r="T20" s="156">
        <f t="shared" si="2"/>
        <v>0.2333274021352314</v>
      </c>
      <c r="U20" s="156">
        <f t="shared" si="2"/>
        <v>6.1497659906396329E-2</v>
      </c>
      <c r="V20" s="176">
        <f t="shared" si="2"/>
        <v>0.18866581956797979</v>
      </c>
      <c r="W20" s="156">
        <f t="shared" si="2"/>
        <v>4.4243165606058454E-2</v>
      </c>
      <c r="X20" s="156">
        <f t="shared" si="2"/>
        <v>8.3706686326773916E-2</v>
      </c>
      <c r="Y20" s="156">
        <f t="shared" si="2"/>
        <v>0.14770677939203325</v>
      </c>
      <c r="Z20" s="156">
        <f t="shared" si="2"/>
        <v>0.17693483436700852</v>
      </c>
      <c r="AA20" s="176">
        <f t="shared" si="2"/>
        <v>0.11188552044583178</v>
      </c>
      <c r="AB20" s="156">
        <f t="shared" si="2"/>
        <v>3.2483942297567792E-2</v>
      </c>
      <c r="AC20" s="156">
        <f t="shared" si="2"/>
        <v>0.18408864932754199</v>
      </c>
      <c r="AD20" s="156">
        <f t="shared" si="2"/>
        <v>0.39826023557214874</v>
      </c>
      <c r="AE20" s="156">
        <f t="shared" si="2"/>
        <v>0.45064372323022939</v>
      </c>
      <c r="AF20" s="176">
        <f t="shared" si="2"/>
        <v>0.27018305110817686</v>
      </c>
      <c r="AG20" s="156">
        <f t="shared" si="2"/>
        <v>0.47946305644791187</v>
      </c>
      <c r="AH20" s="156">
        <f t="shared" si="2"/>
        <v>0.35818224004773103</v>
      </c>
      <c r="AI20" s="156">
        <f t="shared" si="2"/>
        <v>0.1910224483741334</v>
      </c>
      <c r="AJ20" s="156">
        <f t="shared" si="2"/>
        <v>0.14047637493651499</v>
      </c>
      <c r="AK20" s="176">
        <f t="shared" si="2"/>
        <v>0.27146508289327942</v>
      </c>
      <c r="AL20" s="156">
        <f t="shared" si="2"/>
        <v>0.16873895997587351</v>
      </c>
      <c r="AM20" s="156">
        <f t="shared" si="2"/>
        <v>0.17831197884889161</v>
      </c>
      <c r="AN20" s="156">
        <f t="shared" si="2"/>
        <v>0.15675455348314093</v>
      </c>
      <c r="AO20" s="156">
        <f t="shared" si="2"/>
        <v>0.12101473340981816</v>
      </c>
      <c r="AP20" s="176">
        <f t="shared" si="2"/>
        <v>0.15537683376690881</v>
      </c>
      <c r="AQ20" s="156">
        <f t="shared" si="2"/>
        <v>0.14304251021100267</v>
      </c>
      <c r="AR20" s="156">
        <f t="shared" si="2"/>
        <v>0.16168429482753877</v>
      </c>
      <c r="AS20" s="156">
        <f t="shared" si="2"/>
        <v>0.13397238463144712</v>
      </c>
      <c r="AT20" s="156">
        <f t="shared" si="2"/>
        <v>0.16094020374223184</v>
      </c>
      <c r="AU20" s="176">
        <f t="shared" si="2"/>
        <v>0.1498580509093157</v>
      </c>
      <c r="AV20" s="156">
        <f t="shared" si="2"/>
        <v>0.50652369628616034</v>
      </c>
      <c r="AW20" s="156">
        <f t="shared" si="2"/>
        <v>0.60928624200761217</v>
      </c>
      <c r="AX20" s="156">
        <f t="shared" si="2"/>
        <v>0.61947202212578678</v>
      </c>
      <c r="AY20" s="156">
        <f t="shared" si="2"/>
        <v>0.67010050033464297</v>
      </c>
      <c r="AZ20" s="176">
        <f t="shared" si="2"/>
        <v>0.60379503994561778</v>
      </c>
      <c r="BA20" s="156">
        <f t="shared" ref="BA20:BJ20" si="3">+BA19/AV19-1</f>
        <v>0.17177465066349717</v>
      </c>
      <c r="BB20" s="156">
        <f t="shared" si="3"/>
        <v>8.1067166621142661E-2</v>
      </c>
      <c r="BC20" s="156">
        <f t="shared" si="3"/>
        <v>8.0272087682591753E-2</v>
      </c>
      <c r="BD20" s="156">
        <f t="shared" si="3"/>
        <v>8.1004083405402438E-2</v>
      </c>
      <c r="BE20" s="176">
        <f t="shared" si="3"/>
        <v>0.10057333121959289</v>
      </c>
      <c r="BF20" s="156">
        <f t="shared" si="3"/>
        <v>9.3332569346795902E-2</v>
      </c>
      <c r="BG20" s="156">
        <f t="shared" si="3"/>
        <v>9.2559797231749119E-2</v>
      </c>
      <c r="BH20" s="156">
        <f t="shared" si="3"/>
        <v>9.1410103176579049E-2</v>
      </c>
      <c r="BI20" s="156">
        <f t="shared" si="3"/>
        <v>9.2308691036337542E-2</v>
      </c>
      <c r="BJ20" s="176">
        <f t="shared" si="3"/>
        <v>9.2376849961364416E-2</v>
      </c>
      <c r="BK20" s="179"/>
      <c r="BL20" s="176"/>
      <c r="BM20" s="179"/>
      <c r="BN20" s="207"/>
      <c r="BO20" s="170"/>
      <c r="BP20" s="179"/>
      <c r="BQ20" s="144"/>
      <c r="BR20" s="194"/>
      <c r="BS20" s="194"/>
      <c r="BZ20" s="144"/>
      <c r="CA20" s="202"/>
      <c r="CB20" s="202"/>
    </row>
    <row r="21" spans="1:80" ht="12.75" customHeight="1">
      <c r="A21" s="203"/>
      <c r="B21" s="153" t="s">
        <v>89</v>
      </c>
      <c r="C21" s="181">
        <f t="shared" ref="C21:AM21" si="4">+C19/C15</f>
        <v>0.29015873015873017</v>
      </c>
      <c r="D21" s="181">
        <f t="shared" si="4"/>
        <v>0.28778583379810374</v>
      </c>
      <c r="E21" s="181">
        <f t="shared" si="4"/>
        <v>0.26427406199021208</v>
      </c>
      <c r="F21" s="181">
        <f t="shared" si="4"/>
        <v>0.26035502958579881</v>
      </c>
      <c r="G21" s="176">
        <f t="shared" si="4"/>
        <v>0.27497877158222472</v>
      </c>
      <c r="H21" s="181">
        <f t="shared" si="4"/>
        <v>0.28384527872582477</v>
      </c>
      <c r="I21" s="181">
        <f t="shared" si="4"/>
        <v>0.27630180658873538</v>
      </c>
      <c r="J21" s="181">
        <f t="shared" si="4"/>
        <v>0.26946107784431139</v>
      </c>
      <c r="K21" s="181">
        <f t="shared" si="4"/>
        <v>0.27015355086372361</v>
      </c>
      <c r="L21" s="176">
        <f t="shared" si="4"/>
        <v>0.27458592132505177</v>
      </c>
      <c r="M21" s="156">
        <f t="shared" si="4"/>
        <v>0.29699307720763091</v>
      </c>
      <c r="N21" s="156">
        <f t="shared" si="4"/>
        <v>0.27481901600036884</v>
      </c>
      <c r="O21" s="156">
        <f t="shared" si="4"/>
        <v>0.25912947251936558</v>
      </c>
      <c r="P21" s="156">
        <f t="shared" si="4"/>
        <v>0.26412513185654002</v>
      </c>
      <c r="Q21" s="176">
        <f t="shared" si="4"/>
        <v>0.27273735427438695</v>
      </c>
      <c r="R21" s="156">
        <f t="shared" si="4"/>
        <v>0.31282434936645725</v>
      </c>
      <c r="S21" s="156">
        <f t="shared" si="4"/>
        <v>0.27088310072279526</v>
      </c>
      <c r="T21" s="156">
        <f t="shared" si="4"/>
        <v>0.26813850837727327</v>
      </c>
      <c r="U21" s="156">
        <f t="shared" si="4"/>
        <v>0.25090528272108442</v>
      </c>
      <c r="V21" s="176">
        <f t="shared" si="4"/>
        <v>0.2744303480592426</v>
      </c>
      <c r="W21" s="156">
        <f t="shared" si="4"/>
        <v>0.27840132502262727</v>
      </c>
      <c r="X21" s="156">
        <f t="shared" si="4"/>
        <v>0.25744088216175437</v>
      </c>
      <c r="Y21" s="156">
        <f t="shared" si="4"/>
        <v>0.27039217419087302</v>
      </c>
      <c r="Z21" s="156">
        <f t="shared" si="4"/>
        <v>0.25947923349599183</v>
      </c>
      <c r="AA21" s="176">
        <f t="shared" si="4"/>
        <v>0.266104741795408</v>
      </c>
      <c r="AB21" s="156">
        <f t="shared" si="4"/>
        <v>0.27187279053969754</v>
      </c>
      <c r="AC21" s="156">
        <f t="shared" si="4"/>
        <v>0.27315528808863432</v>
      </c>
      <c r="AD21" s="156">
        <f t="shared" si="4"/>
        <v>0.29232071103262142</v>
      </c>
      <c r="AE21" s="156">
        <f t="shared" si="4"/>
        <v>0.28886982469227901</v>
      </c>
      <c r="AF21" s="176">
        <f t="shared" si="4"/>
        <v>0.2825969777645953</v>
      </c>
      <c r="AG21" s="156">
        <f t="shared" si="4"/>
        <v>0.30992215560866843</v>
      </c>
      <c r="AH21" s="156">
        <f t="shared" si="4"/>
        <v>0.29015970881349051</v>
      </c>
      <c r="AI21" s="156">
        <f t="shared" si="4"/>
        <v>0.307773260541294</v>
      </c>
      <c r="AJ21" s="156">
        <f t="shared" si="4"/>
        <v>0.29235505047718874</v>
      </c>
      <c r="AK21" s="176">
        <f t="shared" si="4"/>
        <v>0.29965999419647321</v>
      </c>
      <c r="AL21" s="156">
        <f t="shared" si="4"/>
        <v>0.31455207439530625</v>
      </c>
      <c r="AM21" s="156">
        <f t="shared" si="4"/>
        <v>0.30145624905043072</v>
      </c>
      <c r="AN21" s="156">
        <f t="shared" ref="AN21:AS21" si="5">+AN19/AN15</f>
        <v>0.31233160368321722</v>
      </c>
      <c r="AO21" s="156">
        <f t="shared" si="5"/>
        <v>0.29561594866364654</v>
      </c>
      <c r="AP21" s="176">
        <f t="shared" si="5"/>
        <v>0.3056819201989121</v>
      </c>
      <c r="AQ21" s="156">
        <f t="shared" si="5"/>
        <v>0.32979515432558337</v>
      </c>
      <c r="AR21" s="156">
        <f t="shared" si="5"/>
        <v>0.31745879014623679</v>
      </c>
      <c r="AS21" s="156">
        <f t="shared" si="5"/>
        <v>0.31354919961315841</v>
      </c>
      <c r="AT21" s="156">
        <f t="shared" ref="AT21" si="6">+AT19/AT15</f>
        <v>0.30306236696728467</v>
      </c>
      <c r="AU21" s="176">
        <f>+AU19/AU15</f>
        <v>0.31531211616568833</v>
      </c>
      <c r="AV21" s="208">
        <f>CHOOSE(_Switch,AV22,AV23,AV24)</f>
        <v>0.28000000000000003</v>
      </c>
      <c r="AW21" s="208">
        <f>CHOOSE(_Switch,AW22,AW23,AW24)</f>
        <v>0.27800000000000002</v>
      </c>
      <c r="AX21" s="208">
        <f>CHOOSE(_Switch,AX22,AX23,AX24)</f>
        <v>0.27600000000000002</v>
      </c>
      <c r="AY21" s="208">
        <f>CHOOSE(_Switch,AY22,AY23,AY24)</f>
        <v>0.27400000000000002</v>
      </c>
      <c r="AZ21" s="176">
        <f>+AZ19/AZ15</f>
        <v>0.27682056907616598</v>
      </c>
      <c r="BA21" s="208">
        <f>CHOOSE(_Switch,BA22,BA23,BA24)</f>
        <v>0.27750000000000002</v>
      </c>
      <c r="BB21" s="208">
        <f>CHOOSE(_Switch,BB22,BB23,BB24)</f>
        <v>0.27550000000000002</v>
      </c>
      <c r="BC21" s="208">
        <f>CHOOSE(_Switch,BC22,BC23,BC24)</f>
        <v>0.27350000000000002</v>
      </c>
      <c r="BD21" s="208">
        <f>CHOOSE(_Switch,BD22,BD23,BD24)</f>
        <v>0.27150000000000002</v>
      </c>
      <c r="BE21" s="176">
        <f>+BE19/BE15</f>
        <v>0.27437697228230629</v>
      </c>
      <c r="BF21" s="208">
        <f>CHOOSE(_Switch,BF22,BF23,BF24)</f>
        <v>0.27750000000000002</v>
      </c>
      <c r="BG21" s="208">
        <f>CHOOSE(_Switch,BG22,BG23,BG24)</f>
        <v>0.27550000000000002</v>
      </c>
      <c r="BH21" s="208">
        <f>CHOOSE(_Switch,BH22,BH23,BH24)</f>
        <v>0.27350000000000002</v>
      </c>
      <c r="BI21" s="208">
        <f>CHOOSE(_Switch,BI22,BI23,BI24)</f>
        <v>0.27150000000000002</v>
      </c>
      <c r="BJ21" s="176">
        <f>+BJ19/BJ15</f>
        <v>0.274377892471662</v>
      </c>
      <c r="BK21" s="179"/>
      <c r="BL21" s="176">
        <f>+BL19/BL15</f>
        <v>0.27750953782987381</v>
      </c>
      <c r="BM21" s="179"/>
      <c r="BN21" s="1216"/>
      <c r="BO21" s="170"/>
      <c r="BP21" s="179"/>
      <c r="BQ21" s="144"/>
      <c r="BR21" s="194"/>
      <c r="BS21" s="194"/>
      <c r="BZ21" s="144"/>
      <c r="CA21" s="202"/>
      <c r="CB21" s="202"/>
    </row>
    <row r="22" spans="1:80" ht="12.75" customHeight="1" outlineLevel="1">
      <c r="A22" s="144"/>
      <c r="B22" s="209" t="s">
        <v>93</v>
      </c>
      <c r="C22" s="128"/>
      <c r="D22" s="128"/>
      <c r="E22" s="128"/>
      <c r="F22" s="128"/>
      <c r="G22" s="184"/>
      <c r="H22" s="128"/>
      <c r="I22" s="128"/>
      <c r="J22" s="128"/>
      <c r="K22" s="128"/>
      <c r="L22" s="184"/>
      <c r="M22" s="128"/>
      <c r="N22" s="128"/>
      <c r="O22" s="185"/>
      <c r="P22" s="185"/>
      <c r="Q22" s="184"/>
      <c r="R22" s="128"/>
      <c r="S22" s="128"/>
      <c r="T22" s="128"/>
      <c r="U22" s="181"/>
      <c r="V22" s="184"/>
      <c r="W22" s="128"/>
      <c r="X22" s="187"/>
      <c r="Y22" s="187"/>
      <c r="Z22" s="187"/>
      <c r="AA22" s="188"/>
      <c r="AB22" s="187"/>
      <c r="AC22" s="210"/>
      <c r="AD22" s="210"/>
      <c r="AE22" s="211"/>
      <c r="AF22" s="188"/>
      <c r="AG22" s="187"/>
      <c r="AH22" s="187"/>
      <c r="AI22" s="187"/>
      <c r="AJ22" s="187"/>
      <c r="AK22" s="188"/>
      <c r="AL22" s="211"/>
      <c r="AM22" s="211"/>
      <c r="AN22" s="211"/>
      <c r="AO22" s="211"/>
      <c r="AP22" s="188"/>
      <c r="AQ22" s="211"/>
      <c r="AR22" s="211"/>
      <c r="AS22" s="211"/>
      <c r="AT22" s="211"/>
      <c r="AU22" s="188"/>
      <c r="AV22" s="212">
        <f>+AV23+0</f>
        <v>0.28000000000000003</v>
      </c>
      <c r="AW22" s="212">
        <f t="shared" ref="AW22:AY22" si="7">+AW23+0</f>
        <v>0.27800000000000002</v>
      </c>
      <c r="AX22" s="212">
        <f t="shared" si="7"/>
        <v>0.27600000000000002</v>
      </c>
      <c r="AY22" s="212">
        <f t="shared" si="7"/>
        <v>0.27400000000000002</v>
      </c>
      <c r="AZ22" s="188"/>
      <c r="BA22" s="212">
        <f>+BA23+0</f>
        <v>0.27750000000000002</v>
      </c>
      <c r="BB22" s="212">
        <f t="shared" ref="BB22" si="8">+BB23+0</f>
        <v>0.27550000000000002</v>
      </c>
      <c r="BC22" s="212">
        <f t="shared" ref="BC22" si="9">+BC23+0</f>
        <v>0.27350000000000002</v>
      </c>
      <c r="BD22" s="212">
        <f t="shared" ref="BD22" si="10">+BD23+0</f>
        <v>0.27150000000000002</v>
      </c>
      <c r="BE22" s="188"/>
      <c r="BF22" s="212">
        <f>+BF23+0</f>
        <v>0.27750000000000002</v>
      </c>
      <c r="BG22" s="212">
        <f t="shared" ref="BG22" si="11">+BG23+0</f>
        <v>0.27550000000000002</v>
      </c>
      <c r="BH22" s="212">
        <f t="shared" ref="BH22" si="12">+BH23+0</f>
        <v>0.27350000000000002</v>
      </c>
      <c r="BI22" s="212">
        <f t="shared" ref="BI22" si="13">+BI23+0</f>
        <v>0.27150000000000002</v>
      </c>
      <c r="BJ22" s="188"/>
      <c r="BK22" s="189"/>
      <c r="BL22" s="188"/>
      <c r="BM22" s="189"/>
      <c r="BN22" s="189"/>
      <c r="BO22" s="170"/>
      <c r="BP22" s="189"/>
      <c r="BQ22" s="144"/>
      <c r="BR22" s="194"/>
      <c r="BS22" s="194"/>
      <c r="BZ22" s="144"/>
      <c r="CA22" s="202"/>
      <c r="CB22" s="202"/>
    </row>
    <row r="23" spans="1:80" ht="12.75" customHeight="1" outlineLevel="1">
      <c r="A23" s="144"/>
      <c r="B23" s="209" t="s">
        <v>94</v>
      </c>
      <c r="C23" s="128"/>
      <c r="D23" s="128"/>
      <c r="E23" s="128"/>
      <c r="F23" s="128"/>
      <c r="G23" s="184"/>
      <c r="H23" s="128"/>
      <c r="I23" s="128"/>
      <c r="J23" s="128"/>
      <c r="K23" s="128"/>
      <c r="L23" s="184"/>
      <c r="M23" s="128"/>
      <c r="N23" s="128"/>
      <c r="O23" s="185"/>
      <c r="P23" s="185"/>
      <c r="Q23" s="184"/>
      <c r="R23" s="128"/>
      <c r="S23" s="128"/>
      <c r="T23" s="128"/>
      <c r="U23" s="181"/>
      <c r="V23" s="184"/>
      <c r="W23" s="128"/>
      <c r="X23" s="187"/>
      <c r="Y23" s="187"/>
      <c r="Z23" s="187"/>
      <c r="AA23" s="188"/>
      <c r="AB23" s="187"/>
      <c r="AC23" s="210"/>
      <c r="AD23" s="210"/>
      <c r="AE23" s="211"/>
      <c r="AF23" s="188"/>
      <c r="AG23" s="187"/>
      <c r="AH23" s="187"/>
      <c r="AI23" s="187"/>
      <c r="AJ23" s="187"/>
      <c r="AK23" s="188"/>
      <c r="AL23" s="211"/>
      <c r="AM23" s="211"/>
      <c r="AN23" s="211"/>
      <c r="AO23" s="211"/>
      <c r="AP23" s="188"/>
      <c r="AQ23" s="211"/>
      <c r="AR23" s="211"/>
      <c r="AS23" s="211"/>
      <c r="AT23" s="211"/>
      <c r="AU23" s="188"/>
      <c r="AV23" s="212">
        <v>0.28000000000000003</v>
      </c>
      <c r="AW23" s="212">
        <f>+AV23-0.2%</f>
        <v>0.27800000000000002</v>
      </c>
      <c r="AX23" s="212">
        <f t="shared" ref="AX23:AY23" si="14">+AW23-0.2%</f>
        <v>0.27600000000000002</v>
      </c>
      <c r="AY23" s="212">
        <f t="shared" si="14"/>
        <v>0.27400000000000002</v>
      </c>
      <c r="AZ23" s="188"/>
      <c r="BA23" s="212">
        <f>+AV23-0.0025</f>
        <v>0.27750000000000002</v>
      </c>
      <c r="BB23" s="212">
        <f t="shared" ref="BB23:BD23" si="15">+AW23-0.0025</f>
        <v>0.27550000000000002</v>
      </c>
      <c r="BC23" s="212">
        <f t="shared" si="15"/>
        <v>0.27350000000000002</v>
      </c>
      <c r="BD23" s="212">
        <f t="shared" si="15"/>
        <v>0.27150000000000002</v>
      </c>
      <c r="BE23" s="188"/>
      <c r="BF23" s="212">
        <f>+BA21-0</f>
        <v>0.27750000000000002</v>
      </c>
      <c r="BG23" s="212">
        <f>+BB21-0</f>
        <v>0.27550000000000002</v>
      </c>
      <c r="BH23" s="212">
        <f>+BC21-0</f>
        <v>0.27350000000000002</v>
      </c>
      <c r="BI23" s="212">
        <f>+BD21-0</f>
        <v>0.27150000000000002</v>
      </c>
      <c r="BJ23" s="188"/>
      <c r="BK23" s="189"/>
      <c r="BL23" s="188"/>
      <c r="BM23" s="189"/>
      <c r="BN23" s="170"/>
      <c r="BO23" s="170"/>
      <c r="BP23" s="189"/>
      <c r="BQ23" s="144"/>
      <c r="BR23" s="194"/>
      <c r="BS23" s="194"/>
      <c r="BZ23" s="144"/>
      <c r="CA23" s="202"/>
      <c r="CB23" s="202"/>
    </row>
    <row r="24" spans="1:80" ht="12.75" customHeight="1" outlineLevel="1">
      <c r="A24" s="144"/>
      <c r="B24" s="209" t="s">
        <v>95</v>
      </c>
      <c r="C24" s="128"/>
      <c r="D24" s="128"/>
      <c r="E24" s="128"/>
      <c r="F24" s="128"/>
      <c r="G24" s="184"/>
      <c r="H24" s="128"/>
      <c r="I24" s="128"/>
      <c r="J24" s="128"/>
      <c r="K24" s="128"/>
      <c r="L24" s="184"/>
      <c r="M24" s="128"/>
      <c r="N24" s="128"/>
      <c r="O24" s="185"/>
      <c r="P24" s="185"/>
      <c r="Q24" s="184"/>
      <c r="R24" s="128"/>
      <c r="S24" s="128"/>
      <c r="T24" s="128"/>
      <c r="U24" s="181"/>
      <c r="V24" s="184"/>
      <c r="W24" s="128"/>
      <c r="X24" s="187"/>
      <c r="Y24" s="187"/>
      <c r="Z24" s="187"/>
      <c r="AA24" s="188"/>
      <c r="AB24" s="187"/>
      <c r="AC24" s="210"/>
      <c r="AD24" s="210"/>
      <c r="AE24" s="211"/>
      <c r="AF24" s="188"/>
      <c r="AG24" s="187"/>
      <c r="AH24" s="187"/>
      <c r="AI24" s="187"/>
      <c r="AJ24" s="187"/>
      <c r="AK24" s="188"/>
      <c r="AL24" s="211"/>
      <c r="AM24" s="211"/>
      <c r="AN24" s="211"/>
      <c r="AO24" s="211"/>
      <c r="AP24" s="188"/>
      <c r="AQ24" s="211"/>
      <c r="AR24" s="211"/>
      <c r="AS24" s="211"/>
      <c r="AT24" s="211"/>
      <c r="AU24" s="188"/>
      <c r="AV24" s="212">
        <f>+AV23+0.005</f>
        <v>0.28500000000000003</v>
      </c>
      <c r="AW24" s="212">
        <f t="shared" ref="AW24:AY24" si="16">+AW23+0.005</f>
        <v>0.28300000000000003</v>
      </c>
      <c r="AX24" s="212">
        <f t="shared" si="16"/>
        <v>0.28100000000000003</v>
      </c>
      <c r="AY24" s="212">
        <f t="shared" si="16"/>
        <v>0.27900000000000003</v>
      </c>
      <c r="AZ24" s="188"/>
      <c r="BA24" s="212">
        <f>+BA23+0.005</f>
        <v>0.28250000000000003</v>
      </c>
      <c r="BB24" s="212">
        <f t="shared" ref="BB24" si="17">+BB23+0.005</f>
        <v>0.28050000000000003</v>
      </c>
      <c r="BC24" s="212">
        <f t="shared" ref="BC24" si="18">+BC23+0.005</f>
        <v>0.27850000000000003</v>
      </c>
      <c r="BD24" s="212">
        <f t="shared" ref="BD24" si="19">+BD23+0.005</f>
        <v>0.27650000000000002</v>
      </c>
      <c r="BE24" s="188"/>
      <c r="BF24" s="212">
        <f>+BF23+0.005</f>
        <v>0.28250000000000003</v>
      </c>
      <c r="BG24" s="212">
        <f t="shared" ref="BG24" si="20">+BG23+0.005</f>
        <v>0.28050000000000003</v>
      </c>
      <c r="BH24" s="212">
        <f t="shared" ref="BH24" si="21">+BH23+0.005</f>
        <v>0.27850000000000003</v>
      </c>
      <c r="BI24" s="212">
        <f t="shared" ref="BI24" si="22">+BI23+0.005</f>
        <v>0.27650000000000002</v>
      </c>
      <c r="BJ24" s="188"/>
      <c r="BK24" s="189"/>
      <c r="BL24" s="188"/>
      <c r="BM24" s="189"/>
      <c r="BN24" s="189"/>
      <c r="BO24" s="170"/>
      <c r="BP24" s="189"/>
      <c r="BQ24" s="144"/>
      <c r="BR24" s="194"/>
      <c r="BS24" s="194"/>
      <c r="BZ24" s="144"/>
      <c r="CA24" s="202"/>
      <c r="CB24" s="202"/>
    </row>
    <row r="25" spans="1:80" ht="12.75" customHeight="1">
      <c r="A25" s="174"/>
      <c r="B25" s="206" t="s">
        <v>96</v>
      </c>
      <c r="C25" s="166">
        <v>27.8</v>
      </c>
      <c r="D25" s="166">
        <v>25.7</v>
      </c>
      <c r="E25" s="166">
        <v>25.9</v>
      </c>
      <c r="F25" s="166">
        <v>25.9</v>
      </c>
      <c r="G25" s="169">
        <f>+SUM(C25:F25)</f>
        <v>105.30000000000001</v>
      </c>
      <c r="H25" s="166">
        <v>28.1</v>
      </c>
      <c r="I25" s="166">
        <v>25.9</v>
      </c>
      <c r="J25" s="166">
        <v>33.200000000000003</v>
      </c>
      <c r="K25" s="166">
        <v>30.4</v>
      </c>
      <c r="L25" s="169">
        <f>+SUM(H25:K25)</f>
        <v>117.6</v>
      </c>
      <c r="M25" s="166">
        <v>31.5</v>
      </c>
      <c r="N25" s="166">
        <v>31.5</v>
      </c>
      <c r="O25" s="170">
        <v>32.299999999999997</v>
      </c>
      <c r="P25" s="170">
        <v>32.9</v>
      </c>
      <c r="Q25" s="169">
        <f>+SUM(M25:P25)</f>
        <v>128.19999999999999</v>
      </c>
      <c r="R25" s="166">
        <f>39.009-0.452</f>
        <v>38.557000000000002</v>
      </c>
      <c r="S25" s="166">
        <f>40.417-1.347</f>
        <v>39.07</v>
      </c>
      <c r="T25" s="166">
        <v>39.823</v>
      </c>
      <c r="U25" s="170">
        <v>38.374000000000002</v>
      </c>
      <c r="V25" s="169">
        <f>+SUM(R25:U25)</f>
        <v>155.82400000000001</v>
      </c>
      <c r="W25" s="166">
        <f>50.56-2.011</f>
        <v>48.548999999999999</v>
      </c>
      <c r="X25" s="170">
        <f>49.268-1.942</f>
        <v>47.326000000000001</v>
      </c>
      <c r="Y25" s="170">
        <v>46.076000000000001</v>
      </c>
      <c r="Z25" s="170">
        <v>48.927999999999997</v>
      </c>
      <c r="AA25" s="169">
        <f>+SUM(W25:Z25)</f>
        <v>190.87899999999999</v>
      </c>
      <c r="AB25" s="170">
        <f>60.369-6.438</f>
        <v>53.930999999999997</v>
      </c>
      <c r="AC25" s="213">
        <v>53.472999999999999</v>
      </c>
      <c r="AD25" s="213">
        <v>57.954999999999998</v>
      </c>
      <c r="AE25" s="170">
        <v>60.384</v>
      </c>
      <c r="AF25" s="169">
        <f>+SUM(AB25:AE25)</f>
        <v>225.74299999999999</v>
      </c>
      <c r="AG25" s="170">
        <v>62.414000000000001</v>
      </c>
      <c r="AH25" s="170">
        <v>64.643000000000001</v>
      </c>
      <c r="AI25" s="170">
        <v>61.453000000000003</v>
      </c>
      <c r="AJ25" s="170">
        <v>67.751000000000005</v>
      </c>
      <c r="AK25" s="169">
        <f>+SUM(AG25:AJ25)</f>
        <v>256.26099999999997</v>
      </c>
      <c r="AL25" s="170">
        <v>71.215000000000003</v>
      </c>
      <c r="AM25" s="170">
        <v>70.111999999999995</v>
      </c>
      <c r="AN25" s="170">
        <f>72.162-1.769</f>
        <v>70.393000000000001</v>
      </c>
      <c r="AO25" s="170">
        <f>74.771-1.126</f>
        <v>73.644999999999996</v>
      </c>
      <c r="AP25" s="169">
        <f>+SUM(AL25:AO25)</f>
        <v>285.36500000000001</v>
      </c>
      <c r="AQ25" s="170">
        <f>75.924-3.263</f>
        <v>72.661000000000001</v>
      </c>
      <c r="AR25" s="170">
        <f>78.941-4.976</f>
        <v>73.965000000000003</v>
      </c>
      <c r="AS25" s="170">
        <f>79.482-2.609</f>
        <v>76.873000000000005</v>
      </c>
      <c r="AT25" s="170">
        <f>84.318-4.018</f>
        <v>80.3</v>
      </c>
      <c r="AU25" s="169">
        <f>+SUM(AQ25:AT25)</f>
        <v>303.79900000000004</v>
      </c>
      <c r="AV25" s="170">
        <f>+AV15*AV27</f>
        <v>138.89158478472265</v>
      </c>
      <c r="AW25" s="170">
        <f>+AW15*AW27</f>
        <v>159.74268443879137</v>
      </c>
      <c r="AX25" s="170">
        <f>+AX15*AX27</f>
        <v>164.67747068144575</v>
      </c>
      <c r="AY25" s="170">
        <f>+AY15*AY27</f>
        <v>167.10401452000863</v>
      </c>
      <c r="AZ25" s="169">
        <f>+SUM(AV25:AY25)</f>
        <v>630.41575442496844</v>
      </c>
      <c r="BA25" s="170">
        <f>+BA15*BA27</f>
        <v>154.35303731255942</v>
      </c>
      <c r="BB25" s="170">
        <f>+BB15*BB27</f>
        <v>163.63406579071739</v>
      </c>
      <c r="BC25" s="170">
        <f>+BC15*BC27</f>
        <v>168.40663586077127</v>
      </c>
      <c r="BD25" s="170">
        <f>+BD15*BD27</f>
        <v>170.83784756930496</v>
      </c>
      <c r="BE25" s="169">
        <f>+SUM(BA25:BD25)</f>
        <v>657.23158653335304</v>
      </c>
      <c r="BF25" s="170">
        <f>+BF15*BF27</f>
        <v>155.81920009533894</v>
      </c>
      <c r="BG25" s="170">
        <f>+BG15*BG27</f>
        <v>164.8490925139794</v>
      </c>
      <c r="BH25" s="170">
        <f>+BH15*BH27</f>
        <v>169.2422322306883</v>
      </c>
      <c r="BI25" s="170">
        <f>+BI15*BI27</f>
        <v>171.57886037000884</v>
      </c>
      <c r="BJ25" s="169">
        <f>+SUM(BF25:BI25)</f>
        <v>661.48938521001537</v>
      </c>
      <c r="BK25" s="173"/>
      <c r="BL25" s="169">
        <f>580.589-0.2*BL105</f>
        <v>556.12200000000007</v>
      </c>
      <c r="BM25" s="173"/>
      <c r="BN25" s="173"/>
      <c r="BO25" s="170"/>
      <c r="BP25" s="173"/>
      <c r="BQ25" s="174"/>
      <c r="BR25" s="194"/>
      <c r="BS25" s="194"/>
      <c r="BZ25" s="174"/>
      <c r="CA25" s="202"/>
      <c r="CB25" s="202"/>
    </row>
    <row r="26" spans="1:80" ht="12.75" customHeight="1">
      <c r="A26" s="144"/>
      <c r="B26" s="153" t="s">
        <v>16</v>
      </c>
      <c r="C26" s="157"/>
      <c r="D26" s="157"/>
      <c r="E26" s="157"/>
      <c r="F26" s="157"/>
      <c r="G26" s="176"/>
      <c r="H26" s="156">
        <f>+H25/C25-1</f>
        <v>1.0791366906474753E-2</v>
      </c>
      <c r="I26" s="156">
        <f>+I25/D25-1</f>
        <v>7.7821011673151474E-3</v>
      </c>
      <c r="J26" s="156">
        <f>+J25/E25-1</f>
        <v>0.28185328185328196</v>
      </c>
      <c r="K26" s="156">
        <f>+K25/F25-1</f>
        <v>0.17374517374517384</v>
      </c>
      <c r="L26" s="176">
        <f t="shared" ref="L26:AZ26" si="23">+L25/G25-1</f>
        <v>0.11680911680911654</v>
      </c>
      <c r="M26" s="156">
        <f t="shared" si="23"/>
        <v>0.12099644128113862</v>
      </c>
      <c r="N26" s="156">
        <f t="shared" si="23"/>
        <v>0.21621621621621623</v>
      </c>
      <c r="O26" s="156">
        <f t="shared" si="23"/>
        <v>-2.7108433734939874E-2</v>
      </c>
      <c r="P26" s="156">
        <f t="shared" si="23"/>
        <v>8.2236842105263053E-2</v>
      </c>
      <c r="Q26" s="176">
        <f t="shared" si="23"/>
        <v>9.0136054421768641E-2</v>
      </c>
      <c r="R26" s="156">
        <f t="shared" si="23"/>
        <v>0.22403174603174603</v>
      </c>
      <c r="S26" s="156">
        <f t="shared" si="23"/>
        <v>0.24031746031746026</v>
      </c>
      <c r="T26" s="156">
        <f t="shared" si="23"/>
        <v>0.23291021671826639</v>
      </c>
      <c r="U26" s="156">
        <f t="shared" si="23"/>
        <v>0.16638297872340435</v>
      </c>
      <c r="V26" s="176">
        <f t="shared" si="23"/>
        <v>0.21547581903276147</v>
      </c>
      <c r="W26" s="156">
        <f t="shared" si="23"/>
        <v>0.25914879269652724</v>
      </c>
      <c r="X26" s="156">
        <f t="shared" si="23"/>
        <v>0.21131302789864348</v>
      </c>
      <c r="Y26" s="156">
        <f t="shared" si="23"/>
        <v>0.15701981267106957</v>
      </c>
      <c r="Z26" s="156">
        <f t="shared" si="23"/>
        <v>0.27502996820764047</v>
      </c>
      <c r="AA26" s="176">
        <f t="shared" si="23"/>
        <v>0.22496534551802028</v>
      </c>
      <c r="AB26" s="156">
        <f t="shared" si="23"/>
        <v>0.11085707223629737</v>
      </c>
      <c r="AC26" s="214">
        <f t="shared" si="23"/>
        <v>0.12988632041583914</v>
      </c>
      <c r="AD26" s="214">
        <f t="shared" si="23"/>
        <v>0.25781317822727656</v>
      </c>
      <c r="AE26" s="156">
        <f t="shared" si="23"/>
        <v>0.23413996075866583</v>
      </c>
      <c r="AF26" s="176">
        <f t="shared" si="23"/>
        <v>0.18264974145924917</v>
      </c>
      <c r="AG26" s="156">
        <f t="shared" si="23"/>
        <v>0.15729357883221162</v>
      </c>
      <c r="AH26" s="156">
        <f t="shared" si="23"/>
        <v>0.20889046808669809</v>
      </c>
      <c r="AI26" s="156">
        <f t="shared" si="23"/>
        <v>6.0357173669226105E-2</v>
      </c>
      <c r="AJ26" s="156">
        <f t="shared" si="23"/>
        <v>0.12200251722310562</v>
      </c>
      <c r="AK26" s="176">
        <f t="shared" si="23"/>
        <v>0.13518913100295449</v>
      </c>
      <c r="AL26" s="156">
        <f t="shared" si="23"/>
        <v>0.14101002980100619</v>
      </c>
      <c r="AM26" s="156">
        <f t="shared" si="23"/>
        <v>8.4603127948888357E-2</v>
      </c>
      <c r="AN26" s="156">
        <f t="shared" si="23"/>
        <v>0.14547703122711653</v>
      </c>
      <c r="AO26" s="156">
        <f t="shared" si="23"/>
        <v>8.6995025903676471E-2</v>
      </c>
      <c r="AP26" s="176">
        <f t="shared" si="23"/>
        <v>0.11357171009244493</v>
      </c>
      <c r="AQ26" s="156">
        <f t="shared" si="23"/>
        <v>2.030471108614762E-2</v>
      </c>
      <c r="AR26" s="1239">
        <f t="shared" si="23"/>
        <v>5.4954929256047613E-2</v>
      </c>
      <c r="AS26" s="156">
        <f t="shared" si="23"/>
        <v>9.2054607702470426E-2</v>
      </c>
      <c r="AT26" s="156">
        <f t="shared" si="23"/>
        <v>9.0365944734876802E-2</v>
      </c>
      <c r="AU26" s="176">
        <f t="shared" si="23"/>
        <v>6.4597971019571432E-2</v>
      </c>
      <c r="AV26" s="156">
        <f t="shared" si="23"/>
        <v>0.9115011462094198</v>
      </c>
      <c r="AW26" s="156">
        <f t="shared" si="23"/>
        <v>1.1597064076088874</v>
      </c>
      <c r="AX26" s="156">
        <f t="shared" si="23"/>
        <v>1.1422016921603912</v>
      </c>
      <c r="AY26" s="156">
        <f t="shared" si="23"/>
        <v>1.080996444831988</v>
      </c>
      <c r="AZ26" s="176">
        <f t="shared" si="23"/>
        <v>1.0751080629790368</v>
      </c>
      <c r="BA26" s="156">
        <f t="shared" ref="BA26:BJ26" si="24">+BA25/AV25-1</f>
        <v>0.11132029742335736</v>
      </c>
      <c r="BB26" s="156">
        <f t="shared" si="24"/>
        <v>2.4360310242670824E-2</v>
      </c>
      <c r="BC26" s="156">
        <f t="shared" si="24"/>
        <v>2.2645266312957046E-2</v>
      </c>
      <c r="BD26" s="156">
        <f t="shared" si="24"/>
        <v>2.2344364736068378E-2</v>
      </c>
      <c r="BE26" s="176">
        <f t="shared" si="24"/>
        <v>4.2536741698095071E-2</v>
      </c>
      <c r="BF26" s="156">
        <f t="shared" si="24"/>
        <v>9.4987621125368626E-3</v>
      </c>
      <c r="BG26" s="156">
        <f t="shared" si="24"/>
        <v>7.4252675773269772E-3</v>
      </c>
      <c r="BH26" s="156">
        <f t="shared" si="24"/>
        <v>4.9617781724935472E-3</v>
      </c>
      <c r="BI26" s="156">
        <f t="shared" si="24"/>
        <v>4.3375212884444458E-3</v>
      </c>
      <c r="BJ26" s="176">
        <f t="shared" si="24"/>
        <v>6.4783841250244389E-3</v>
      </c>
      <c r="BK26" s="179"/>
      <c r="BL26" s="176"/>
      <c r="BM26" s="179"/>
      <c r="BN26" s="179"/>
      <c r="BO26" s="170"/>
      <c r="BP26" s="179"/>
      <c r="BQ26" s="144"/>
      <c r="BR26" s="194"/>
      <c r="BS26" s="194"/>
      <c r="BZ26" s="144"/>
      <c r="CA26" s="202"/>
      <c r="CB26" s="202"/>
    </row>
    <row r="27" spans="1:80" ht="12.75" customHeight="1">
      <c r="A27" s="144"/>
      <c r="B27" s="153" t="s">
        <v>89</v>
      </c>
      <c r="C27" s="181">
        <f t="shared" ref="C27:AM27" si="25">+C25/C15</f>
        <v>0.1765079365079365</v>
      </c>
      <c r="D27" s="181">
        <f t="shared" si="25"/>
        <v>0.14333519241494699</v>
      </c>
      <c r="E27" s="181">
        <f t="shared" si="25"/>
        <v>0.14083741163675909</v>
      </c>
      <c r="F27" s="181">
        <f t="shared" si="25"/>
        <v>0.13932221624529315</v>
      </c>
      <c r="G27" s="176">
        <f t="shared" si="25"/>
        <v>0.14902349278233798</v>
      </c>
      <c r="H27" s="181">
        <f t="shared" si="25"/>
        <v>0.15984072810011377</v>
      </c>
      <c r="I27" s="181">
        <f t="shared" si="25"/>
        <v>0.13761955366631243</v>
      </c>
      <c r="J27" s="181">
        <f t="shared" si="25"/>
        <v>0.16566866267465072</v>
      </c>
      <c r="K27" s="181">
        <f t="shared" si="25"/>
        <v>0.14587332053742802</v>
      </c>
      <c r="L27" s="176">
        <f t="shared" si="25"/>
        <v>0.15217391304347827</v>
      </c>
      <c r="M27" s="156">
        <f t="shared" si="25"/>
        <v>0.16646409131744436</v>
      </c>
      <c r="N27" s="156">
        <f t="shared" si="25"/>
        <v>0.14524830543643655</v>
      </c>
      <c r="O27" s="156">
        <f t="shared" si="25"/>
        <v>0.14893028402803393</v>
      </c>
      <c r="P27" s="156">
        <f t="shared" si="25"/>
        <v>0.1355650052742616</v>
      </c>
      <c r="Q27" s="176">
        <f t="shared" si="25"/>
        <v>0.14809372646326305</v>
      </c>
      <c r="R27" s="156">
        <f t="shared" si="25"/>
        <v>0.16577880394357233</v>
      </c>
      <c r="S27" s="156">
        <f t="shared" si="25"/>
        <v>0.15005107958429664</v>
      </c>
      <c r="T27" s="156">
        <f t="shared" si="25"/>
        <v>0.15405594649067497</v>
      </c>
      <c r="U27" s="156">
        <f t="shared" si="25"/>
        <v>0.1415043549445768</v>
      </c>
      <c r="V27" s="176">
        <f t="shared" si="25"/>
        <v>0.15237394904570711</v>
      </c>
      <c r="W27" s="156">
        <f t="shared" si="25"/>
        <v>0.17789967790517439</v>
      </c>
      <c r="X27" s="156">
        <f t="shared" si="25"/>
        <v>0.15939671344899245</v>
      </c>
      <c r="Y27" s="156">
        <f t="shared" si="25"/>
        <v>0.15661135394927364</v>
      </c>
      <c r="Z27" s="156">
        <f t="shared" si="25"/>
        <v>0.15853698051337881</v>
      </c>
      <c r="AA27" s="176">
        <f t="shared" si="25"/>
        <v>0.16277770766034813</v>
      </c>
      <c r="AB27" s="156">
        <f t="shared" si="25"/>
        <v>0.18691514286110381</v>
      </c>
      <c r="AC27" s="214">
        <f t="shared" si="25"/>
        <v>0.16138456384548755</v>
      </c>
      <c r="AD27" s="214">
        <f t="shared" si="25"/>
        <v>0.15230594165306674</v>
      </c>
      <c r="AE27" s="214">
        <f t="shared" si="25"/>
        <v>0.15015292801193586</v>
      </c>
      <c r="AF27" s="176">
        <f t="shared" si="25"/>
        <v>0.16095321481485705</v>
      </c>
      <c r="AG27" s="156">
        <f t="shared" si="25"/>
        <v>0.16667512317573072</v>
      </c>
      <c r="AH27" s="156">
        <f t="shared" si="25"/>
        <v>0.15258730166223688</v>
      </c>
      <c r="AI27" s="156">
        <f t="shared" si="25"/>
        <v>0.14276454872807529</v>
      </c>
      <c r="AJ27" s="156">
        <f t="shared" si="25"/>
        <v>0.14950295139846639</v>
      </c>
      <c r="AK27" s="176">
        <f t="shared" si="25"/>
        <v>0.15237885137738622</v>
      </c>
      <c r="AL27" s="156">
        <f t="shared" si="25"/>
        <v>0.16515155028872244</v>
      </c>
      <c r="AM27" s="156">
        <f t="shared" si="25"/>
        <v>0.14592044222352182</v>
      </c>
      <c r="AN27" s="156">
        <f t="shared" ref="AN27:AS27" si="26">+AN25/AN15</f>
        <v>0.1434665286207501</v>
      </c>
      <c r="AO27" s="156">
        <f t="shared" si="26"/>
        <v>0.14658288416677945</v>
      </c>
      <c r="AP27" s="176">
        <f t="shared" si="26"/>
        <v>0.1498166961629307</v>
      </c>
      <c r="AQ27" s="156">
        <f t="shared" si="26"/>
        <v>0.15456169832592373</v>
      </c>
      <c r="AR27" s="1239">
        <f t="shared" si="26"/>
        <v>0.13954844150625154</v>
      </c>
      <c r="AS27" s="156">
        <f t="shared" si="26"/>
        <v>0.13870184327140983</v>
      </c>
      <c r="AT27" s="156">
        <f t="shared" ref="AT27" si="27">+AT25/AT15</f>
        <v>0.14113991130859369</v>
      </c>
      <c r="AU27" s="176">
        <f>+AU25/AU15</f>
        <v>0.14307788963656781</v>
      </c>
      <c r="AV27" s="208">
        <f>CHOOSE(_Switch,AV28,AV29,AV30)</f>
        <v>0.16650000000000001</v>
      </c>
      <c r="AW27" s="208">
        <f>CHOOSE(_Switch,AW28,AW29,AW30)</f>
        <v>0.16400000000000001</v>
      </c>
      <c r="AX27" s="208">
        <f>CHOOSE(_Switch,AX28,AX29,AX30)</f>
        <v>0.1615</v>
      </c>
      <c r="AY27" s="208">
        <f>CHOOSE(_Switch,AY28,AY29,AY30)</f>
        <v>0.159</v>
      </c>
      <c r="AZ27" s="176">
        <f>+AZ25/AZ15</f>
        <v>0.16252571134520741</v>
      </c>
      <c r="BA27" s="208">
        <f>CHOOSE(_Switch,BA28,BA29,BA30)</f>
        <v>0.1565</v>
      </c>
      <c r="BB27" s="208">
        <f>CHOOSE(_Switch,BB28,BB29,BB30)</f>
        <v>0.154</v>
      </c>
      <c r="BC27" s="208">
        <f>CHOOSE(_Switch,BC28,BC29,BC30)</f>
        <v>0.1515</v>
      </c>
      <c r="BD27" s="208">
        <f>CHOOSE(_Switch,BD28,BD29,BD30)</f>
        <v>0.14899999999999999</v>
      </c>
      <c r="BE27" s="176">
        <f>+BE25/BE15</f>
        <v>0.1525962153528829</v>
      </c>
      <c r="BF27" s="208">
        <f>CHOOSE(_Switch,BF28,BF29,BF30)</f>
        <v>0.14449999999999999</v>
      </c>
      <c r="BG27" s="208">
        <f>CHOOSE(_Switch,BG28,BG29,BG30)</f>
        <v>0.14199999999999999</v>
      </c>
      <c r="BH27" s="208">
        <f>CHOOSE(_Switch,BH28,BH29,BH30)</f>
        <v>0.13949999999999999</v>
      </c>
      <c r="BI27" s="208">
        <f>CHOOSE(_Switch,BI28,BI29,BI30)</f>
        <v>0.13699999999999998</v>
      </c>
      <c r="BJ27" s="176">
        <f>+BJ25/BJ15</f>
        <v>0.1405973655895775</v>
      </c>
      <c r="BK27" s="179"/>
      <c r="BL27" s="176">
        <f>+BL25/BL15</f>
        <v>0.16769513199777583</v>
      </c>
      <c r="BM27" s="179"/>
      <c r="BN27" s="179"/>
      <c r="BO27" s="170"/>
      <c r="BP27" s="179"/>
      <c r="BQ27" s="144"/>
      <c r="BR27" s="194"/>
      <c r="BS27" s="194"/>
      <c r="BZ27" s="144"/>
      <c r="CA27" s="202"/>
      <c r="CB27" s="202"/>
    </row>
    <row r="28" spans="1:80" ht="12.75" customHeight="1" outlineLevel="1">
      <c r="A28" s="144"/>
      <c r="B28" s="209" t="s">
        <v>93</v>
      </c>
      <c r="C28" s="128"/>
      <c r="D28" s="128"/>
      <c r="E28" s="128"/>
      <c r="F28" s="128"/>
      <c r="G28" s="184"/>
      <c r="H28" s="128"/>
      <c r="I28" s="128"/>
      <c r="J28" s="128"/>
      <c r="K28" s="128"/>
      <c r="L28" s="184"/>
      <c r="M28" s="128"/>
      <c r="N28" s="128"/>
      <c r="O28" s="185"/>
      <c r="P28" s="185"/>
      <c r="Q28" s="184"/>
      <c r="R28" s="128"/>
      <c r="S28" s="128"/>
      <c r="T28" s="128"/>
      <c r="U28" s="181"/>
      <c r="V28" s="184"/>
      <c r="W28" s="128"/>
      <c r="X28" s="187"/>
      <c r="Y28" s="187"/>
      <c r="Z28" s="187"/>
      <c r="AA28" s="188"/>
      <c r="AB28" s="187"/>
      <c r="AC28" s="210"/>
      <c r="AD28" s="210"/>
      <c r="AE28" s="211"/>
      <c r="AF28" s="188"/>
      <c r="AG28" s="187"/>
      <c r="AH28" s="187"/>
      <c r="AI28" s="187"/>
      <c r="AJ28" s="187"/>
      <c r="AK28" s="188"/>
      <c r="AL28" s="211"/>
      <c r="AM28" s="211"/>
      <c r="AN28" s="211"/>
      <c r="AO28" s="211"/>
      <c r="AP28" s="188"/>
      <c r="AQ28" s="211"/>
      <c r="AR28" s="187"/>
      <c r="AS28" s="211"/>
      <c r="AT28" s="211"/>
      <c r="AU28" s="188"/>
      <c r="AV28" s="212">
        <f>+AV29-0.0025</f>
        <v>0.16400000000000001</v>
      </c>
      <c r="AW28" s="212">
        <f t="shared" ref="AW28:AY28" si="28">+AW29-0.0025</f>
        <v>0.1615</v>
      </c>
      <c r="AX28" s="212">
        <f t="shared" si="28"/>
        <v>0.159</v>
      </c>
      <c r="AY28" s="212">
        <f t="shared" si="28"/>
        <v>0.1565</v>
      </c>
      <c r="AZ28" s="188"/>
      <c r="BA28" s="212">
        <f>+BA29-0.0025</f>
        <v>0.154</v>
      </c>
      <c r="BB28" s="212">
        <f t="shared" ref="BB28:BD28" si="29">+BB29-0.0025</f>
        <v>0.1515</v>
      </c>
      <c r="BC28" s="212">
        <f t="shared" si="29"/>
        <v>0.14899999999999999</v>
      </c>
      <c r="BD28" s="212">
        <f t="shared" si="29"/>
        <v>0.14649999999999999</v>
      </c>
      <c r="BE28" s="188"/>
      <c r="BF28" s="212">
        <f>+BF29-0.002</f>
        <v>0.14249999999999999</v>
      </c>
      <c r="BG28" s="212">
        <f t="shared" ref="BG28" si="30">+BG29-0.002</f>
        <v>0.13999999999999999</v>
      </c>
      <c r="BH28" s="212">
        <f t="shared" ref="BH28" si="31">+BH29-0.002</f>
        <v>0.13749999999999998</v>
      </c>
      <c r="BI28" s="212">
        <f t="shared" ref="BI28" si="32">+BI29-0.002</f>
        <v>0.13499999999999998</v>
      </c>
      <c r="BJ28" s="188"/>
      <c r="BK28" s="189"/>
      <c r="BL28" s="188"/>
      <c r="BM28" s="189"/>
      <c r="BN28" s="189"/>
      <c r="BO28" s="170"/>
      <c r="BP28" s="189"/>
      <c r="BQ28" s="144"/>
      <c r="BR28" s="194"/>
      <c r="BS28" s="194"/>
      <c r="BZ28" s="144"/>
      <c r="CA28" s="202"/>
      <c r="CB28" s="202"/>
    </row>
    <row r="29" spans="1:80" ht="12.75" customHeight="1" outlineLevel="1">
      <c r="A29" s="144"/>
      <c r="B29" s="209" t="s">
        <v>94</v>
      </c>
      <c r="C29" s="128"/>
      <c r="D29" s="128"/>
      <c r="E29" s="128"/>
      <c r="F29" s="128"/>
      <c r="G29" s="184"/>
      <c r="H29" s="128"/>
      <c r="I29" s="128"/>
      <c r="J29" s="128"/>
      <c r="K29" s="128"/>
      <c r="L29" s="184"/>
      <c r="M29" s="128"/>
      <c r="N29" s="128"/>
      <c r="O29" s="185"/>
      <c r="P29" s="185"/>
      <c r="Q29" s="184"/>
      <c r="R29" s="128"/>
      <c r="S29" s="128"/>
      <c r="T29" s="128"/>
      <c r="U29" s="181"/>
      <c r="V29" s="184"/>
      <c r="W29" s="128"/>
      <c r="X29" s="187"/>
      <c r="Y29" s="187"/>
      <c r="Z29" s="187"/>
      <c r="AA29" s="188"/>
      <c r="AB29" s="187"/>
      <c r="AC29" s="210"/>
      <c r="AD29" s="210"/>
      <c r="AE29" s="211"/>
      <c r="AF29" s="188"/>
      <c r="AG29" s="187"/>
      <c r="AH29" s="187"/>
      <c r="AI29" s="187"/>
      <c r="AJ29" s="187"/>
      <c r="AK29" s="188"/>
      <c r="AL29" s="211"/>
      <c r="AM29" s="211"/>
      <c r="AN29" s="211"/>
      <c r="AO29" s="211"/>
      <c r="AP29" s="188"/>
      <c r="AQ29" s="211"/>
      <c r="AR29" s="187"/>
      <c r="AS29" s="211"/>
      <c r="AT29" s="211"/>
      <c r="AU29" s="188"/>
      <c r="AV29" s="212">
        <v>0.16650000000000001</v>
      </c>
      <c r="AW29" s="212">
        <f>+AV29-0.25%</f>
        <v>0.16400000000000001</v>
      </c>
      <c r="AX29" s="212">
        <f t="shared" ref="AX29:AY29" si="33">+AW29-0.25%</f>
        <v>0.1615</v>
      </c>
      <c r="AY29" s="212">
        <f t="shared" si="33"/>
        <v>0.159</v>
      </c>
      <c r="AZ29" s="188"/>
      <c r="BA29" s="212">
        <f>+AV27-0.01</f>
        <v>0.1565</v>
      </c>
      <c r="BB29" s="212">
        <f t="shared" ref="BB29:BD29" si="34">+AW27-0.01</f>
        <v>0.154</v>
      </c>
      <c r="BC29" s="212">
        <f t="shared" si="34"/>
        <v>0.1515</v>
      </c>
      <c r="BD29" s="212">
        <f t="shared" si="34"/>
        <v>0.14899999999999999</v>
      </c>
      <c r="BE29" s="188"/>
      <c r="BF29" s="212">
        <f>+BA27-0.012</f>
        <v>0.14449999999999999</v>
      </c>
      <c r="BG29" s="212">
        <f t="shared" ref="BG29:BI29" si="35">+BB27-0.012</f>
        <v>0.14199999999999999</v>
      </c>
      <c r="BH29" s="212">
        <f t="shared" si="35"/>
        <v>0.13949999999999999</v>
      </c>
      <c r="BI29" s="212">
        <f t="shared" si="35"/>
        <v>0.13699999999999998</v>
      </c>
      <c r="BJ29" s="188"/>
      <c r="BK29" s="189"/>
      <c r="BL29" s="188"/>
      <c r="BM29" s="189"/>
      <c r="BN29" s="189"/>
      <c r="BO29" s="170"/>
      <c r="BP29" s="189"/>
      <c r="BQ29" s="144"/>
      <c r="BR29" s="194"/>
      <c r="BS29" s="194"/>
      <c r="BZ29" s="144"/>
      <c r="CA29" s="202"/>
      <c r="CB29" s="202"/>
    </row>
    <row r="30" spans="1:80" ht="12.75" customHeight="1" outlineLevel="1">
      <c r="A30" s="144"/>
      <c r="B30" s="209" t="s">
        <v>95</v>
      </c>
      <c r="C30" s="128"/>
      <c r="D30" s="128"/>
      <c r="E30" s="128"/>
      <c r="F30" s="128"/>
      <c r="G30" s="184"/>
      <c r="H30" s="128"/>
      <c r="I30" s="128"/>
      <c r="J30" s="128"/>
      <c r="K30" s="128"/>
      <c r="L30" s="184"/>
      <c r="M30" s="128"/>
      <c r="N30" s="128"/>
      <c r="O30" s="185"/>
      <c r="P30" s="185"/>
      <c r="Q30" s="184"/>
      <c r="R30" s="128"/>
      <c r="S30" s="128"/>
      <c r="T30" s="128"/>
      <c r="U30" s="181"/>
      <c r="V30" s="184"/>
      <c r="W30" s="128"/>
      <c r="X30" s="187"/>
      <c r="Y30" s="187"/>
      <c r="Z30" s="187"/>
      <c r="AA30" s="188"/>
      <c r="AB30" s="187"/>
      <c r="AC30" s="210"/>
      <c r="AD30" s="210"/>
      <c r="AE30" s="211"/>
      <c r="AF30" s="188"/>
      <c r="AG30" s="187"/>
      <c r="AH30" s="187"/>
      <c r="AI30" s="187"/>
      <c r="AJ30" s="187"/>
      <c r="AK30" s="188"/>
      <c r="AL30" s="211"/>
      <c r="AM30" s="211"/>
      <c r="AN30" s="211"/>
      <c r="AO30" s="211"/>
      <c r="AP30" s="188"/>
      <c r="AQ30" s="211"/>
      <c r="AR30" s="187"/>
      <c r="AS30" s="211"/>
      <c r="AT30" s="211"/>
      <c r="AU30" s="188"/>
      <c r="AV30" s="212">
        <f>+AV29+0.002</f>
        <v>0.16850000000000001</v>
      </c>
      <c r="AW30" s="212">
        <f>+AW29+0.002</f>
        <v>0.16600000000000001</v>
      </c>
      <c r="AX30" s="212">
        <f>+AX29+0.002</f>
        <v>0.16350000000000001</v>
      </c>
      <c r="AY30" s="212">
        <f>+AY29+0.002</f>
        <v>0.161</v>
      </c>
      <c r="AZ30" s="188"/>
      <c r="BA30" s="212">
        <f>+BA29+0.004</f>
        <v>0.1605</v>
      </c>
      <c r="BB30" s="212">
        <f t="shared" ref="BB30:BD30" si="36">+BB29+0.004</f>
        <v>0.158</v>
      </c>
      <c r="BC30" s="212">
        <f t="shared" si="36"/>
        <v>0.1555</v>
      </c>
      <c r="BD30" s="212">
        <f t="shared" si="36"/>
        <v>0.153</v>
      </c>
      <c r="BE30" s="188"/>
      <c r="BF30" s="212">
        <f>+BF29+0.004</f>
        <v>0.14849999999999999</v>
      </c>
      <c r="BG30" s="212">
        <f t="shared" ref="BG30:BI30" si="37">+BG29+0.004</f>
        <v>0.14599999999999999</v>
      </c>
      <c r="BH30" s="212">
        <f t="shared" si="37"/>
        <v>0.14349999999999999</v>
      </c>
      <c r="BI30" s="212">
        <f t="shared" si="37"/>
        <v>0.14099999999999999</v>
      </c>
      <c r="BJ30" s="188"/>
      <c r="BK30" s="189"/>
      <c r="BL30" s="188"/>
      <c r="BM30" s="189"/>
      <c r="BN30" s="173"/>
      <c r="BO30" s="170"/>
      <c r="BP30" s="189"/>
      <c r="BQ30" s="144"/>
      <c r="BR30" s="194"/>
      <c r="BS30" s="194"/>
      <c r="BZ30" s="144"/>
      <c r="CA30" s="202"/>
      <c r="CB30" s="202"/>
    </row>
    <row r="31" spans="1:80" ht="12.75" customHeight="1">
      <c r="A31" s="174"/>
      <c r="B31" s="206" t="s">
        <v>97</v>
      </c>
      <c r="C31" s="215">
        <f>5.6+6.3</f>
        <v>11.899999999999999</v>
      </c>
      <c r="D31" s="215">
        <f>6.6+6.2</f>
        <v>12.8</v>
      </c>
      <c r="E31" s="215">
        <f>9.5+5.3</f>
        <v>14.8</v>
      </c>
      <c r="F31" s="215">
        <f>10.6+5.4</f>
        <v>16</v>
      </c>
      <c r="G31" s="169">
        <f>+SUM(C31:F31)</f>
        <v>55.5</v>
      </c>
      <c r="H31" s="166">
        <f>9.2+4.8</f>
        <v>14</v>
      </c>
      <c r="I31" s="166">
        <f>10.2+3.8</f>
        <v>14</v>
      </c>
      <c r="J31" s="166">
        <f>10.5+3.3</f>
        <v>13.8</v>
      </c>
      <c r="K31" s="166">
        <f>10.8+3.1</f>
        <v>13.9</v>
      </c>
      <c r="L31" s="169">
        <f>+SUM(H31:K31)</f>
        <v>55.699999999999996</v>
      </c>
      <c r="M31" s="166">
        <v>14</v>
      </c>
      <c r="N31" s="166">
        <v>16.3</v>
      </c>
      <c r="O31" s="170">
        <v>17</v>
      </c>
      <c r="P31" s="170">
        <v>15.2</v>
      </c>
      <c r="Q31" s="169">
        <f>+SUM(M31:P31)</f>
        <v>62.5</v>
      </c>
      <c r="R31" s="166">
        <f>28.597-1.607-8.663</f>
        <v>18.327000000000002</v>
      </c>
      <c r="S31" s="166">
        <f>29.19-0.633-8.829</f>
        <v>19.728000000000002</v>
      </c>
      <c r="T31" s="166">
        <v>17.503</v>
      </c>
      <c r="U31" s="170">
        <v>20.771000000000001</v>
      </c>
      <c r="V31" s="169">
        <f>+SUM(R31:U31)</f>
        <v>76.329000000000008</v>
      </c>
      <c r="W31" s="166">
        <f>31.099-1.21-6.74</f>
        <v>23.149000000000001</v>
      </c>
      <c r="X31" s="170">
        <f>29.862-0.857-7.19</f>
        <v>21.814999999999998</v>
      </c>
      <c r="Y31" s="170">
        <v>19.116</v>
      </c>
      <c r="Z31" s="170">
        <v>22.574000000000002</v>
      </c>
      <c r="AA31" s="169">
        <f>+SUM(W31:Z31)</f>
        <v>86.653999999999996</v>
      </c>
      <c r="AB31" s="170">
        <f>32.606-1.163-8.939</f>
        <v>22.504000000000001</v>
      </c>
      <c r="AC31" s="213">
        <v>25.663</v>
      </c>
      <c r="AD31" s="213">
        <v>29.864999999999998</v>
      </c>
      <c r="AE31" s="170">
        <v>31.997</v>
      </c>
      <c r="AF31" s="169">
        <f>+SUM(AB31:AE31)</f>
        <v>110.029</v>
      </c>
      <c r="AG31" s="170">
        <v>27.870999999999999</v>
      </c>
      <c r="AH31" s="170">
        <v>30.526</v>
      </c>
      <c r="AI31" s="170">
        <v>28.111000000000001</v>
      </c>
      <c r="AJ31" s="170">
        <v>30.591000000000001</v>
      </c>
      <c r="AK31" s="169">
        <f>+SUM(AG31:AJ31)</f>
        <v>117.09899999999999</v>
      </c>
      <c r="AL31" s="170">
        <v>30.957000000000001</v>
      </c>
      <c r="AM31" s="170">
        <v>32.259</v>
      </c>
      <c r="AN31" s="170">
        <f>40.727-0.992-9.6</f>
        <v>30.134999999999998</v>
      </c>
      <c r="AO31" s="170">
        <f>55.876-14.1-9.979</f>
        <v>31.796999999999997</v>
      </c>
      <c r="AP31" s="169">
        <f>+SUM(AL31:AO31)</f>
        <v>125.148</v>
      </c>
      <c r="AQ31" s="170">
        <f>89.298-46.271-10.58</f>
        <v>32.447000000000003</v>
      </c>
      <c r="AR31" s="170">
        <f>50.727-10.881-8.26</f>
        <v>31.585999999999999</v>
      </c>
      <c r="AS31" s="170">
        <f>49.607-2.507-13.607</f>
        <v>33.493000000000002</v>
      </c>
      <c r="AT31" s="170">
        <f>105.469-58.242-12.787</f>
        <v>34.44</v>
      </c>
      <c r="AU31" s="169">
        <f>+SUM(AQ31:AT31)</f>
        <v>131.96600000000001</v>
      </c>
      <c r="AV31" s="170">
        <f>+AV15*AV33</f>
        <v>67.151787238259303</v>
      </c>
      <c r="AW31" s="170">
        <f>+AW15*AW33</f>
        <v>76.267391411935151</v>
      </c>
      <c r="AX31" s="170">
        <f>+AX15*AX33</f>
        <v>77.291345372468044</v>
      </c>
      <c r="AY31" s="170">
        <f>+AY15*AY33</f>
        <v>77.036001662368776</v>
      </c>
      <c r="AZ31" s="169">
        <f>+SUM(AV31:AY31)</f>
        <v>297.74652568503126</v>
      </c>
      <c r="BA31" s="170">
        <f>+BA15*BA33</f>
        <v>71.998541366241795</v>
      </c>
      <c r="BB31" s="170">
        <f>+BB15*BB33</f>
        <v>75.229167908979164</v>
      </c>
      <c r="BC31" s="170">
        <f>+BC15*BC33</f>
        <v>75.921935506869161</v>
      </c>
      <c r="BD31" s="170">
        <f>+BD15*BD33</f>
        <v>75.44382798698166</v>
      </c>
      <c r="BE31" s="169">
        <f>+SUM(BA31:BD31)</f>
        <v>298.59347276907175</v>
      </c>
      <c r="BF31" s="170">
        <f>+BF15*BF33</f>
        <v>73.326682397806564</v>
      </c>
      <c r="BG31" s="170">
        <f>+BG15*BG33</f>
        <v>76.387818925491871</v>
      </c>
      <c r="BH31" s="170">
        <f>+BH15*BH33</f>
        <v>76.79593763586071</v>
      </c>
      <c r="BI31" s="170">
        <f>+BI15*BI33</f>
        <v>76.145946791945548</v>
      </c>
      <c r="BJ31" s="169">
        <f>+SUM(BF31:BI31)</f>
        <v>302.65638575110472</v>
      </c>
      <c r="BK31" s="173"/>
      <c r="BL31" s="169">
        <f>426.338-BL104-0.8*BL105</f>
        <v>282.68100000000004</v>
      </c>
      <c r="BM31" s="173"/>
      <c r="BN31" s="173"/>
      <c r="BO31" s="1187"/>
      <c r="BP31" s="173"/>
      <c r="BQ31" s="174"/>
      <c r="BR31" s="194"/>
      <c r="BS31" s="194"/>
      <c r="BZ31" s="174"/>
      <c r="CA31" s="202"/>
      <c r="CB31" s="202"/>
    </row>
    <row r="32" spans="1:80" ht="12.75" customHeight="1">
      <c r="A32" s="144"/>
      <c r="B32" s="153" t="s">
        <v>16</v>
      </c>
      <c r="C32" s="157"/>
      <c r="D32" s="157"/>
      <c r="E32" s="157"/>
      <c r="F32" s="157"/>
      <c r="G32" s="176"/>
      <c r="H32" s="156">
        <f>+H31/C31-1</f>
        <v>0.17647058823529416</v>
      </c>
      <c r="I32" s="156">
        <f>+I31/D31-1</f>
        <v>9.375E-2</v>
      </c>
      <c r="J32" s="156">
        <f>+J31/E31-1</f>
        <v>-6.7567567567567544E-2</v>
      </c>
      <c r="K32" s="156">
        <f>+K31/F31-1</f>
        <v>-0.13124999999999998</v>
      </c>
      <c r="L32" s="176">
        <f>+L31/G31-1</f>
        <v>3.6036036036035668E-3</v>
      </c>
      <c r="M32" s="156">
        <f t="shared" ref="M32:AZ32" si="38">+M31/H31-1</f>
        <v>0</v>
      </c>
      <c r="N32" s="156">
        <f t="shared" si="38"/>
        <v>0.16428571428571437</v>
      </c>
      <c r="O32" s="156">
        <f t="shared" si="38"/>
        <v>0.23188405797101441</v>
      </c>
      <c r="P32" s="156">
        <f t="shared" si="38"/>
        <v>9.3525179856114971E-2</v>
      </c>
      <c r="Q32" s="176">
        <f>+Q31/L31-1</f>
        <v>0.12208258527827653</v>
      </c>
      <c r="R32" s="156">
        <f t="shared" si="38"/>
        <v>0.30907142857142866</v>
      </c>
      <c r="S32" s="156">
        <f t="shared" si="38"/>
        <v>0.21030674846625774</v>
      </c>
      <c r="T32" s="156">
        <f t="shared" si="38"/>
        <v>2.9588235294117693E-2</v>
      </c>
      <c r="U32" s="156">
        <f t="shared" si="38"/>
        <v>0.36651315789473693</v>
      </c>
      <c r="V32" s="176">
        <f t="shared" si="38"/>
        <v>0.22126400000000013</v>
      </c>
      <c r="W32" s="156">
        <f t="shared" si="38"/>
        <v>0.26310907404376049</v>
      </c>
      <c r="X32" s="156">
        <f t="shared" si="38"/>
        <v>0.10578872668288697</v>
      </c>
      <c r="Y32" s="156">
        <f t="shared" si="38"/>
        <v>9.215563046334907E-2</v>
      </c>
      <c r="Z32" s="156">
        <f t="shared" si="38"/>
        <v>8.6803716720427637E-2</v>
      </c>
      <c r="AA32" s="176">
        <f t="shared" si="38"/>
        <v>0.13526968779887061</v>
      </c>
      <c r="AB32" s="156">
        <f t="shared" si="38"/>
        <v>-2.7862974642533178E-2</v>
      </c>
      <c r="AC32" s="214">
        <f t="shared" si="38"/>
        <v>0.17639239055695644</v>
      </c>
      <c r="AD32" s="214">
        <f t="shared" si="38"/>
        <v>0.56230382925298183</v>
      </c>
      <c r="AE32" s="156">
        <f t="shared" si="38"/>
        <v>0.41742712855497466</v>
      </c>
      <c r="AF32" s="176">
        <f t="shared" si="38"/>
        <v>0.26975096360237272</v>
      </c>
      <c r="AG32" s="156">
        <f t="shared" si="38"/>
        <v>0.23849093494489848</v>
      </c>
      <c r="AH32" s="156">
        <f t="shared" si="38"/>
        <v>0.18949460312512167</v>
      </c>
      <c r="AI32" s="156">
        <f t="shared" si="38"/>
        <v>-5.8730955968524956E-2</v>
      </c>
      <c r="AJ32" s="156">
        <f t="shared" si="38"/>
        <v>-4.3941619526830622E-2</v>
      </c>
      <c r="AK32" s="176">
        <f t="shared" si="38"/>
        <v>6.4255787110670814E-2</v>
      </c>
      <c r="AL32" s="156">
        <f t="shared" si="38"/>
        <v>0.11072440888378599</v>
      </c>
      <c r="AM32" s="156">
        <f t="shared" si="38"/>
        <v>5.6771276944244331E-2</v>
      </c>
      <c r="AN32" s="156">
        <f t="shared" si="38"/>
        <v>7.2000284586104968E-2</v>
      </c>
      <c r="AO32" s="156">
        <f t="shared" si="38"/>
        <v>3.9423359811709302E-2</v>
      </c>
      <c r="AP32" s="176">
        <f t="shared" si="38"/>
        <v>6.8736709963364451E-2</v>
      </c>
      <c r="AQ32" s="156">
        <f t="shared" si="38"/>
        <v>4.8131278870691574E-2</v>
      </c>
      <c r="AR32" s="156">
        <f t="shared" si="38"/>
        <v>-2.0862394990545319E-2</v>
      </c>
      <c r="AS32" s="156">
        <f t="shared" si="38"/>
        <v>0.11143188982910246</v>
      </c>
      <c r="AT32" s="156">
        <f t="shared" si="38"/>
        <v>8.3121049155580717E-2</v>
      </c>
      <c r="AU32" s="176">
        <f t="shared" si="38"/>
        <v>5.4479496276408801E-2</v>
      </c>
      <c r="AV32" s="156">
        <f t="shared" si="38"/>
        <v>1.0695838517662435</v>
      </c>
      <c r="AW32" s="156">
        <f t="shared" si="38"/>
        <v>1.414594801872195</v>
      </c>
      <c r="AX32" s="156">
        <f t="shared" si="38"/>
        <v>1.3076865426348205</v>
      </c>
      <c r="AY32" s="156">
        <f t="shared" si="38"/>
        <v>1.2368177021593723</v>
      </c>
      <c r="AZ32" s="176">
        <f t="shared" si="38"/>
        <v>1.2562366494781325</v>
      </c>
      <c r="BA32" s="156">
        <f t="shared" ref="BA32:BJ32" si="39">+BA31/AV31-1</f>
        <v>7.2176100254574882E-2</v>
      </c>
      <c r="BB32" s="156">
        <f t="shared" si="39"/>
        <v>-1.3612941045122895E-2</v>
      </c>
      <c r="BC32" s="156">
        <f t="shared" si="39"/>
        <v>-1.7717505873389494E-2</v>
      </c>
      <c r="BD32" s="156">
        <f t="shared" si="39"/>
        <v>-2.0667916831473843E-2</v>
      </c>
      <c r="BE32" s="176">
        <f t="shared" si="39"/>
        <v>2.8445238180090371E-3</v>
      </c>
      <c r="BF32" s="156">
        <f t="shared" si="39"/>
        <v>1.8446776925782338E-2</v>
      </c>
      <c r="BG32" s="156">
        <f t="shared" si="39"/>
        <v>1.5401619461145266E-2</v>
      </c>
      <c r="BH32" s="156">
        <f t="shared" si="39"/>
        <v>1.1511852578000692E-2</v>
      </c>
      <c r="BI32" s="156">
        <f t="shared" si="39"/>
        <v>9.306510866402995E-3</v>
      </c>
      <c r="BJ32" s="176">
        <f t="shared" si="39"/>
        <v>1.3606837900221436E-2</v>
      </c>
      <c r="BK32" s="179"/>
      <c r="BL32" s="176"/>
      <c r="BM32" s="179"/>
      <c r="BN32" s="179"/>
      <c r="BO32" s="170"/>
      <c r="BP32" s="179"/>
      <c r="BQ32" s="144"/>
      <c r="BR32" s="194"/>
      <c r="BS32" s="194"/>
      <c r="BZ32" s="144"/>
      <c r="CA32" s="202"/>
      <c r="CB32" s="202"/>
    </row>
    <row r="33" spans="1:80" ht="12.75" customHeight="1">
      <c r="A33" s="144"/>
      <c r="B33" s="153" t="s">
        <v>89</v>
      </c>
      <c r="C33" s="156">
        <f t="shared" ref="C33:AM33" si="40">+C31/C15</f>
        <v>7.5555555555555542E-2</v>
      </c>
      <c r="D33" s="156">
        <f t="shared" si="40"/>
        <v>7.1388733965421086E-2</v>
      </c>
      <c r="E33" s="156">
        <f t="shared" si="40"/>
        <v>8.0478520935290926E-2</v>
      </c>
      <c r="F33" s="156">
        <f t="shared" si="40"/>
        <v>8.606777837547068E-2</v>
      </c>
      <c r="G33" s="184">
        <f t="shared" si="40"/>
        <v>7.8545145768468716E-2</v>
      </c>
      <c r="H33" s="156">
        <f t="shared" si="40"/>
        <v>7.9635949943117179E-2</v>
      </c>
      <c r="I33" s="156">
        <f t="shared" si="40"/>
        <v>7.4388947927736454E-2</v>
      </c>
      <c r="J33" s="156">
        <f t="shared" si="40"/>
        <v>6.8862275449101798E-2</v>
      </c>
      <c r="K33" s="156">
        <f t="shared" si="40"/>
        <v>6.6698656429942424E-2</v>
      </c>
      <c r="L33" s="184">
        <f t="shared" si="40"/>
        <v>7.2075569358178049E-2</v>
      </c>
      <c r="M33" s="181">
        <f t="shared" si="40"/>
        <v>7.3984040585530833E-2</v>
      </c>
      <c r="N33" s="181">
        <f t="shared" si="40"/>
        <v>7.5160234241711615E-2</v>
      </c>
      <c r="O33" s="181">
        <f t="shared" si="40"/>
        <v>7.8384360014754711E-2</v>
      </c>
      <c r="P33" s="181">
        <f t="shared" si="40"/>
        <v>6.263185654008438E-2</v>
      </c>
      <c r="Q33" s="184">
        <f t="shared" si="40"/>
        <v>7.2198579594024495E-2</v>
      </c>
      <c r="R33" s="181">
        <f t="shared" si="40"/>
        <v>7.8798354121789829E-2</v>
      </c>
      <c r="S33" s="181">
        <f t="shared" si="40"/>
        <v>7.5766769849987314E-2</v>
      </c>
      <c r="T33" s="181">
        <f t="shared" si="40"/>
        <v>6.7710650413737888E-2</v>
      </c>
      <c r="U33" s="181">
        <f t="shared" si="40"/>
        <v>7.6593186963928819E-2</v>
      </c>
      <c r="V33" s="184">
        <f t="shared" si="40"/>
        <v>7.4639023235892915E-2</v>
      </c>
      <c r="W33" s="181">
        <f t="shared" si="40"/>
        <v>8.4825632738612169E-2</v>
      </c>
      <c r="X33" s="181">
        <f t="shared" si="40"/>
        <v>7.3474185519371377E-2</v>
      </c>
      <c r="Y33" s="181">
        <f t="shared" si="40"/>
        <v>6.4974881545583701E-2</v>
      </c>
      <c r="Z33" s="181">
        <f t="shared" si="40"/>
        <v>7.3144493911645958E-2</v>
      </c>
      <c r="AA33" s="176">
        <f t="shared" si="40"/>
        <v>7.3896759096599457E-2</v>
      </c>
      <c r="AB33" s="181">
        <f t="shared" si="40"/>
        <v>7.7994815133156814E-2</v>
      </c>
      <c r="AC33" s="216">
        <f t="shared" si="40"/>
        <v>7.7452397695411651E-2</v>
      </c>
      <c r="AD33" s="216">
        <f t="shared" si="40"/>
        <v>7.8485323914568861E-2</v>
      </c>
      <c r="AE33" s="216">
        <f t="shared" si="40"/>
        <v>7.9564838990426462E-2</v>
      </c>
      <c r="AF33" s="176">
        <f t="shared" si="40"/>
        <v>7.8449924351425768E-2</v>
      </c>
      <c r="AG33" s="181">
        <f t="shared" si="40"/>
        <v>7.4428851828608811E-2</v>
      </c>
      <c r="AH33" s="181">
        <f t="shared" si="40"/>
        <v>7.205544251568527E-2</v>
      </c>
      <c r="AI33" s="181">
        <f t="shared" si="40"/>
        <v>6.5306075037751196E-2</v>
      </c>
      <c r="AJ33" s="181">
        <f t="shared" si="40"/>
        <v>6.7503723727037016E-2</v>
      </c>
      <c r="AK33" s="176">
        <f t="shared" si="40"/>
        <v>6.9629834884904651E-2</v>
      </c>
      <c r="AL33" s="181">
        <f t="shared" si="40"/>
        <v>7.179100670207092E-2</v>
      </c>
      <c r="AM33" s="181">
        <f t="shared" si="40"/>
        <v>6.7138971155987437E-2</v>
      </c>
      <c r="AN33" s="181">
        <f t="shared" ref="AN33:AS33" si="41">+AN31/AN15</f>
        <v>6.1417525037806377E-2</v>
      </c>
      <c r="AO33" s="181">
        <f t="shared" si="41"/>
        <v>6.3288695333710177E-2</v>
      </c>
      <c r="AP33" s="176">
        <f t="shared" si="41"/>
        <v>6.5702731208797327E-2</v>
      </c>
      <c r="AQ33" s="181">
        <f t="shared" si="41"/>
        <v>6.902001659186148E-2</v>
      </c>
      <c r="AR33" s="181">
        <f t="shared" si="41"/>
        <v>5.9592740801953099E-2</v>
      </c>
      <c r="AS33" s="181">
        <f t="shared" si="41"/>
        <v>6.0431371699937939E-2</v>
      </c>
      <c r="AT33" s="181">
        <f t="shared" ref="AT33" si="42">+AT31/AT15</f>
        <v>6.0533730329613532E-2</v>
      </c>
      <c r="AU33" s="176">
        <f>+AU31/AU15</f>
        <v>6.2151016901896665E-2</v>
      </c>
      <c r="AV33" s="208">
        <f>CHOOSE(_Switch,AV34,AV35,AV36)</f>
        <v>8.0500000000000002E-2</v>
      </c>
      <c r="AW33" s="208">
        <f>CHOOSE(_Switch,AW34,AW35,AW36)</f>
        <v>7.8300000000000008E-2</v>
      </c>
      <c r="AX33" s="208">
        <f>CHOOSE(_Switch,AX34,AX35,AX36)</f>
        <v>7.5800000000000006E-2</v>
      </c>
      <c r="AY33" s="208">
        <f>CHOOSE(_Switch,AY34,AY35,AY36)</f>
        <v>7.3300000000000004E-2</v>
      </c>
      <c r="AZ33" s="176">
        <f>+AZ31/AZ15</f>
        <v>7.6761193780228221E-2</v>
      </c>
      <c r="BA33" s="208">
        <f>CHOOSE(_Switch,BA34,BA35,BA36)</f>
        <v>7.3000000000000009E-2</v>
      </c>
      <c r="BB33" s="208">
        <f>CHOOSE(_Switch,BB34,BB35,BB36)</f>
        <v>7.0800000000000002E-2</v>
      </c>
      <c r="BC33" s="208">
        <f>CHOOSE(_Switch,BC34,BC35,BC36)</f>
        <v>6.83E-2</v>
      </c>
      <c r="BD33" s="208">
        <f>CHOOSE(_Switch,BD34,BD35,BD36)</f>
        <v>6.5799999999999997E-2</v>
      </c>
      <c r="BE33" s="176">
        <f>+BE31/BE15</f>
        <v>6.932751682548989E-2</v>
      </c>
      <c r="BF33" s="208">
        <f>CHOOSE(_Switch,BF34,BF35,BF36)</f>
        <v>6.8000000000000005E-2</v>
      </c>
      <c r="BG33" s="208">
        <f>CHOOSE(_Switch,BG34,BG35,BG36)</f>
        <v>6.5799999999999997E-2</v>
      </c>
      <c r="BH33" s="208">
        <f>CHOOSE(_Switch,BH34,BH35,BH36)</f>
        <v>6.3299999999999995E-2</v>
      </c>
      <c r="BI33" s="208">
        <f>CHOOSE(_Switch,BI34,BI35,BI36)</f>
        <v>6.08E-2</v>
      </c>
      <c r="BJ33" s="176">
        <f>+BJ31/BJ15</f>
        <v>6.4328606727314705E-2</v>
      </c>
      <c r="BK33" s="189"/>
      <c r="BL33" s="176">
        <f>+BL31/BL15</f>
        <v>8.5240698278908719E-2</v>
      </c>
      <c r="BM33" s="189"/>
      <c r="BN33" s="189"/>
      <c r="BO33" s="170"/>
      <c r="BP33" s="189"/>
      <c r="BQ33" s="144"/>
      <c r="BR33" s="194"/>
      <c r="BS33" s="194"/>
      <c r="BZ33" s="144"/>
      <c r="CA33" s="202"/>
      <c r="CB33" s="202"/>
    </row>
    <row r="34" spans="1:80" ht="12.75" customHeight="1" outlineLevel="1">
      <c r="A34" s="144"/>
      <c r="B34" s="209" t="s">
        <v>93</v>
      </c>
      <c r="C34" s="128"/>
      <c r="D34" s="128"/>
      <c r="E34" s="128"/>
      <c r="F34" s="128"/>
      <c r="G34" s="184"/>
      <c r="H34" s="128"/>
      <c r="I34" s="128"/>
      <c r="J34" s="128"/>
      <c r="K34" s="128"/>
      <c r="L34" s="184"/>
      <c r="M34" s="128"/>
      <c r="N34" s="128"/>
      <c r="O34" s="185"/>
      <c r="P34" s="185"/>
      <c r="Q34" s="184"/>
      <c r="R34" s="128"/>
      <c r="S34" s="128"/>
      <c r="T34" s="128"/>
      <c r="U34" s="181"/>
      <c r="V34" s="184"/>
      <c r="W34" s="128"/>
      <c r="X34" s="187"/>
      <c r="Y34" s="187"/>
      <c r="Z34" s="187"/>
      <c r="AA34" s="188"/>
      <c r="AB34" s="187"/>
      <c r="AC34" s="210"/>
      <c r="AD34" s="210"/>
      <c r="AE34" s="211"/>
      <c r="AF34" s="188"/>
      <c r="AG34" s="187"/>
      <c r="AH34" s="187"/>
      <c r="AI34" s="187"/>
      <c r="AJ34" s="187"/>
      <c r="AK34" s="188"/>
      <c r="AL34" s="211"/>
      <c r="AM34" s="211"/>
      <c r="AN34" s="211"/>
      <c r="AO34" s="211"/>
      <c r="AP34" s="188"/>
      <c r="AQ34" s="211"/>
      <c r="AR34" s="211"/>
      <c r="AS34" s="211"/>
      <c r="AT34" s="211"/>
      <c r="AU34" s="188"/>
      <c r="AV34" s="212">
        <f>+AV35-0.003</f>
        <v>7.7499999999999999E-2</v>
      </c>
      <c r="AW34" s="212">
        <f t="shared" ref="AW34:AY34" si="43">+AW35-0.003</f>
        <v>7.5300000000000006E-2</v>
      </c>
      <c r="AX34" s="212">
        <f t="shared" si="43"/>
        <v>7.2800000000000004E-2</v>
      </c>
      <c r="AY34" s="212">
        <f t="shared" si="43"/>
        <v>7.0300000000000001E-2</v>
      </c>
      <c r="AZ34" s="188"/>
      <c r="BA34" s="212">
        <f>+BA35-0.0025</f>
        <v>7.0500000000000007E-2</v>
      </c>
      <c r="BB34" s="212">
        <f t="shared" ref="BB34" si="44">+BB35-0.0025</f>
        <v>6.83E-2</v>
      </c>
      <c r="BC34" s="212">
        <f t="shared" ref="BC34" si="45">+BC35-0.0025</f>
        <v>6.5799999999999997E-2</v>
      </c>
      <c r="BD34" s="212">
        <f t="shared" ref="BD34" si="46">+BD35-0.0025</f>
        <v>6.3299999999999995E-2</v>
      </c>
      <c r="BE34" s="188"/>
      <c r="BF34" s="212">
        <f>+BF35-0.0025</f>
        <v>6.5500000000000003E-2</v>
      </c>
      <c r="BG34" s="212">
        <f t="shared" ref="BG34" si="47">+BG35-0.0025</f>
        <v>6.3299999999999995E-2</v>
      </c>
      <c r="BH34" s="212">
        <f t="shared" ref="BH34" si="48">+BH35-0.0025</f>
        <v>6.0799999999999993E-2</v>
      </c>
      <c r="BI34" s="212">
        <f t="shared" ref="BI34" si="49">+BI35-0.0025</f>
        <v>5.8299999999999998E-2</v>
      </c>
      <c r="BJ34" s="188"/>
      <c r="BK34" s="189"/>
      <c r="BL34" s="188"/>
      <c r="BM34" s="189"/>
      <c r="BN34" s="189"/>
      <c r="BO34" s="189"/>
      <c r="BP34" s="189"/>
      <c r="BQ34" s="144"/>
      <c r="BR34" s="194"/>
      <c r="BS34" s="194"/>
      <c r="BZ34" s="144"/>
      <c r="CA34" s="202"/>
      <c r="CB34" s="202"/>
    </row>
    <row r="35" spans="1:80" ht="12.75" customHeight="1" outlineLevel="1">
      <c r="A35" s="144"/>
      <c r="B35" s="209" t="s">
        <v>94</v>
      </c>
      <c r="C35" s="128"/>
      <c r="D35" s="128"/>
      <c r="E35" s="128"/>
      <c r="F35" s="128"/>
      <c r="G35" s="184"/>
      <c r="H35" s="128"/>
      <c r="I35" s="128"/>
      <c r="J35" s="128"/>
      <c r="K35" s="128"/>
      <c r="L35" s="184"/>
      <c r="M35" s="128"/>
      <c r="N35" s="128"/>
      <c r="O35" s="185"/>
      <c r="P35" s="185"/>
      <c r="Q35" s="184"/>
      <c r="R35" s="128"/>
      <c r="S35" s="128"/>
      <c r="T35" s="128"/>
      <c r="U35" s="181"/>
      <c r="V35" s="184"/>
      <c r="W35" s="128"/>
      <c r="X35" s="187"/>
      <c r="Y35" s="187"/>
      <c r="Z35" s="187"/>
      <c r="AA35" s="188"/>
      <c r="AB35" s="187"/>
      <c r="AC35" s="210"/>
      <c r="AD35" s="210"/>
      <c r="AE35" s="211"/>
      <c r="AF35" s="188"/>
      <c r="AG35" s="187"/>
      <c r="AH35" s="187"/>
      <c r="AI35" s="187"/>
      <c r="AJ35" s="187"/>
      <c r="AK35" s="188"/>
      <c r="AL35" s="211"/>
      <c r="AM35" s="211"/>
      <c r="AN35" s="211"/>
      <c r="AO35" s="211"/>
      <c r="AP35" s="188"/>
      <c r="AQ35" s="211"/>
      <c r="AR35" s="211"/>
      <c r="AS35" s="211"/>
      <c r="AT35" s="211"/>
      <c r="AU35" s="188"/>
      <c r="AV35" s="212">
        <v>8.0500000000000002E-2</v>
      </c>
      <c r="AW35" s="212">
        <f>+AV35-0.22%</f>
        <v>7.8300000000000008E-2</v>
      </c>
      <c r="AX35" s="212">
        <f>+AW35-0.25%</f>
        <v>7.5800000000000006E-2</v>
      </c>
      <c r="AY35" s="212">
        <f>+AX35-0.25%</f>
        <v>7.3300000000000004E-2</v>
      </c>
      <c r="AZ35" s="188"/>
      <c r="BA35" s="212">
        <f>+AV35-0.0075</f>
        <v>7.3000000000000009E-2</v>
      </c>
      <c r="BB35" s="212">
        <f t="shared" ref="BB35:BD35" si="50">+AW35-0.0075</f>
        <v>7.0800000000000002E-2</v>
      </c>
      <c r="BC35" s="212">
        <f t="shared" si="50"/>
        <v>6.83E-2</v>
      </c>
      <c r="BD35" s="212">
        <f t="shared" si="50"/>
        <v>6.5799999999999997E-2</v>
      </c>
      <c r="BE35" s="188"/>
      <c r="BF35" s="212">
        <f>+BA33-0.005</f>
        <v>6.8000000000000005E-2</v>
      </c>
      <c r="BG35" s="212">
        <f t="shared" ref="BG35:BI35" si="51">+BB33-0.005</f>
        <v>6.5799999999999997E-2</v>
      </c>
      <c r="BH35" s="212">
        <f t="shared" si="51"/>
        <v>6.3299999999999995E-2</v>
      </c>
      <c r="BI35" s="212">
        <f t="shared" si="51"/>
        <v>6.08E-2</v>
      </c>
      <c r="BJ35" s="188"/>
      <c r="BK35" s="189"/>
      <c r="BL35" s="188"/>
      <c r="BM35" s="189"/>
      <c r="BN35" s="189"/>
      <c r="BO35" s="189"/>
      <c r="BP35" s="189"/>
      <c r="BQ35" s="144"/>
      <c r="BR35" s="194"/>
      <c r="BS35" s="194"/>
      <c r="BZ35" s="144"/>
      <c r="CA35" s="202"/>
      <c r="CB35" s="202"/>
    </row>
    <row r="36" spans="1:80" ht="12.75" customHeight="1" outlineLevel="1">
      <c r="A36" s="144"/>
      <c r="B36" s="209" t="s">
        <v>95</v>
      </c>
      <c r="C36" s="128"/>
      <c r="D36" s="128"/>
      <c r="E36" s="128"/>
      <c r="F36" s="128"/>
      <c r="G36" s="184"/>
      <c r="H36" s="128"/>
      <c r="I36" s="128"/>
      <c r="J36" s="128"/>
      <c r="K36" s="128"/>
      <c r="L36" s="184"/>
      <c r="M36" s="128"/>
      <c r="N36" s="128"/>
      <c r="O36" s="217"/>
      <c r="P36" s="185"/>
      <c r="Q36" s="184"/>
      <c r="R36" s="128"/>
      <c r="S36" s="128"/>
      <c r="T36" s="128"/>
      <c r="U36" s="181"/>
      <c r="V36" s="184"/>
      <c r="W36" s="128"/>
      <c r="X36" s="187"/>
      <c r="Y36" s="187"/>
      <c r="Z36" s="187"/>
      <c r="AA36" s="188"/>
      <c r="AB36" s="187"/>
      <c r="AC36" s="210"/>
      <c r="AD36" s="210"/>
      <c r="AE36" s="211"/>
      <c r="AF36" s="188"/>
      <c r="AG36" s="187"/>
      <c r="AH36" s="187"/>
      <c r="AI36" s="187"/>
      <c r="AJ36" s="187"/>
      <c r="AK36" s="188"/>
      <c r="AL36" s="211"/>
      <c r="AM36" s="211"/>
      <c r="AN36" s="211"/>
      <c r="AO36" s="211"/>
      <c r="AP36" s="188"/>
      <c r="AQ36" s="211"/>
      <c r="AR36" s="211"/>
      <c r="AS36" s="211"/>
      <c r="AT36" s="211"/>
      <c r="AU36" s="188"/>
      <c r="AV36" s="212">
        <f>+AV35+0.001</f>
        <v>8.1500000000000003E-2</v>
      </c>
      <c r="AW36" s="212">
        <f>+AW35+0.001</f>
        <v>7.9300000000000009E-2</v>
      </c>
      <c r="AX36" s="212">
        <f>+AX35+0.001</f>
        <v>7.6800000000000007E-2</v>
      </c>
      <c r="AY36" s="212">
        <f>+AY35+0.001</f>
        <v>7.4300000000000005E-2</v>
      </c>
      <c r="AZ36" s="188"/>
      <c r="BA36" s="212">
        <f>+BA35+0.002</f>
        <v>7.5000000000000011E-2</v>
      </c>
      <c r="BB36" s="212">
        <f t="shared" ref="BB36:BD36" si="52">+BB35+0.002</f>
        <v>7.2800000000000004E-2</v>
      </c>
      <c r="BC36" s="212">
        <f t="shared" si="52"/>
        <v>7.0300000000000001E-2</v>
      </c>
      <c r="BD36" s="212">
        <f t="shared" si="52"/>
        <v>6.7799999999999999E-2</v>
      </c>
      <c r="BE36" s="188"/>
      <c r="BF36" s="212">
        <f>+BF35+0.002</f>
        <v>7.0000000000000007E-2</v>
      </c>
      <c r="BG36" s="212">
        <f t="shared" ref="BG36" si="53">+BG35+0.002</f>
        <v>6.7799999999999999E-2</v>
      </c>
      <c r="BH36" s="212">
        <f t="shared" ref="BH36" si="54">+BH35+0.002</f>
        <v>6.5299999999999997E-2</v>
      </c>
      <c r="BI36" s="212">
        <f t="shared" ref="BI36" si="55">+BI35+0.002</f>
        <v>6.2799999999999995E-2</v>
      </c>
      <c r="BJ36" s="188"/>
      <c r="BK36" s="189"/>
      <c r="BL36" s="188"/>
      <c r="BM36" s="189"/>
      <c r="BN36" s="189"/>
      <c r="BO36" s="189"/>
      <c r="BP36" s="189"/>
      <c r="BQ36" s="144"/>
      <c r="BR36" s="194"/>
      <c r="BS36" s="194"/>
      <c r="BZ36" s="144"/>
      <c r="CA36" s="202"/>
      <c r="CB36" s="202"/>
    </row>
    <row r="37" spans="1:80" ht="12.75">
      <c r="A37" s="144"/>
      <c r="B37" s="218"/>
      <c r="C37" s="128"/>
      <c r="D37" s="128"/>
      <c r="E37" s="128"/>
      <c r="F37" s="128"/>
      <c r="G37" s="184"/>
      <c r="H37" s="128"/>
      <c r="I37" s="128"/>
      <c r="J37" s="128"/>
      <c r="K37" s="128"/>
      <c r="L37" s="184"/>
      <c r="M37" s="128"/>
      <c r="N37" s="128"/>
      <c r="O37" s="185"/>
      <c r="P37" s="185"/>
      <c r="Q37" s="184"/>
      <c r="R37" s="181"/>
      <c r="S37" s="181"/>
      <c r="T37" s="181"/>
      <c r="U37" s="181"/>
      <c r="V37" s="184"/>
      <c r="W37" s="187"/>
      <c r="X37" s="187"/>
      <c r="Y37" s="187"/>
      <c r="Z37" s="187"/>
      <c r="AA37" s="188"/>
      <c r="AB37" s="187"/>
      <c r="AC37" s="187"/>
      <c r="AD37" s="187"/>
      <c r="AE37" s="187"/>
      <c r="AF37" s="188"/>
      <c r="AG37" s="187"/>
      <c r="AH37" s="187"/>
      <c r="AI37" s="187"/>
      <c r="AJ37" s="187"/>
      <c r="AK37" s="188"/>
      <c r="AL37" s="187"/>
      <c r="AM37" s="187"/>
      <c r="AN37" s="187"/>
      <c r="AO37" s="187"/>
      <c r="AP37" s="188"/>
      <c r="AQ37" s="187"/>
      <c r="AR37" s="187"/>
      <c r="AS37" s="187"/>
      <c r="AT37" s="187"/>
      <c r="AU37" s="188"/>
      <c r="AV37" s="187"/>
      <c r="AW37" s="187"/>
      <c r="AX37" s="187"/>
      <c r="AY37" s="187"/>
      <c r="AZ37" s="188"/>
      <c r="BA37" s="187"/>
      <c r="BB37" s="187"/>
      <c r="BC37" s="187"/>
      <c r="BD37" s="187"/>
      <c r="BE37" s="188"/>
      <c r="BF37" s="187"/>
      <c r="BG37" s="187"/>
      <c r="BH37" s="187"/>
      <c r="BI37" s="187"/>
      <c r="BJ37" s="188"/>
      <c r="BK37" s="189"/>
      <c r="BL37" s="188"/>
      <c r="BM37" s="189"/>
      <c r="BN37" s="189"/>
      <c r="BO37" s="189"/>
      <c r="BP37" s="189"/>
      <c r="BQ37" s="144"/>
      <c r="BR37" s="194"/>
      <c r="BS37" s="194"/>
      <c r="BZ37" s="144"/>
      <c r="CA37" s="202"/>
      <c r="CB37" s="202"/>
    </row>
    <row r="38" spans="1:80" ht="12.75" customHeight="1">
      <c r="A38" s="174"/>
      <c r="B38" s="219" t="s">
        <v>98</v>
      </c>
      <c r="C38" s="220">
        <f t="shared" ref="C38:AU38" si="56">+C15-C19-C25-C31</f>
        <v>72.099999999999994</v>
      </c>
      <c r="D38" s="220">
        <f t="shared" si="56"/>
        <v>89.200000000000017</v>
      </c>
      <c r="E38" s="220">
        <f t="shared" si="56"/>
        <v>94.600000000000009</v>
      </c>
      <c r="F38" s="220">
        <f t="shared" si="56"/>
        <v>95.6</v>
      </c>
      <c r="G38" s="221">
        <f t="shared" si="56"/>
        <v>351.49999999999994</v>
      </c>
      <c r="H38" s="222">
        <f t="shared" si="56"/>
        <v>83.800000000000011</v>
      </c>
      <c r="I38" s="222">
        <f t="shared" si="56"/>
        <v>96.299999999999983</v>
      </c>
      <c r="J38" s="222">
        <f t="shared" si="56"/>
        <v>99.4</v>
      </c>
      <c r="K38" s="222">
        <f t="shared" si="56"/>
        <v>107.80000000000001</v>
      </c>
      <c r="L38" s="221">
        <f t="shared" si="56"/>
        <v>387.2999999999999</v>
      </c>
      <c r="M38" s="220">
        <f t="shared" si="56"/>
        <v>87.53000000000003</v>
      </c>
      <c r="N38" s="220">
        <f t="shared" si="56"/>
        <v>109.47000000000004</v>
      </c>
      <c r="O38" s="220">
        <f t="shared" si="56"/>
        <v>111.38</v>
      </c>
      <c r="P38" s="220">
        <f t="shared" si="56"/>
        <v>130.48800000000003</v>
      </c>
      <c r="Q38" s="221">
        <f t="shared" si="56"/>
        <v>438.86799999999999</v>
      </c>
      <c r="R38" s="220">
        <f t="shared" si="56"/>
        <v>102.94000000000001</v>
      </c>
      <c r="S38" s="220">
        <f t="shared" si="56"/>
        <v>131.04800000000006</v>
      </c>
      <c r="T38" s="220">
        <f t="shared" si="56"/>
        <v>131.85799999999995</v>
      </c>
      <c r="U38" s="220">
        <f t="shared" si="56"/>
        <v>143.99899999999997</v>
      </c>
      <c r="V38" s="221">
        <f t="shared" si="56"/>
        <v>509.84499999999997</v>
      </c>
      <c r="W38" s="220">
        <f t="shared" si="56"/>
        <v>125.227</v>
      </c>
      <c r="X38" s="220">
        <f t="shared" si="56"/>
        <v>151.32999999999998</v>
      </c>
      <c r="Y38" s="220">
        <f t="shared" si="56"/>
        <v>149.46300000000002</v>
      </c>
      <c r="Z38" s="220">
        <f t="shared" si="56"/>
        <v>157.03899999999999</v>
      </c>
      <c r="AA38" s="221">
        <f t="shared" si="56"/>
        <v>583.05899999999986</v>
      </c>
      <c r="AB38" s="220">
        <f t="shared" si="56"/>
        <v>133.65299999999999</v>
      </c>
      <c r="AC38" s="220">
        <f t="shared" si="56"/>
        <v>161.69599999999997</v>
      </c>
      <c r="AD38" s="220">
        <f t="shared" si="56"/>
        <v>181.464</v>
      </c>
      <c r="AE38" s="220">
        <f t="shared" si="56"/>
        <v>193.59999999999997</v>
      </c>
      <c r="AF38" s="221">
        <f t="shared" si="56"/>
        <v>670.41300000000001</v>
      </c>
      <c r="AG38" s="220">
        <f t="shared" si="56"/>
        <v>168.12499999999997</v>
      </c>
      <c r="AH38" s="220">
        <f t="shared" si="56"/>
        <v>205.55199999999994</v>
      </c>
      <c r="AI38" s="220">
        <f t="shared" si="56"/>
        <v>208.405</v>
      </c>
      <c r="AJ38" s="220">
        <f t="shared" si="56"/>
        <v>222.345</v>
      </c>
      <c r="AK38" s="221">
        <f t="shared" si="56"/>
        <v>804.42699999999991</v>
      </c>
      <c r="AL38" s="220">
        <f t="shared" si="56"/>
        <v>193.4</v>
      </c>
      <c r="AM38" s="220">
        <f>+AM15-AM19-AM25-AM31</f>
        <v>233.26599999999996</v>
      </c>
      <c r="AN38" s="220">
        <f t="shared" si="56"/>
        <v>236.88199999999995</v>
      </c>
      <c r="AO38" s="220">
        <f t="shared" si="56"/>
        <v>248.44899999999998</v>
      </c>
      <c r="AP38" s="221">
        <f t="shared" si="56"/>
        <v>911.99699999999996</v>
      </c>
      <c r="AQ38" s="220">
        <f t="shared" si="56"/>
        <v>209.96200000000005</v>
      </c>
      <c r="AR38" s="220">
        <f t="shared" si="56"/>
        <v>256.21699999999987</v>
      </c>
      <c r="AS38" s="220">
        <f t="shared" si="56"/>
        <v>270.08699999999999</v>
      </c>
      <c r="AT38" s="220">
        <f t="shared" si="56"/>
        <v>281.77500000000009</v>
      </c>
      <c r="AU38" s="221">
        <f t="shared" si="56"/>
        <v>1018.0410000000001</v>
      </c>
      <c r="AV38" s="220">
        <f>+AV15-AV19-AV25-AV31</f>
        <v>394.56888650554833</v>
      </c>
      <c r="AW38" s="220">
        <f t="shared" ref="AW38:BE38" si="57">+AW15-AW19-AW25-AW31</f>
        <v>467.2473519834648</v>
      </c>
      <c r="AX38" s="220">
        <f t="shared" si="57"/>
        <v>496.2756964746726</v>
      </c>
      <c r="AY38" s="220">
        <f t="shared" si="57"/>
        <v>518.86321992785065</v>
      </c>
      <c r="AZ38" s="221">
        <f t="shared" si="57"/>
        <v>1876.9551548915363</v>
      </c>
      <c r="BA38" s="220">
        <f t="shared" si="57"/>
        <v>486.23672456927665</v>
      </c>
      <c r="BB38" s="220">
        <f t="shared" si="57"/>
        <v>530.9606667248147</v>
      </c>
      <c r="BC38" s="220">
        <f t="shared" si="57"/>
        <v>563.24516429473795</v>
      </c>
      <c r="BD38" s="220">
        <f t="shared" si="57"/>
        <v>588.9892771567246</v>
      </c>
      <c r="BE38" s="221">
        <f t="shared" si="57"/>
        <v>2169.4318327455549</v>
      </c>
      <c r="BF38" s="220">
        <f>+BF15-BF19-BF25-BF31</f>
        <v>549.95011798354926</v>
      </c>
      <c r="BG38" s="220">
        <f>+BG15-BG19-BG25-BG31</f>
        <v>599.84173311248719</v>
      </c>
      <c r="BH38" s="220">
        <f>+BH15-BH19-BH25-BH31</f>
        <v>635.35596429542284</v>
      </c>
      <c r="BI38" s="220">
        <f>+BI15-BI19-BI25-BI31</f>
        <v>664.64891385666942</v>
      </c>
      <c r="BJ38" s="221">
        <f>+BJ15-BJ19-BJ25-BJ31</f>
        <v>2449.7967292481285</v>
      </c>
      <c r="BK38" s="149"/>
      <c r="BL38" s="221">
        <f>+BL15-BL19-BL25-BL31</f>
        <v>1557.1689999999996</v>
      </c>
      <c r="BM38" s="642"/>
      <c r="BN38" s="170"/>
      <c r="BO38" s="149"/>
      <c r="BP38" s="149"/>
      <c r="BQ38" s="151"/>
      <c r="BR38" s="194"/>
      <c r="BS38" s="194"/>
      <c r="BZ38" s="174"/>
      <c r="CA38" s="194"/>
      <c r="CB38" s="194"/>
    </row>
    <row r="39" spans="1:80" ht="12.75" customHeight="1">
      <c r="A39" s="144"/>
      <c r="B39" s="153" t="s">
        <v>16</v>
      </c>
      <c r="C39" s="157"/>
      <c r="D39" s="157"/>
      <c r="E39" s="157"/>
      <c r="F39" s="157"/>
      <c r="G39" s="176"/>
      <c r="H39" s="156">
        <f>+H38/C38-1</f>
        <v>0.16227461858529835</v>
      </c>
      <c r="I39" s="156">
        <f>+I38/D38-1</f>
        <v>7.959641255605332E-2</v>
      </c>
      <c r="J39" s="156">
        <f>+J38/E38-1</f>
        <v>5.0739957716701811E-2</v>
      </c>
      <c r="K39" s="156">
        <f>+K38/F38-1</f>
        <v>0.12761506276150647</v>
      </c>
      <c r="L39" s="176">
        <f>+L38/G38-1</f>
        <v>0.10184921763869115</v>
      </c>
      <c r="M39" s="156">
        <f t="shared" ref="M39:AY39" si="58">+M38/H38-1</f>
        <v>4.4510739856802095E-2</v>
      </c>
      <c r="N39" s="156">
        <f t="shared" si="58"/>
        <v>0.1367601246105925</v>
      </c>
      <c r="O39" s="156">
        <f t="shared" si="58"/>
        <v>0.12052313883299792</v>
      </c>
      <c r="P39" s="156">
        <f t="shared" si="58"/>
        <v>0.21046382189239354</v>
      </c>
      <c r="Q39" s="176">
        <f>+Q38/L38-1</f>
        <v>0.13314743093209436</v>
      </c>
      <c r="R39" s="156">
        <f t="shared" si="58"/>
        <v>0.17605392436878753</v>
      </c>
      <c r="S39" s="156">
        <f t="shared" si="58"/>
        <v>0.19711336439207106</v>
      </c>
      <c r="T39" s="156">
        <f t="shared" si="58"/>
        <v>0.18385706590052031</v>
      </c>
      <c r="U39" s="156">
        <f t="shared" si="58"/>
        <v>0.1035420881613629</v>
      </c>
      <c r="V39" s="176">
        <f t="shared" si="58"/>
        <v>0.16172744424291574</v>
      </c>
      <c r="W39" s="156">
        <f t="shared" si="58"/>
        <v>0.21650476005440056</v>
      </c>
      <c r="X39" s="156">
        <f t="shared" si="58"/>
        <v>0.15476771869849149</v>
      </c>
      <c r="Y39" s="156">
        <f t="shared" si="58"/>
        <v>0.13351484172367312</v>
      </c>
      <c r="Z39" s="156">
        <f t="shared" si="58"/>
        <v>9.0556184417947438E-2</v>
      </c>
      <c r="AA39" s="176">
        <f t="shared" si="58"/>
        <v>0.14360050603614805</v>
      </c>
      <c r="AB39" s="156">
        <f t="shared" si="58"/>
        <v>6.7285808970908745E-2</v>
      </c>
      <c r="AC39" s="156">
        <f t="shared" si="58"/>
        <v>6.8499306152117745E-2</v>
      </c>
      <c r="AD39" s="156">
        <f t="shared" si="58"/>
        <v>0.21410650127456266</v>
      </c>
      <c r="AE39" s="156">
        <f t="shared" si="58"/>
        <v>0.23281477849451404</v>
      </c>
      <c r="AF39" s="176">
        <f t="shared" si="58"/>
        <v>0.1498201725725874</v>
      </c>
      <c r="AG39" s="156">
        <f t="shared" si="58"/>
        <v>0.25792163288515768</v>
      </c>
      <c r="AH39" s="156">
        <f t="shared" si="58"/>
        <v>0.27122501484266759</v>
      </c>
      <c r="AI39" s="156">
        <f t="shared" si="58"/>
        <v>0.14846470925362598</v>
      </c>
      <c r="AJ39" s="156">
        <f t="shared" si="58"/>
        <v>0.14847623966942169</v>
      </c>
      <c r="AK39" s="176">
        <f t="shared" si="58"/>
        <v>0.19989767501525169</v>
      </c>
      <c r="AL39" s="156">
        <f t="shared" si="58"/>
        <v>0.15033457249070659</v>
      </c>
      <c r="AM39" s="156">
        <f t="shared" si="58"/>
        <v>0.13482719701097556</v>
      </c>
      <c r="AN39" s="156">
        <f t="shared" si="58"/>
        <v>0.13664259494733777</v>
      </c>
      <c r="AO39" s="156">
        <f t="shared" si="58"/>
        <v>0.11740313476804065</v>
      </c>
      <c r="AP39" s="176">
        <f t="shared" si="58"/>
        <v>0.13372251304344585</v>
      </c>
      <c r="AQ39" s="156">
        <f t="shared" si="58"/>
        <v>8.5635987590486184E-2</v>
      </c>
      <c r="AR39" s="156">
        <f t="shared" si="58"/>
        <v>9.8389821062649041E-2</v>
      </c>
      <c r="AS39" s="156">
        <f t="shared" si="58"/>
        <v>0.14017527714220601</v>
      </c>
      <c r="AT39" s="156">
        <f t="shared" si="58"/>
        <v>0.13413618086609369</v>
      </c>
      <c r="AU39" s="176">
        <f t="shared" si="58"/>
        <v>0.11627669827861298</v>
      </c>
      <c r="AV39" s="156">
        <f t="shared" si="58"/>
        <v>0.87923951241438103</v>
      </c>
      <c r="AW39" s="156">
        <f t="shared" si="58"/>
        <v>0.82363914956253881</v>
      </c>
      <c r="AX39" s="156">
        <f t="shared" si="58"/>
        <v>0.83746606269340118</v>
      </c>
      <c r="AY39" s="156">
        <f t="shared" si="58"/>
        <v>0.84140970606991572</v>
      </c>
      <c r="AZ39" s="176">
        <f t="shared" ref="AZ39:BJ39" si="59">+AZ38/AU38-1</f>
        <v>0.84369308789286102</v>
      </c>
      <c r="BA39" s="156">
        <f t="shared" si="59"/>
        <v>0.2323240407412086</v>
      </c>
      <c r="BB39" s="156">
        <f t="shared" si="59"/>
        <v>0.13635885676159942</v>
      </c>
      <c r="BC39" s="156">
        <f t="shared" si="59"/>
        <v>0.13494408107386158</v>
      </c>
      <c r="BD39" s="156">
        <f t="shared" si="59"/>
        <v>0.13515326300951758</v>
      </c>
      <c r="BE39" s="176">
        <f t="shared" si="59"/>
        <v>0.15582507503804477</v>
      </c>
      <c r="BF39" s="156">
        <f t="shared" si="59"/>
        <v>0.13103369242772001</v>
      </c>
      <c r="BG39" s="156">
        <f t="shared" si="59"/>
        <v>0.12972913193845304</v>
      </c>
      <c r="BH39" s="156">
        <f t="shared" si="59"/>
        <v>0.12802737523894714</v>
      </c>
      <c r="BI39" s="156">
        <f t="shared" si="59"/>
        <v>0.12845673025692883</v>
      </c>
      <c r="BJ39" s="176">
        <f t="shared" si="59"/>
        <v>0.12923425030956337</v>
      </c>
      <c r="BK39" s="1181"/>
      <c r="BL39" s="176">
        <f>+BL38/BL15</f>
        <v>0.46955463189344154</v>
      </c>
      <c r="BM39" s="1181"/>
      <c r="BN39" s="179"/>
      <c r="BO39" s="179"/>
      <c r="BP39" s="179"/>
      <c r="BQ39" s="137"/>
      <c r="BR39" s="194"/>
      <c r="BS39" s="194"/>
      <c r="BZ39" s="144"/>
      <c r="CA39" s="202"/>
      <c r="CB39" s="202"/>
    </row>
    <row r="40" spans="1:80" ht="12.75" customHeight="1">
      <c r="A40" s="144"/>
      <c r="B40" s="153" t="s">
        <v>24</v>
      </c>
      <c r="C40" s="156">
        <f t="shared" ref="C40:AU40" si="60">+C38/C15</f>
        <v>0.45777777777777773</v>
      </c>
      <c r="D40" s="156">
        <f t="shared" si="60"/>
        <v>0.49749023982152824</v>
      </c>
      <c r="E40" s="156">
        <f t="shared" si="60"/>
        <v>0.51441000543773796</v>
      </c>
      <c r="F40" s="156">
        <f t="shared" si="60"/>
        <v>0.51425497579343726</v>
      </c>
      <c r="G40" s="176">
        <f t="shared" si="60"/>
        <v>0.4974525898669685</v>
      </c>
      <c r="H40" s="156">
        <f t="shared" si="60"/>
        <v>0.47667804323094431</v>
      </c>
      <c r="I40" s="156">
        <f t="shared" si="60"/>
        <v>0.51168969181721569</v>
      </c>
      <c r="J40" s="156">
        <f t="shared" si="60"/>
        <v>0.49600798403193613</v>
      </c>
      <c r="K40" s="156">
        <f t="shared" si="60"/>
        <v>0.51727447216890599</v>
      </c>
      <c r="L40" s="176">
        <f t="shared" si="60"/>
        <v>0.5011645962732918</v>
      </c>
      <c r="M40" s="156">
        <f t="shared" si="60"/>
        <v>0.46255879088939394</v>
      </c>
      <c r="N40" s="156">
        <f t="shared" si="60"/>
        <v>0.50477244432148305</v>
      </c>
      <c r="O40" s="156">
        <f t="shared" si="60"/>
        <v>0.51355588343784575</v>
      </c>
      <c r="P40" s="156">
        <f t="shared" si="60"/>
        <v>0.537678006329114</v>
      </c>
      <c r="Q40" s="176">
        <f t="shared" si="60"/>
        <v>0.5069703396683255</v>
      </c>
      <c r="R40" s="156">
        <f t="shared" si="60"/>
        <v>0.44259849256818057</v>
      </c>
      <c r="S40" s="156">
        <f t="shared" si="60"/>
        <v>0.50329904984292084</v>
      </c>
      <c r="T40" s="156">
        <f t="shared" si="60"/>
        <v>0.51009489471831382</v>
      </c>
      <c r="U40" s="156">
        <f t="shared" si="60"/>
        <v>0.53099717537040991</v>
      </c>
      <c r="V40" s="176">
        <f t="shared" si="60"/>
        <v>0.49855667965915729</v>
      </c>
      <c r="W40" s="156">
        <f t="shared" si="60"/>
        <v>0.45887336433358616</v>
      </c>
      <c r="X40" s="156">
        <f t="shared" si="60"/>
        <v>0.5096882188698818</v>
      </c>
      <c r="Y40" s="156">
        <f t="shared" si="60"/>
        <v>0.50802159031426963</v>
      </c>
      <c r="Z40" s="156">
        <f t="shared" si="60"/>
        <v>0.50883929207898326</v>
      </c>
      <c r="AA40" s="176">
        <f t="shared" si="60"/>
        <v>0.49722079144764436</v>
      </c>
      <c r="AB40" s="156">
        <f t="shared" si="60"/>
        <v>0.46321725146604187</v>
      </c>
      <c r="AC40" s="156">
        <f t="shared" si="60"/>
        <v>0.4880077503704664</v>
      </c>
      <c r="AD40" s="156">
        <f t="shared" si="60"/>
        <v>0.47688802339974296</v>
      </c>
      <c r="AE40" s="156">
        <f t="shared" si="60"/>
        <v>0.48141240830535864</v>
      </c>
      <c r="AF40" s="176">
        <f t="shared" si="60"/>
        <v>0.47799988306912183</v>
      </c>
      <c r="AG40" s="156">
        <f t="shared" si="60"/>
        <v>0.44897386938699207</v>
      </c>
      <c r="AH40" s="156">
        <f t="shared" si="60"/>
        <v>0.48519754700858725</v>
      </c>
      <c r="AI40" s="156">
        <f t="shared" si="60"/>
        <v>0.48415611569287959</v>
      </c>
      <c r="AJ40" s="156">
        <f t="shared" si="60"/>
        <v>0.49063827439730789</v>
      </c>
      <c r="AK40" s="176">
        <f t="shared" si="60"/>
        <v>0.47833131954123592</v>
      </c>
      <c r="AL40" s="156">
        <f t="shared" si="60"/>
        <v>0.44850536861390045</v>
      </c>
      <c r="AM40" s="156">
        <f t="shared" si="60"/>
        <v>0.48548433757005993</v>
      </c>
      <c r="AN40" s="156">
        <f t="shared" si="60"/>
        <v>0.48278434265822623</v>
      </c>
      <c r="AO40" s="156">
        <f t="shared" si="60"/>
        <v>0.49451247183586378</v>
      </c>
      <c r="AP40" s="176">
        <f t="shared" si="60"/>
        <v>0.47879865242935987</v>
      </c>
      <c r="AQ40" s="156">
        <f t="shared" si="60"/>
        <v>0.44662313075663151</v>
      </c>
      <c r="AR40" s="156">
        <f t="shared" si="60"/>
        <v>0.48340002754555844</v>
      </c>
      <c r="AS40" s="156">
        <f t="shared" si="60"/>
        <v>0.48731758541549386</v>
      </c>
      <c r="AT40" s="156">
        <f t="shared" si="60"/>
        <v>0.49526399139450811</v>
      </c>
      <c r="AU40" s="176">
        <f t="shared" si="60"/>
        <v>0.4794589772958473</v>
      </c>
      <c r="AV40" s="156">
        <f t="shared" ref="AV40:BE40" si="61">+AV38/AV15</f>
        <v>0.47299999999999992</v>
      </c>
      <c r="AW40" s="156">
        <f t="shared" si="61"/>
        <v>0.47970000000000002</v>
      </c>
      <c r="AX40" s="156">
        <f t="shared" si="61"/>
        <v>0.48669999999999991</v>
      </c>
      <c r="AY40" s="156">
        <f t="shared" si="61"/>
        <v>0.49369999999999992</v>
      </c>
      <c r="AZ40" s="176">
        <f>+AZ38/AZ15</f>
        <v>0.48389252579839842</v>
      </c>
      <c r="BA40" s="156">
        <f t="shared" si="61"/>
        <v>0.49299999999999999</v>
      </c>
      <c r="BB40" s="156">
        <f t="shared" si="61"/>
        <v>0.49969999999999992</v>
      </c>
      <c r="BC40" s="156">
        <f t="shared" si="61"/>
        <v>0.50669999999999993</v>
      </c>
      <c r="BD40" s="156">
        <f t="shared" si="61"/>
        <v>0.51370000000000005</v>
      </c>
      <c r="BE40" s="176">
        <f t="shared" si="61"/>
        <v>0.50369929553932091</v>
      </c>
      <c r="BF40" s="156">
        <f>+BF38/BF15</f>
        <v>0.51</v>
      </c>
      <c r="BG40" s="156">
        <f>+BG38/BG15</f>
        <v>0.51670000000000005</v>
      </c>
      <c r="BH40" s="156">
        <f>+BH38/BH15</f>
        <v>0.52370000000000005</v>
      </c>
      <c r="BI40" s="156">
        <f>+BI38/BI15</f>
        <v>0.53070000000000006</v>
      </c>
      <c r="BJ40" s="176">
        <f>+BJ38/BJ15</f>
        <v>0.52069613521144575</v>
      </c>
      <c r="BK40" s="1181"/>
      <c r="BL40" s="176"/>
      <c r="BM40" s="1181"/>
      <c r="BN40" s="179"/>
      <c r="BO40" s="179"/>
      <c r="BP40" s="179"/>
      <c r="BQ40" s="179"/>
      <c r="BR40" s="194"/>
      <c r="BS40" s="194"/>
      <c r="BZ40" s="1268"/>
      <c r="CA40" s="202"/>
      <c r="CB40" s="202"/>
    </row>
    <row r="41" spans="1:80" ht="12.75" customHeight="1">
      <c r="A41" s="144"/>
      <c r="B41" s="223" t="s">
        <v>99</v>
      </c>
      <c r="C41" s="128"/>
      <c r="D41" s="128"/>
      <c r="E41" s="128"/>
      <c r="F41" s="128"/>
      <c r="G41" s="224"/>
      <c r="H41" s="225">
        <f>+(H40-C40)*10000</f>
        <v>189.00265453166588</v>
      </c>
      <c r="I41" s="225">
        <f>+(I40-D40)*10000</f>
        <v>141.99451995687451</v>
      </c>
      <c r="J41" s="225">
        <f>+(J40-E40)*10000</f>
        <v>-184.02021405801827</v>
      </c>
      <c r="K41" s="225">
        <f>+(K40-F40)*10000</f>
        <v>30.194963754687222</v>
      </c>
      <c r="L41" s="224">
        <f t="shared" ref="L41:AZ41" si="62">+(L40-G40)*10000</f>
        <v>37.120064063232981</v>
      </c>
      <c r="M41" s="226">
        <f t="shared" si="62"/>
        <v>-141.1925234155037</v>
      </c>
      <c r="N41" s="226">
        <f t="shared" si="62"/>
        <v>-69.172474957326372</v>
      </c>
      <c r="O41" s="226">
        <f t="shared" si="62"/>
        <v>175.47899405909618</v>
      </c>
      <c r="P41" s="226">
        <f t="shared" si="62"/>
        <v>204.03534160208014</v>
      </c>
      <c r="Q41" s="227">
        <f t="shared" si="62"/>
        <v>58.057433950337021</v>
      </c>
      <c r="R41" s="226">
        <f t="shared" si="62"/>
        <v>-199.60298321213378</v>
      </c>
      <c r="S41" s="226">
        <f t="shared" si="62"/>
        <v>-14.733944785622066</v>
      </c>
      <c r="T41" s="226">
        <f t="shared" si="62"/>
        <v>-34.609887195319324</v>
      </c>
      <c r="U41" s="226">
        <f t="shared" si="62"/>
        <v>-66.808309587040867</v>
      </c>
      <c r="V41" s="227">
        <f t="shared" si="62"/>
        <v>-84.136600091682112</v>
      </c>
      <c r="W41" s="226">
        <f t="shared" si="62"/>
        <v>162.74871765405595</v>
      </c>
      <c r="X41" s="226">
        <f t="shared" si="62"/>
        <v>63.891690269609612</v>
      </c>
      <c r="Y41" s="226">
        <f t="shared" si="62"/>
        <v>-20.73304404044185</v>
      </c>
      <c r="Z41" s="226">
        <f t="shared" si="62"/>
        <v>-221.57883291426651</v>
      </c>
      <c r="AA41" s="227">
        <f t="shared" si="62"/>
        <v>-13.358882115129255</v>
      </c>
      <c r="AB41" s="226">
        <f t="shared" si="62"/>
        <v>43.438871324557041</v>
      </c>
      <c r="AC41" s="226">
        <f t="shared" si="62"/>
        <v>-216.80468499415406</v>
      </c>
      <c r="AD41" s="226">
        <f t="shared" si="62"/>
        <v>-311.33566914526676</v>
      </c>
      <c r="AE41" s="226">
        <f t="shared" si="62"/>
        <v>-274.26883773624621</v>
      </c>
      <c r="AF41" s="227">
        <f t="shared" si="62"/>
        <v>-192.20908378522529</v>
      </c>
      <c r="AG41" s="226">
        <f t="shared" si="62"/>
        <v>-142.43382079049795</v>
      </c>
      <c r="AH41" s="226">
        <f t="shared" si="62"/>
        <v>-28.102033618791488</v>
      </c>
      <c r="AI41" s="226">
        <f t="shared" si="62"/>
        <v>72.680922931366297</v>
      </c>
      <c r="AJ41" s="226">
        <f t="shared" si="62"/>
        <v>92.258660919492527</v>
      </c>
      <c r="AK41" s="227">
        <f t="shared" si="62"/>
        <v>3.3143647211408833</v>
      </c>
      <c r="AL41" s="226">
        <f t="shared" si="62"/>
        <v>-4.6850077309162907</v>
      </c>
      <c r="AM41" s="226">
        <f t="shared" si="62"/>
        <v>2.8679056147268289</v>
      </c>
      <c r="AN41" s="226">
        <f t="shared" si="62"/>
        <v>-13.717730346533564</v>
      </c>
      <c r="AO41" s="226">
        <f t="shared" si="62"/>
        <v>38.741974385558819</v>
      </c>
      <c r="AP41" s="227">
        <f t="shared" si="62"/>
        <v>4.6733288812395024</v>
      </c>
      <c r="AQ41" s="226">
        <f t="shared" si="62"/>
        <v>-18.822378572689313</v>
      </c>
      <c r="AR41" s="226">
        <f t="shared" si="62"/>
        <v>-20.843100245014902</v>
      </c>
      <c r="AS41" s="226">
        <f t="shared" si="62"/>
        <v>45.332427572676302</v>
      </c>
      <c r="AT41" s="226">
        <f t="shared" si="62"/>
        <v>7.5151955864433129</v>
      </c>
      <c r="AU41" s="227">
        <f t="shared" si="62"/>
        <v>6.6032486648742728</v>
      </c>
      <c r="AV41" s="226">
        <f t="shared" si="62"/>
        <v>263.76869243368407</v>
      </c>
      <c r="AW41" s="226">
        <f t="shared" si="62"/>
        <v>-37.000275455584266</v>
      </c>
      <c r="AX41" s="226">
        <f t="shared" si="62"/>
        <v>-6.1758541549394863</v>
      </c>
      <c r="AY41" s="226">
        <f t="shared" si="62"/>
        <v>-15.639913945081908</v>
      </c>
      <c r="AZ41" s="227">
        <f t="shared" si="62"/>
        <v>44.335485025511211</v>
      </c>
      <c r="BA41" s="226">
        <f t="shared" ref="BA41:BJ41" si="63">+(BA40-AV40)*10000</f>
        <v>200.00000000000074</v>
      </c>
      <c r="BB41" s="226">
        <f t="shared" si="63"/>
        <v>199.99999999999906</v>
      </c>
      <c r="BC41" s="226">
        <f t="shared" si="63"/>
        <v>200.00000000000017</v>
      </c>
      <c r="BD41" s="226">
        <f t="shared" si="63"/>
        <v>200.00000000000128</v>
      </c>
      <c r="BE41" s="227">
        <f t="shared" si="63"/>
        <v>198.06769740922491</v>
      </c>
      <c r="BF41" s="226">
        <f t="shared" si="63"/>
        <v>170.00000000000014</v>
      </c>
      <c r="BG41" s="226">
        <f t="shared" si="63"/>
        <v>170.00000000000125</v>
      </c>
      <c r="BH41" s="226">
        <f t="shared" si="63"/>
        <v>170.00000000000125</v>
      </c>
      <c r="BI41" s="226">
        <f t="shared" si="63"/>
        <v>170.00000000000014</v>
      </c>
      <c r="BJ41" s="227">
        <f t="shared" si="63"/>
        <v>169.96839672124841</v>
      </c>
      <c r="BK41" s="1200"/>
      <c r="BL41" s="227"/>
      <c r="BM41" s="1200"/>
      <c r="BN41" s="228"/>
      <c r="BO41" s="179"/>
      <c r="BP41" s="179"/>
      <c r="BQ41" s="179"/>
      <c r="BR41" s="194"/>
      <c r="BS41" s="194"/>
      <c r="BZ41" s="1268"/>
      <c r="CA41" s="202"/>
      <c r="CB41" s="202"/>
    </row>
    <row r="42" spans="1:80" ht="4.5" customHeight="1">
      <c r="A42" s="144"/>
      <c r="B42" s="183"/>
      <c r="C42" s="128"/>
      <c r="D42" s="128"/>
      <c r="E42" s="128"/>
      <c r="F42" s="128"/>
      <c r="G42" s="184"/>
      <c r="H42" s="128"/>
      <c r="I42" s="128"/>
      <c r="J42" s="128"/>
      <c r="K42" s="128"/>
      <c r="L42" s="184"/>
      <c r="M42" s="128"/>
      <c r="N42" s="128"/>
      <c r="O42" s="185"/>
      <c r="P42" s="185"/>
      <c r="Q42" s="184"/>
      <c r="R42" s="181"/>
      <c r="S42" s="181"/>
      <c r="T42" s="181"/>
      <c r="U42" s="181"/>
      <c r="V42" s="184"/>
      <c r="W42" s="181"/>
      <c r="X42" s="181"/>
      <c r="Y42" s="181"/>
      <c r="Z42" s="181"/>
      <c r="AA42" s="184"/>
      <c r="AB42" s="181"/>
      <c r="AC42" s="181"/>
      <c r="AD42" s="181"/>
      <c r="AE42" s="181"/>
      <c r="AF42" s="184"/>
      <c r="AG42" s="181"/>
      <c r="AH42" s="181"/>
      <c r="AI42" s="181"/>
      <c r="AJ42" s="181"/>
      <c r="AK42" s="184"/>
      <c r="AL42" s="181"/>
      <c r="AM42" s="181"/>
      <c r="AN42" s="181"/>
      <c r="AO42" s="181"/>
      <c r="AP42" s="184"/>
      <c r="AQ42" s="181"/>
      <c r="AR42" s="181"/>
      <c r="AS42" s="181"/>
      <c r="AT42" s="181"/>
      <c r="AU42" s="184"/>
      <c r="AV42" s="181"/>
      <c r="AW42" s="181"/>
      <c r="AX42" s="181"/>
      <c r="AY42" s="181"/>
      <c r="AZ42" s="184"/>
      <c r="BA42" s="181"/>
      <c r="BB42" s="181"/>
      <c r="BC42" s="181"/>
      <c r="BD42" s="181"/>
      <c r="BE42" s="184"/>
      <c r="BF42" s="181"/>
      <c r="BG42" s="181"/>
      <c r="BH42" s="181"/>
      <c r="BI42" s="181"/>
      <c r="BJ42" s="184"/>
      <c r="BK42" s="189"/>
      <c r="BL42" s="184"/>
      <c r="BM42" s="189"/>
      <c r="BN42" s="189"/>
      <c r="BO42" s="179"/>
      <c r="BP42" s="179"/>
      <c r="BQ42" s="179"/>
      <c r="BR42" s="194"/>
      <c r="BS42" s="194"/>
      <c r="BZ42" s="1268"/>
      <c r="CA42" s="202"/>
      <c r="CB42" s="202"/>
    </row>
    <row r="43" spans="1:80" ht="12.75">
      <c r="A43" s="144"/>
      <c r="B43" s="229" t="s">
        <v>100</v>
      </c>
      <c r="C43" s="230"/>
      <c r="D43" s="230"/>
      <c r="E43" s="230"/>
      <c r="F43" s="230"/>
      <c r="G43" s="231"/>
      <c r="H43" s="230"/>
      <c r="I43" s="230"/>
      <c r="J43" s="230"/>
      <c r="K43" s="230"/>
      <c r="L43" s="231"/>
      <c r="M43" s="230"/>
      <c r="N43" s="230"/>
      <c r="O43" s="232"/>
      <c r="P43" s="232"/>
      <c r="Q43" s="231"/>
      <c r="R43" s="233"/>
      <c r="S43" s="233"/>
      <c r="T43" s="233"/>
      <c r="U43" s="233"/>
      <c r="V43" s="231"/>
      <c r="W43" s="233"/>
      <c r="X43" s="233"/>
      <c r="Y43" s="233"/>
      <c r="Z43" s="233"/>
      <c r="AA43" s="231"/>
      <c r="AB43" s="233"/>
      <c r="AC43" s="233"/>
      <c r="AD43" s="233"/>
      <c r="AE43" s="233"/>
      <c r="AF43" s="234">
        <f>AF38-AF104</f>
        <v>628.24199999999996</v>
      </c>
      <c r="AG43" s="233"/>
      <c r="AH43" s="233"/>
      <c r="AI43" s="233"/>
      <c r="AJ43" s="233"/>
      <c r="AK43" s="234">
        <f>AK38-AK104</f>
        <v>773.93499999999995</v>
      </c>
      <c r="AL43" s="233"/>
      <c r="AM43" s="233"/>
      <c r="AN43" s="233"/>
      <c r="AO43" s="233"/>
      <c r="AP43" s="234">
        <f>AP38-AP104</f>
        <v>876.12599999999998</v>
      </c>
      <c r="AQ43" s="233"/>
      <c r="AR43" s="233"/>
      <c r="AS43" s="233"/>
      <c r="AT43" s="233"/>
      <c r="AU43" s="234">
        <f>AU38-AU104</f>
        <v>970.18600000000004</v>
      </c>
      <c r="AV43" s="233"/>
      <c r="AW43" s="233"/>
      <c r="AX43" s="233"/>
      <c r="AY43" s="233"/>
      <c r="AZ43" s="234">
        <f>AZ38-AZ104</f>
        <v>1807.1355338252597</v>
      </c>
      <c r="BA43" s="233"/>
      <c r="BB43" s="233"/>
      <c r="BC43" s="233"/>
      <c r="BD43" s="233"/>
      <c r="BE43" s="234">
        <f>BE38-BE104</f>
        <v>2091.905869665522</v>
      </c>
      <c r="BF43" s="233"/>
      <c r="BG43" s="233"/>
      <c r="BH43" s="233"/>
      <c r="BI43" s="233"/>
      <c r="BJ43" s="234">
        <f>BJ38-BJ104</f>
        <v>2365.109445927772</v>
      </c>
      <c r="BK43" s="189"/>
      <c r="BL43" s="234">
        <f>BL38-BL104-BL105</f>
        <v>1389.0449999999996</v>
      </c>
      <c r="BM43" s="189"/>
      <c r="BN43" s="173"/>
      <c r="BO43" s="173"/>
      <c r="BP43" s="179"/>
      <c r="BQ43" s="179"/>
      <c r="BR43" s="194"/>
      <c r="BS43" s="194"/>
      <c r="BZ43" s="1268"/>
      <c r="CA43" s="202"/>
      <c r="CB43" s="202"/>
    </row>
    <row r="44" spans="1:80" ht="12.75" customHeight="1">
      <c r="A44" s="174"/>
      <c r="B44" s="235" t="s">
        <v>101</v>
      </c>
      <c r="C44" s="236">
        <v>8.1</v>
      </c>
      <c r="D44" s="236">
        <v>8.1</v>
      </c>
      <c r="E44" s="236">
        <v>8.1</v>
      </c>
      <c r="F44" s="237">
        <v>8.1</v>
      </c>
      <c r="G44" s="238">
        <f>+SUM(C44:F44)</f>
        <v>32.4</v>
      </c>
      <c r="H44" s="239">
        <v>8.1</v>
      </c>
      <c r="I44" s="239">
        <v>8.1</v>
      </c>
      <c r="J44" s="239">
        <v>8.1</v>
      </c>
      <c r="K44" s="239">
        <v>8.1</v>
      </c>
      <c r="L44" s="238">
        <f>+SUM(H44:K44)</f>
        <v>32.4</v>
      </c>
      <c r="M44" s="239">
        <v>8.1</v>
      </c>
      <c r="N44" s="239">
        <v>8.1</v>
      </c>
      <c r="O44" s="239">
        <v>8.1</v>
      </c>
      <c r="P44" s="239">
        <v>9.5</v>
      </c>
      <c r="Q44" s="238">
        <f>+SUM(M44:P44)</f>
        <v>33.799999999999997</v>
      </c>
      <c r="R44" s="239">
        <v>9.6059999999999999</v>
      </c>
      <c r="S44" s="239">
        <v>10.381</v>
      </c>
      <c r="T44" s="239">
        <v>11.039</v>
      </c>
      <c r="U44" s="239">
        <v>12.077</v>
      </c>
      <c r="V44" s="238">
        <f>+SUM(R44:U44)</f>
        <v>43.103000000000002</v>
      </c>
      <c r="W44" s="239">
        <v>12.836</v>
      </c>
      <c r="X44" s="239">
        <v>14.082000000000001</v>
      </c>
      <c r="Y44" s="239">
        <v>16.635999999999999</v>
      </c>
      <c r="Z44" s="239">
        <v>16.937999999999999</v>
      </c>
      <c r="AA44" s="238">
        <f>+SUM(W44:Z44)</f>
        <v>60.492000000000004</v>
      </c>
      <c r="AB44" s="239">
        <v>17.597999999999999</v>
      </c>
      <c r="AC44" s="239">
        <v>18.940000000000001</v>
      </c>
      <c r="AD44" s="239">
        <v>20.143000000000001</v>
      </c>
      <c r="AE44" s="239">
        <v>19.824999999999999</v>
      </c>
      <c r="AF44" s="238">
        <f>+SUM(AB44:AE44)</f>
        <v>76.506</v>
      </c>
      <c r="AG44" s="239">
        <v>20.577000000000002</v>
      </c>
      <c r="AH44" s="239">
        <v>20.135000000000002</v>
      </c>
      <c r="AI44" s="239">
        <v>21.956</v>
      </c>
      <c r="AJ44" s="239">
        <v>22.832999999999998</v>
      </c>
      <c r="AK44" s="238">
        <f>+SUM(AG44:AJ44)</f>
        <v>85.501000000000005</v>
      </c>
      <c r="AL44" s="239">
        <v>20.565000000000001</v>
      </c>
      <c r="AM44" s="239">
        <v>17.992000000000001</v>
      </c>
      <c r="AN44" s="239">
        <f>66.086-47.797</f>
        <v>18.289000000000001</v>
      </c>
      <c r="AO44" s="239">
        <f>70.504-48.118</f>
        <v>22.386000000000003</v>
      </c>
      <c r="AP44" s="238">
        <f>+SUM(AL44:AO44)</f>
        <v>79.231999999999999</v>
      </c>
      <c r="AQ44" s="239">
        <f>76.086-51.906</f>
        <v>24.18</v>
      </c>
      <c r="AR44" s="239">
        <f>78.378-54.294</f>
        <v>24.084000000000003</v>
      </c>
      <c r="AS44" s="239">
        <f>82.5-55.28</f>
        <v>27.22</v>
      </c>
      <c r="AT44" s="239">
        <f>81.529-56.369</f>
        <v>25.159999999999997</v>
      </c>
      <c r="AU44" s="238">
        <f>+SUM(AQ44:AT44)</f>
        <v>100.64400000000001</v>
      </c>
      <c r="AV44" s="239">
        <f>+AV15*AV46</f>
        <v>35.452806927031311</v>
      </c>
      <c r="AW44" s="239">
        <f>+AW15*AW46</f>
        <v>41.396732247857521</v>
      </c>
      <c r="AX44" s="239">
        <f>+AX15*AX46</f>
        <v>43.3361764951173</v>
      </c>
      <c r="AY44" s="239">
        <f>+AY15*AY46</f>
        <v>44.666167403146964</v>
      </c>
      <c r="AZ44" s="238">
        <f>+SUM(AV44:AY44)</f>
        <v>164.85188307315309</v>
      </c>
      <c r="BA44" s="239">
        <f>+BA15*BA46</f>
        <v>46.848365957486088</v>
      </c>
      <c r="BB44" s="239">
        <f>+BB15*BB46</f>
        <v>50.471546266617374</v>
      </c>
      <c r="BC44" s="239">
        <f>+BC15*BC46</f>
        <v>52.800760418393637</v>
      </c>
      <c r="BD44" s="239">
        <f>+BD15*BD46</f>
        <v>54.461729929811987</v>
      </c>
      <c r="BE44" s="238">
        <f>+SUM(BA44:BD44)</f>
        <v>204.58240257230906</v>
      </c>
      <c r="BF44" s="239">
        <f>+BF15*BF46</f>
        <v>51.220844321997234</v>
      </c>
      <c r="BG44" s="239">
        <f>+BG15*BG46</f>
        <v>55.14318235502833</v>
      </c>
      <c r="BH44" s="239">
        <f>+BH15*BH46</f>
        <v>57.627283376040829</v>
      </c>
      <c r="BI44" s="239">
        <f>+BI15*BI46</f>
        <v>59.489020931207456</v>
      </c>
      <c r="BJ44" s="238">
        <f>+SUM(BF44:BI44)</f>
        <v>223.48033098427385</v>
      </c>
      <c r="BK44" s="173"/>
      <c r="BL44" s="238"/>
      <c r="BM44" s="173"/>
      <c r="BN44" s="173"/>
      <c r="BO44" s="173"/>
      <c r="BP44" s="173"/>
      <c r="BQ44" s="240"/>
      <c r="BR44" s="194"/>
      <c r="BS44" s="194"/>
      <c r="BZ44" s="174"/>
      <c r="CA44" s="202"/>
      <c r="CB44" s="202"/>
    </row>
    <row r="45" spans="1:80" ht="12.75" customHeight="1">
      <c r="A45" s="144"/>
      <c r="B45" s="153" t="s">
        <v>16</v>
      </c>
      <c r="C45" s="156"/>
      <c r="D45" s="156"/>
      <c r="E45" s="156"/>
      <c r="F45" s="156"/>
      <c r="G45" s="176"/>
      <c r="H45" s="156">
        <f>+H44/C44-1</f>
        <v>0</v>
      </c>
      <c r="I45" s="156">
        <f>+I44/D44-1</f>
        <v>0</v>
      </c>
      <c r="J45" s="156">
        <f>+J44/E44-1</f>
        <v>0</v>
      </c>
      <c r="K45" s="156">
        <f>+K44/F44-1</f>
        <v>0</v>
      </c>
      <c r="L45" s="176">
        <f>+L44/G44-1</f>
        <v>0</v>
      </c>
      <c r="M45" s="156">
        <f t="shared" ref="M45:V45" si="64">+M44/H44-1</f>
        <v>0</v>
      </c>
      <c r="N45" s="156">
        <f t="shared" si="64"/>
        <v>0</v>
      </c>
      <c r="O45" s="156">
        <f t="shared" si="64"/>
        <v>0</v>
      </c>
      <c r="P45" s="156">
        <f t="shared" si="64"/>
        <v>0.17283950617283961</v>
      </c>
      <c r="Q45" s="176">
        <f>+Q44/L44-1</f>
        <v>4.3209876543209846E-2</v>
      </c>
      <c r="R45" s="156">
        <f>+R44/M44-1</f>
        <v>0.18592592592592605</v>
      </c>
      <c r="S45" s="156">
        <f t="shared" si="64"/>
        <v>0.28160493827160504</v>
      </c>
      <c r="T45" s="156">
        <f t="shared" si="64"/>
        <v>0.36283950617283955</v>
      </c>
      <c r="U45" s="156">
        <f t="shared" si="64"/>
        <v>0.27126315789473687</v>
      </c>
      <c r="V45" s="176">
        <f t="shared" si="64"/>
        <v>0.27523668639053267</v>
      </c>
      <c r="W45" s="156">
        <f>+W44/R44-1</f>
        <v>0.33624817822194464</v>
      </c>
      <c r="X45" s="156">
        <f t="shared" ref="X45:AZ45" si="65">+X44/S44-1</f>
        <v>0.35651671322608625</v>
      </c>
      <c r="Y45" s="156">
        <f t="shared" si="65"/>
        <v>0.50702056345683477</v>
      </c>
      <c r="Z45" s="156">
        <f t="shared" si="65"/>
        <v>0.40250062101515272</v>
      </c>
      <c r="AA45" s="176">
        <f t="shared" si="65"/>
        <v>0.40342899566155488</v>
      </c>
      <c r="AB45" s="156">
        <f t="shared" si="65"/>
        <v>0.37098784668120888</v>
      </c>
      <c r="AC45" s="156">
        <f t="shared" si="65"/>
        <v>0.34497940633432744</v>
      </c>
      <c r="AD45" s="156">
        <f t="shared" si="65"/>
        <v>0.21080788651118065</v>
      </c>
      <c r="AE45" s="156">
        <f t="shared" si="65"/>
        <v>0.17044515291061524</v>
      </c>
      <c r="AF45" s="176">
        <f t="shared" si="65"/>
        <v>0.26472922039277913</v>
      </c>
      <c r="AG45" s="156">
        <f t="shared" si="65"/>
        <v>0.16928060006818968</v>
      </c>
      <c r="AH45" s="156">
        <f t="shared" si="65"/>
        <v>6.3093980992608323E-2</v>
      </c>
      <c r="AI45" s="156">
        <f t="shared" si="65"/>
        <v>9.0006453854937218E-2</v>
      </c>
      <c r="AJ45" s="156">
        <f t="shared" si="65"/>
        <v>0.15172761664564938</v>
      </c>
      <c r="AK45" s="176">
        <f t="shared" si="65"/>
        <v>0.11757247797558357</v>
      </c>
      <c r="AL45" s="156">
        <f t="shared" si="65"/>
        <v>-5.8317538999852481E-4</v>
      </c>
      <c r="AM45" s="156">
        <f t="shared" si="65"/>
        <v>-0.10643158678917308</v>
      </c>
      <c r="AN45" s="156">
        <f t="shared" si="65"/>
        <v>-0.16701584988158125</v>
      </c>
      <c r="AO45" s="156">
        <f t="shared" si="65"/>
        <v>-1.9576928130337512E-2</v>
      </c>
      <c r="AP45" s="176">
        <f t="shared" si="65"/>
        <v>-7.3320779873919717E-2</v>
      </c>
      <c r="AQ45" s="156">
        <f t="shared" si="65"/>
        <v>0.1757840991976658</v>
      </c>
      <c r="AR45" s="156">
        <f t="shared" si="65"/>
        <v>0.33859493108048033</v>
      </c>
      <c r="AS45" s="156">
        <f t="shared" si="65"/>
        <v>0.48832631636502799</v>
      </c>
      <c r="AT45" s="156">
        <f t="shared" si="65"/>
        <v>0.12391673367283085</v>
      </c>
      <c r="AU45" s="176">
        <f t="shared" si="65"/>
        <v>0.27024434571890144</v>
      </c>
      <c r="AV45" s="156">
        <f t="shared" si="65"/>
        <v>0.46620376042313105</v>
      </c>
      <c r="AW45" s="156">
        <f t="shared" si="65"/>
        <v>0.71884787609439948</v>
      </c>
      <c r="AX45" s="156">
        <f t="shared" si="65"/>
        <v>0.59207114236286928</v>
      </c>
      <c r="AY45" s="156">
        <f t="shared" si="65"/>
        <v>0.77528487293906867</v>
      </c>
      <c r="AZ45" s="176">
        <f t="shared" si="65"/>
        <v>0.63797030198673621</v>
      </c>
      <c r="BA45" s="156">
        <f t="shared" ref="BA45:BJ45" si="66">+BA44/AV44-1</f>
        <v>0.3214289648181885</v>
      </c>
      <c r="BB45" s="156">
        <f t="shared" si="66"/>
        <v>0.21921570921167377</v>
      </c>
      <c r="BC45" s="156">
        <f t="shared" si="66"/>
        <v>0.2183991456731933</v>
      </c>
      <c r="BD45" s="156">
        <f t="shared" si="66"/>
        <v>0.21930608995959822</v>
      </c>
      <c r="BE45" s="176">
        <f t="shared" si="66"/>
        <v>0.24100737436845376</v>
      </c>
      <c r="BF45" s="156">
        <f t="shared" si="66"/>
        <v>9.3332569346795902E-2</v>
      </c>
      <c r="BG45" s="156">
        <f t="shared" si="66"/>
        <v>9.2559797231749341E-2</v>
      </c>
      <c r="BH45" s="156">
        <f t="shared" si="66"/>
        <v>9.1410103176579049E-2</v>
      </c>
      <c r="BI45" s="156">
        <f t="shared" si="66"/>
        <v>9.2308691036337542E-2</v>
      </c>
      <c r="BJ45" s="176">
        <f t="shared" si="66"/>
        <v>9.2373186424405951E-2</v>
      </c>
      <c r="BK45" s="179"/>
      <c r="BL45" s="176"/>
      <c r="BM45" s="179"/>
      <c r="BN45" s="179"/>
      <c r="BO45" s="179"/>
      <c r="BP45" s="179"/>
      <c r="BQ45" s="144"/>
      <c r="BR45" s="194"/>
      <c r="BS45" s="194"/>
      <c r="BZ45" s="194"/>
      <c r="CA45" s="202"/>
      <c r="CB45" s="202"/>
    </row>
    <row r="46" spans="1:80" ht="12.75" customHeight="1">
      <c r="A46" s="144"/>
      <c r="B46" s="153" t="s">
        <v>89</v>
      </c>
      <c r="C46" s="156">
        <f t="shared" ref="C46:Z46" si="67">+C44/C15</f>
        <v>5.1428571428571428E-2</v>
      </c>
      <c r="D46" s="156">
        <f t="shared" si="67"/>
        <v>4.5175683212493024E-2</v>
      </c>
      <c r="E46" s="156">
        <f t="shared" si="67"/>
        <v>4.4045676998368678E-2</v>
      </c>
      <c r="F46" s="156">
        <f t="shared" si="67"/>
        <v>4.357181280258203E-2</v>
      </c>
      <c r="G46" s="176">
        <f t="shared" si="67"/>
        <v>4.5853382394565524E-2</v>
      </c>
      <c r="H46" s="156">
        <f t="shared" si="67"/>
        <v>4.6075085324232073E-2</v>
      </c>
      <c r="I46" s="156">
        <f t="shared" si="67"/>
        <v>4.3039319872476091E-2</v>
      </c>
      <c r="J46" s="156">
        <f t="shared" si="67"/>
        <v>4.0419161676646706E-2</v>
      </c>
      <c r="K46" s="156">
        <f t="shared" si="67"/>
        <v>3.8867562380038384E-2</v>
      </c>
      <c r="L46" s="176">
        <f t="shared" si="67"/>
        <v>4.192546583850932E-2</v>
      </c>
      <c r="M46" s="181">
        <f t="shared" si="67"/>
        <v>4.2805052053057117E-2</v>
      </c>
      <c r="N46" s="181">
        <f t="shared" si="67"/>
        <v>3.7349564255083685E-2</v>
      </c>
      <c r="O46" s="181">
        <f t="shared" si="67"/>
        <v>3.734784212467724E-2</v>
      </c>
      <c r="P46" s="181">
        <f t="shared" si="67"/>
        <v>3.9144910337552741E-2</v>
      </c>
      <c r="Q46" s="176">
        <f t="shared" si="67"/>
        <v>3.9044991844448443E-2</v>
      </c>
      <c r="R46" s="181">
        <f t="shared" si="67"/>
        <v>4.130174003895417E-2</v>
      </c>
      <c r="S46" s="181">
        <f t="shared" si="67"/>
        <v>3.9868959743142654E-2</v>
      </c>
      <c r="T46" s="181">
        <f t="shared" si="67"/>
        <v>4.2704557499700195E-2</v>
      </c>
      <c r="U46" s="181">
        <f t="shared" si="67"/>
        <v>4.4534009867766039E-2</v>
      </c>
      <c r="V46" s="176">
        <f t="shared" si="67"/>
        <v>4.2148669817981266E-2</v>
      </c>
      <c r="W46" s="181">
        <f t="shared" si="67"/>
        <v>4.7035371801495779E-2</v>
      </c>
      <c r="X46" s="181">
        <f t="shared" si="67"/>
        <v>4.7428992916974007E-2</v>
      </c>
      <c r="Y46" s="181">
        <f t="shared" si="67"/>
        <v>5.6545413757707177E-2</v>
      </c>
      <c r="Z46" s="181">
        <f t="shared" si="67"/>
        <v>5.4882672006532254E-2</v>
      </c>
      <c r="AA46" s="176">
        <v>4.2999999999999997E-2</v>
      </c>
      <c r="AB46" s="181">
        <f t="shared" ref="AB46:AN46" si="68">+AB44/AB15</f>
        <v>6.0991501809158084E-2</v>
      </c>
      <c r="AC46" s="181">
        <f t="shared" si="68"/>
        <v>5.7162000247480679E-2</v>
      </c>
      <c r="AD46" s="181">
        <f t="shared" si="68"/>
        <v>5.2935874087097295E-2</v>
      </c>
      <c r="AE46" s="181">
        <f t="shared" si="68"/>
        <v>4.9297525798831281E-2</v>
      </c>
      <c r="AF46" s="176">
        <f t="shared" si="68"/>
        <v>5.4548254664044754E-2</v>
      </c>
      <c r="AG46" s="181">
        <f t="shared" si="68"/>
        <v>5.4950395898148034E-2</v>
      </c>
      <c r="AH46" s="181">
        <f t="shared" si="68"/>
        <v>4.7527888850596972E-2</v>
      </c>
      <c r="AI46" s="181">
        <f t="shared" si="68"/>
        <v>5.1007085608084562E-2</v>
      </c>
      <c r="AJ46" s="181">
        <f t="shared" si="68"/>
        <v>5.0384509295526007E-2</v>
      </c>
      <c r="AK46" s="176">
        <f>+AK44/AK15</f>
        <v>5.0840916766959864E-2</v>
      </c>
      <c r="AL46" s="181">
        <f t="shared" si="68"/>
        <v>4.769138007003549E-2</v>
      </c>
      <c r="AM46" s="181">
        <f t="shared" si="68"/>
        <v>3.744580951171847E-2</v>
      </c>
      <c r="AN46" s="181">
        <f t="shared" si="68"/>
        <v>3.7274435553888867E-2</v>
      </c>
      <c r="AO46" s="181">
        <f t="shared" ref="AO46:AU46" si="69">+AO44/AO15</f>
        <v>4.455705675819846E-2</v>
      </c>
      <c r="AP46" s="176">
        <f t="shared" si="69"/>
        <v>4.1596819758489383E-2</v>
      </c>
      <c r="AQ46" s="181">
        <f t="shared" si="69"/>
        <v>5.1434770585607623E-2</v>
      </c>
      <c r="AR46" s="181">
        <f t="shared" si="69"/>
        <v>4.5438851689806832E-2</v>
      </c>
      <c r="AS46" s="181">
        <f t="shared" si="69"/>
        <v>4.9113006827465756E-2</v>
      </c>
      <c r="AT46" s="181">
        <f t="shared" si="69"/>
        <v>4.4222667104909304E-2</v>
      </c>
      <c r="AU46" s="176">
        <f t="shared" si="69"/>
        <v>4.7399534312432656E-2</v>
      </c>
      <c r="AV46" s="187">
        <v>4.2500000000000003E-2</v>
      </c>
      <c r="AW46" s="187">
        <f>+AV46</f>
        <v>4.2500000000000003E-2</v>
      </c>
      <c r="AX46" s="187">
        <f>+AW46</f>
        <v>4.2500000000000003E-2</v>
      </c>
      <c r="AY46" s="187">
        <f>+AX46</f>
        <v>4.2500000000000003E-2</v>
      </c>
      <c r="AZ46" s="176">
        <f>+AZ44/AZ15</f>
        <v>4.2500000000000003E-2</v>
      </c>
      <c r="BA46" s="187">
        <v>4.7500000000000001E-2</v>
      </c>
      <c r="BB46" s="187">
        <f>+BA46</f>
        <v>4.7500000000000001E-2</v>
      </c>
      <c r="BC46" s="187">
        <f>+BB46</f>
        <v>4.7500000000000001E-2</v>
      </c>
      <c r="BD46" s="187">
        <f>+BC46</f>
        <v>4.7500000000000001E-2</v>
      </c>
      <c r="BE46" s="176">
        <f>+BE44/BE15</f>
        <v>4.7499999999999987E-2</v>
      </c>
      <c r="BF46" s="187">
        <f>+BD46</f>
        <v>4.7500000000000001E-2</v>
      </c>
      <c r="BG46" s="187">
        <f>+BF46</f>
        <v>4.7500000000000001E-2</v>
      </c>
      <c r="BH46" s="187">
        <f>+BG46</f>
        <v>4.7500000000000001E-2</v>
      </c>
      <c r="BI46" s="187">
        <f>+BH46</f>
        <v>4.7500000000000001E-2</v>
      </c>
      <c r="BJ46" s="176">
        <f>+BJ44/BJ15</f>
        <v>4.7500000000000001E-2</v>
      </c>
      <c r="BK46" s="179"/>
      <c r="BL46" s="176"/>
      <c r="BM46" s="179"/>
      <c r="BN46" s="179"/>
      <c r="BO46" s="179"/>
      <c r="BP46" s="179"/>
      <c r="BQ46" s="144"/>
      <c r="BR46" s="194"/>
      <c r="BZ46" s="144"/>
      <c r="CA46" s="202"/>
      <c r="CB46" s="202"/>
    </row>
    <row r="47" spans="1:80" ht="6" customHeight="1">
      <c r="A47" s="144"/>
      <c r="B47" s="223"/>
      <c r="C47" s="181"/>
      <c r="D47" s="181"/>
      <c r="E47" s="181"/>
      <c r="F47" s="181"/>
      <c r="G47" s="184"/>
      <c r="H47" s="181"/>
      <c r="I47" s="181"/>
      <c r="J47" s="181"/>
      <c r="K47" s="181"/>
      <c r="L47" s="184"/>
      <c r="M47" s="181"/>
      <c r="N47" s="181"/>
      <c r="O47" s="181"/>
      <c r="P47" s="181"/>
      <c r="Q47" s="184"/>
      <c r="R47" s="181"/>
      <c r="S47" s="181"/>
      <c r="T47" s="181"/>
      <c r="U47" s="181"/>
      <c r="V47" s="184"/>
      <c r="W47" s="181"/>
      <c r="X47" s="187"/>
      <c r="Y47" s="187"/>
      <c r="Z47" s="187"/>
      <c r="AA47" s="188"/>
      <c r="AB47" s="187"/>
      <c r="AC47" s="187"/>
      <c r="AD47" s="187"/>
      <c r="AE47" s="187"/>
      <c r="AF47" s="188"/>
      <c r="AG47" s="187"/>
      <c r="AH47" s="187"/>
      <c r="AI47" s="187"/>
      <c r="AJ47" s="187"/>
      <c r="AK47" s="188"/>
      <c r="AL47" s="187"/>
      <c r="AM47" s="187"/>
      <c r="AN47" s="187"/>
      <c r="AO47" s="187"/>
      <c r="AP47" s="188"/>
      <c r="AQ47" s="187"/>
      <c r="AR47" s="187"/>
      <c r="AS47" s="187"/>
      <c r="AT47" s="187"/>
      <c r="AU47" s="188"/>
      <c r="AV47" s="187"/>
      <c r="AW47" s="187"/>
      <c r="AX47" s="187"/>
      <c r="AY47" s="187"/>
      <c r="AZ47" s="188"/>
      <c r="BA47" s="187"/>
      <c r="BB47" s="187"/>
      <c r="BC47" s="187"/>
      <c r="BD47" s="187"/>
      <c r="BE47" s="188"/>
      <c r="BF47" s="187"/>
      <c r="BG47" s="187"/>
      <c r="BH47" s="187"/>
      <c r="BI47" s="187"/>
      <c r="BJ47" s="188"/>
      <c r="BK47" s="189"/>
      <c r="BL47" s="188"/>
      <c r="BM47" s="189"/>
      <c r="BN47" s="189"/>
      <c r="BO47" s="189"/>
      <c r="BP47" s="189"/>
      <c r="BQ47" s="144"/>
      <c r="BR47" s="194"/>
      <c r="BS47" s="194"/>
      <c r="BZ47" s="144"/>
      <c r="CA47" s="202"/>
      <c r="CB47" s="202"/>
    </row>
    <row r="48" spans="1:80" ht="12.75" customHeight="1">
      <c r="A48" s="145"/>
      <c r="B48" s="241" t="s">
        <v>102</v>
      </c>
      <c r="C48" s="242">
        <f t="shared" ref="C48:AZ48" si="70">+C38-C44</f>
        <v>63.999999999999993</v>
      </c>
      <c r="D48" s="242">
        <f t="shared" si="70"/>
        <v>81.100000000000023</v>
      </c>
      <c r="E48" s="242">
        <f t="shared" si="70"/>
        <v>86.500000000000014</v>
      </c>
      <c r="F48" s="242">
        <f t="shared" si="70"/>
        <v>87.5</v>
      </c>
      <c r="G48" s="243">
        <f t="shared" si="70"/>
        <v>319.09999999999997</v>
      </c>
      <c r="H48" s="242">
        <f t="shared" si="70"/>
        <v>75.700000000000017</v>
      </c>
      <c r="I48" s="242">
        <f t="shared" si="70"/>
        <v>88.199999999999989</v>
      </c>
      <c r="J48" s="242">
        <f t="shared" si="70"/>
        <v>91.300000000000011</v>
      </c>
      <c r="K48" s="242">
        <f t="shared" si="70"/>
        <v>99.700000000000017</v>
      </c>
      <c r="L48" s="243">
        <f t="shared" si="70"/>
        <v>354.89999999999992</v>
      </c>
      <c r="M48" s="242">
        <f t="shared" si="70"/>
        <v>79.430000000000035</v>
      </c>
      <c r="N48" s="242">
        <f t="shared" si="70"/>
        <v>101.37000000000005</v>
      </c>
      <c r="O48" s="242">
        <f t="shared" si="70"/>
        <v>103.28</v>
      </c>
      <c r="P48" s="242">
        <f t="shared" si="70"/>
        <v>120.98800000000003</v>
      </c>
      <c r="Q48" s="243">
        <f t="shared" si="70"/>
        <v>405.06799999999998</v>
      </c>
      <c r="R48" s="242">
        <f t="shared" si="70"/>
        <v>93.334000000000017</v>
      </c>
      <c r="S48" s="242">
        <f t="shared" si="70"/>
        <v>120.66700000000006</v>
      </c>
      <c r="T48" s="242">
        <f t="shared" si="70"/>
        <v>120.81899999999995</v>
      </c>
      <c r="U48" s="242">
        <f t="shared" si="70"/>
        <v>131.92199999999997</v>
      </c>
      <c r="V48" s="243">
        <f t="shared" si="70"/>
        <v>466.74199999999996</v>
      </c>
      <c r="W48" s="242">
        <f t="shared" si="70"/>
        <v>112.39100000000001</v>
      </c>
      <c r="X48" s="242">
        <f t="shared" si="70"/>
        <v>137.24799999999999</v>
      </c>
      <c r="Y48" s="242">
        <f t="shared" si="70"/>
        <v>132.82700000000003</v>
      </c>
      <c r="Z48" s="242">
        <f t="shared" si="70"/>
        <v>140.101</v>
      </c>
      <c r="AA48" s="243">
        <f t="shared" si="70"/>
        <v>522.56699999999989</v>
      </c>
      <c r="AB48" s="242">
        <f t="shared" si="70"/>
        <v>116.05499999999999</v>
      </c>
      <c r="AC48" s="242">
        <f t="shared" si="70"/>
        <v>142.75599999999997</v>
      </c>
      <c r="AD48" s="242">
        <f t="shared" si="70"/>
        <v>161.321</v>
      </c>
      <c r="AE48" s="242">
        <f t="shared" si="70"/>
        <v>173.77499999999998</v>
      </c>
      <c r="AF48" s="243">
        <f t="shared" si="70"/>
        <v>593.90700000000004</v>
      </c>
      <c r="AG48" s="242">
        <f t="shared" si="70"/>
        <v>147.54799999999997</v>
      </c>
      <c r="AH48" s="242">
        <f t="shared" si="70"/>
        <v>185.41699999999994</v>
      </c>
      <c r="AI48" s="242">
        <f t="shared" si="70"/>
        <v>186.44900000000001</v>
      </c>
      <c r="AJ48" s="242">
        <f t="shared" si="70"/>
        <v>199.512</v>
      </c>
      <c r="AK48" s="243">
        <f t="shared" si="70"/>
        <v>718.92599999999993</v>
      </c>
      <c r="AL48" s="242">
        <f>+AL38-AL44</f>
        <v>172.83500000000001</v>
      </c>
      <c r="AM48" s="242">
        <f t="shared" si="70"/>
        <v>215.27399999999997</v>
      </c>
      <c r="AN48" s="242">
        <f t="shared" si="70"/>
        <v>218.59299999999996</v>
      </c>
      <c r="AO48" s="242">
        <f t="shared" si="70"/>
        <v>226.06299999999999</v>
      </c>
      <c r="AP48" s="243">
        <f t="shared" si="70"/>
        <v>832.76499999999999</v>
      </c>
      <c r="AQ48" s="242">
        <f t="shared" si="70"/>
        <v>185.78200000000004</v>
      </c>
      <c r="AR48" s="242">
        <f t="shared" si="70"/>
        <v>232.13299999999987</v>
      </c>
      <c r="AS48" s="242">
        <f t="shared" si="70"/>
        <v>242.86699999999999</v>
      </c>
      <c r="AT48" s="242">
        <f t="shared" si="70"/>
        <v>256.61500000000012</v>
      </c>
      <c r="AU48" s="243">
        <f t="shared" si="70"/>
        <v>917.39700000000005</v>
      </c>
      <c r="AV48" s="242">
        <f t="shared" si="70"/>
        <v>359.11607957851703</v>
      </c>
      <c r="AW48" s="242">
        <f t="shared" si="70"/>
        <v>425.85061973560727</v>
      </c>
      <c r="AX48" s="242">
        <f t="shared" si="70"/>
        <v>452.93951997955531</v>
      </c>
      <c r="AY48" s="242">
        <f t="shared" si="70"/>
        <v>474.19705252470368</v>
      </c>
      <c r="AZ48" s="243">
        <f t="shared" si="70"/>
        <v>1712.1032718183833</v>
      </c>
      <c r="BA48" s="242">
        <f t="shared" ref="BA48:BJ48" si="71">+BA38-BA44</f>
        <v>439.38835861179058</v>
      </c>
      <c r="BB48" s="242">
        <f t="shared" si="71"/>
        <v>480.48912045819731</v>
      </c>
      <c r="BC48" s="242">
        <f t="shared" si="71"/>
        <v>510.44440387634432</v>
      </c>
      <c r="BD48" s="242">
        <f t="shared" si="71"/>
        <v>534.52754722691259</v>
      </c>
      <c r="BE48" s="243">
        <f t="shared" si="71"/>
        <v>1964.8494301732458</v>
      </c>
      <c r="BF48" s="242">
        <f t="shared" si="71"/>
        <v>498.72927366155204</v>
      </c>
      <c r="BG48" s="242">
        <f t="shared" si="71"/>
        <v>544.69855075745886</v>
      </c>
      <c r="BH48" s="242">
        <f t="shared" si="71"/>
        <v>577.72868091938199</v>
      </c>
      <c r="BI48" s="242">
        <f t="shared" si="71"/>
        <v>605.15989292546192</v>
      </c>
      <c r="BJ48" s="243">
        <f t="shared" si="71"/>
        <v>2226.3163982638548</v>
      </c>
      <c r="BK48" s="173"/>
      <c r="BL48" s="243"/>
      <c r="BM48" s="173"/>
      <c r="BN48" s="173"/>
      <c r="BO48" s="173"/>
      <c r="BP48" s="173"/>
      <c r="BQ48" s="244"/>
      <c r="BR48" s="245"/>
      <c r="BS48" s="245"/>
      <c r="BZ48" s="245"/>
      <c r="CA48" s="246"/>
      <c r="CB48" s="246"/>
    </row>
    <row r="49" spans="1:86" ht="12.75" customHeight="1">
      <c r="A49" s="144"/>
      <c r="B49" s="153" t="s">
        <v>16</v>
      </c>
      <c r="C49" s="157"/>
      <c r="D49" s="157"/>
      <c r="E49" s="157"/>
      <c r="F49" s="157"/>
      <c r="G49" s="176"/>
      <c r="H49" s="156">
        <f>+H48/C48-1</f>
        <v>0.18281250000000049</v>
      </c>
      <c r="I49" s="156">
        <f>+I48/D48-1</f>
        <v>8.7546239210850363E-2</v>
      </c>
      <c r="J49" s="156">
        <f>+J48/E48-1</f>
        <v>5.5491329479768758E-2</v>
      </c>
      <c r="K49" s="156">
        <f>+K48/F48-1</f>
        <v>0.13942857142857168</v>
      </c>
      <c r="L49" s="176">
        <f>+L48/G48-1</f>
        <v>0.11219053588216843</v>
      </c>
      <c r="M49" s="156">
        <f t="shared" ref="M49:AZ49" si="72">+M48/H48-1</f>
        <v>4.9273447820343597E-2</v>
      </c>
      <c r="N49" s="156">
        <f t="shared" si="72"/>
        <v>0.14931972789115711</v>
      </c>
      <c r="O49" s="156">
        <f t="shared" si="72"/>
        <v>0.13121577217962743</v>
      </c>
      <c r="P49" s="156">
        <f t="shared" si="72"/>
        <v>0.21352056168505529</v>
      </c>
      <c r="Q49" s="176">
        <f>+Q48/L48-1</f>
        <v>0.14135812905043688</v>
      </c>
      <c r="R49" s="156">
        <f t="shared" si="72"/>
        <v>0.17504721138108992</v>
      </c>
      <c r="S49" s="156">
        <f t="shared" si="72"/>
        <v>0.19036204005129731</v>
      </c>
      <c r="T49" s="156">
        <f t="shared" si="72"/>
        <v>0.1698199070487989</v>
      </c>
      <c r="U49" s="156">
        <f t="shared" si="72"/>
        <v>9.0372598935431148E-2</v>
      </c>
      <c r="V49" s="176">
        <f t="shared" si="72"/>
        <v>0.15225591752495871</v>
      </c>
      <c r="W49" s="156">
        <f t="shared" si="72"/>
        <v>0.20418068442368242</v>
      </c>
      <c r="X49" s="156">
        <f t="shared" si="72"/>
        <v>0.13741122262093142</v>
      </c>
      <c r="Y49" s="156">
        <f t="shared" si="72"/>
        <v>9.938834123771989E-2</v>
      </c>
      <c r="Z49" s="156">
        <f t="shared" si="72"/>
        <v>6.199875684116396E-2</v>
      </c>
      <c r="AA49" s="176">
        <f t="shared" si="72"/>
        <v>0.11960569222396944</v>
      </c>
      <c r="AB49" s="156">
        <f t="shared" si="72"/>
        <v>3.2600475127011919E-2</v>
      </c>
      <c r="AC49" s="156">
        <f t="shared" si="72"/>
        <v>4.0131732338540393E-2</v>
      </c>
      <c r="AD49" s="156">
        <f t="shared" si="72"/>
        <v>0.21451963832654486</v>
      </c>
      <c r="AE49" s="156">
        <f t="shared" si="72"/>
        <v>0.24035517233995463</v>
      </c>
      <c r="AF49" s="176">
        <f t="shared" si="72"/>
        <v>0.13651837946139</v>
      </c>
      <c r="AG49" s="156">
        <f t="shared" si="72"/>
        <v>0.27136271595364247</v>
      </c>
      <c r="AH49" s="156">
        <f t="shared" si="72"/>
        <v>0.29883857771302069</v>
      </c>
      <c r="AI49" s="156">
        <f t="shared" si="72"/>
        <v>0.15576397369220385</v>
      </c>
      <c r="AJ49" s="156">
        <f t="shared" si="72"/>
        <v>0.14810530858869253</v>
      </c>
      <c r="AK49" s="176">
        <f t="shared" si="72"/>
        <v>0.21050265445600047</v>
      </c>
      <c r="AL49" s="156">
        <f t="shared" si="72"/>
        <v>0.17138151652343669</v>
      </c>
      <c r="AM49" s="156">
        <f t="shared" si="72"/>
        <v>0.1610262273685803</v>
      </c>
      <c r="AN49" s="156">
        <f t="shared" si="72"/>
        <v>0.17240103191757505</v>
      </c>
      <c r="AO49" s="156">
        <f t="shared" si="72"/>
        <v>0.13307971450338818</v>
      </c>
      <c r="AP49" s="176">
        <f t="shared" si="72"/>
        <v>0.15834592155520877</v>
      </c>
      <c r="AQ49" s="156">
        <f t="shared" si="72"/>
        <v>7.490959585732071E-2</v>
      </c>
      <c r="AR49" s="156">
        <f t="shared" si="72"/>
        <v>7.8314148480540524E-2</v>
      </c>
      <c r="AS49" s="156">
        <f t="shared" si="72"/>
        <v>0.11104655684308296</v>
      </c>
      <c r="AT49" s="156">
        <f t="shared" si="72"/>
        <v>0.13514816666150642</v>
      </c>
      <c r="AU49" s="176">
        <f t="shared" si="72"/>
        <v>0.10162771009828719</v>
      </c>
      <c r="AV49" s="156">
        <f t="shared" si="72"/>
        <v>0.93299716645593733</v>
      </c>
      <c r="AW49" s="156">
        <f t="shared" si="72"/>
        <v>0.83451133503468911</v>
      </c>
      <c r="AX49" s="156">
        <f t="shared" si="72"/>
        <v>0.86496938645248367</v>
      </c>
      <c r="AY49" s="156">
        <f t="shared" si="72"/>
        <v>0.84789296231593414</v>
      </c>
      <c r="AZ49" s="176">
        <f t="shared" si="72"/>
        <v>0.86626212187131979</v>
      </c>
      <c r="BA49" s="156">
        <f t="shared" ref="BA49:BJ49" si="73">+BA48/AV48-1</f>
        <v>0.22352738737704692</v>
      </c>
      <c r="BB49" s="156">
        <f t="shared" si="73"/>
        <v>0.12830438231254138</v>
      </c>
      <c r="BC49" s="156">
        <f t="shared" si="73"/>
        <v>0.12695929889135016</v>
      </c>
      <c r="BD49" s="156">
        <f t="shared" si="73"/>
        <v>0.12722663369795195</v>
      </c>
      <c r="BE49" s="176">
        <f t="shared" si="73"/>
        <v>0.14762319686850844</v>
      </c>
      <c r="BF49" s="156">
        <f t="shared" si="73"/>
        <v>0.13505345302557381</v>
      </c>
      <c r="BG49" s="156">
        <f t="shared" si="73"/>
        <v>0.13363347381940938</v>
      </c>
      <c r="BH49" s="156">
        <f t="shared" si="73"/>
        <v>0.13181509393006752</v>
      </c>
      <c r="BI49" s="156">
        <f t="shared" si="73"/>
        <v>0.13213976728605381</v>
      </c>
      <c r="BJ49" s="176">
        <f t="shared" si="73"/>
        <v>0.13307226705282704</v>
      </c>
      <c r="BK49" s="179"/>
      <c r="BL49" s="176"/>
      <c r="BM49" s="179"/>
      <c r="BN49" s="194"/>
      <c r="BO49" s="194"/>
      <c r="BP49" s="194"/>
      <c r="BQ49" s="137"/>
      <c r="BR49" s="194"/>
      <c r="BS49" s="1180"/>
      <c r="BZ49" s="137"/>
      <c r="CA49" s="202"/>
      <c r="CB49" s="202"/>
    </row>
    <row r="50" spans="1:86" ht="12.75" customHeight="1">
      <c r="A50" s="144"/>
      <c r="B50" s="153" t="s">
        <v>103</v>
      </c>
      <c r="C50" s="156">
        <f>+C48/C15</f>
        <v>0.40634920634920629</v>
      </c>
      <c r="D50" s="156">
        <f>+D48/D15</f>
        <v>0.45231455660903525</v>
      </c>
      <c r="E50" s="156">
        <f>+E48/E15</f>
        <v>0.47036432843936926</v>
      </c>
      <c r="F50" s="156">
        <f>+F48/F15</f>
        <v>0.47068316299085527</v>
      </c>
      <c r="G50" s="176">
        <f>+G48/'Quarterly Financial Model '!G15</f>
        <v>0.45159920747240301</v>
      </c>
      <c r="H50" s="156">
        <f>+H48/H15</f>
        <v>0.43060295790671227</v>
      </c>
      <c r="I50" s="156">
        <f>+I48/I15</f>
        <v>0.46865037194473963</v>
      </c>
      <c r="J50" s="156">
        <f>+J48/J15</f>
        <v>0.45558882235528947</v>
      </c>
      <c r="K50" s="156">
        <f>+K48/K15</f>
        <v>0.47840690978886763</v>
      </c>
      <c r="L50" s="176">
        <f>+L48/'Quarterly Financial Model '!L15</f>
        <v>0.45923913043478254</v>
      </c>
      <c r="M50" s="156">
        <f>+M48/M15</f>
        <v>0.41975373883633688</v>
      </c>
      <c r="N50" s="156">
        <f>+N48/N15</f>
        <v>0.46742288006639937</v>
      </c>
      <c r="O50" s="156">
        <f>+O48/O15</f>
        <v>0.47620804131316857</v>
      </c>
      <c r="P50" s="156">
        <f>+P48/P15</f>
        <v>0.49853309599156126</v>
      </c>
      <c r="Q50" s="176">
        <f>+Q48/'Quarterly Financial Model '!Q15</f>
        <v>0.46792534782387701</v>
      </c>
      <c r="R50" s="156">
        <f>+R48/R15</f>
        <v>0.40129675252922642</v>
      </c>
      <c r="S50" s="156">
        <f>+S48/S15</f>
        <v>0.46343009009977815</v>
      </c>
      <c r="T50" s="156">
        <f>+T48/T15</f>
        <v>0.46739033721861362</v>
      </c>
      <c r="U50" s="156">
        <f>+U48/U15</f>
        <v>0.48646316550264385</v>
      </c>
      <c r="V50" s="176">
        <f>+V48/'Quarterly Financial Model '!V15</f>
        <v>0.45640800984117602</v>
      </c>
      <c r="W50" s="156">
        <f>+W48/W15</f>
        <v>0.41183799253209041</v>
      </c>
      <c r="X50" s="156">
        <f>+X48/X15</f>
        <v>0.4622592259529078</v>
      </c>
      <c r="Y50" s="156">
        <f>+Y48/Y15</f>
        <v>0.45147617655656247</v>
      </c>
      <c r="Z50" s="156">
        <f>+Z48/Z15</f>
        <v>0.45395662007245108</v>
      </c>
      <c r="AA50" s="176">
        <f>+AA48/'Quarterly Financial Model '!AA15</f>
        <v>0.44563445092935905</v>
      </c>
      <c r="AB50" s="156">
        <f>+AB48/AB15</f>
        <v>0.40222574965688379</v>
      </c>
      <c r="AC50" s="156">
        <f>+AC48/AC15</f>
        <v>0.43084575012298576</v>
      </c>
      <c r="AD50" s="156">
        <f>+AD48/AD15</f>
        <v>0.42395214931264569</v>
      </c>
      <c r="AE50" s="156">
        <f>+AE48/AE15</f>
        <v>0.43211488250652741</v>
      </c>
      <c r="AF50" s="176">
        <f>+AF48/'Quarterly Financial Model '!AF15</f>
        <v>0.42345162840507711</v>
      </c>
      <c r="AG50" s="156">
        <f>+AG48/AG15</f>
        <v>0.39402347348884403</v>
      </c>
      <c r="AH50" s="156">
        <f>+AH48/AH15</f>
        <v>0.4376696581579903</v>
      </c>
      <c r="AI50" s="156">
        <f>+AI48/AI15</f>
        <v>0.43314903008479499</v>
      </c>
      <c r="AJ50" s="156">
        <f>+AJ48/AJ15</f>
        <v>0.44025376510178188</v>
      </c>
      <c r="AK50" s="176">
        <f>+AK48/'Quarterly Financial Model '!AK15</f>
        <v>0.42749040277427608</v>
      </c>
      <c r="AL50" s="156">
        <f>+AL48/AL15</f>
        <v>0.40081398854386496</v>
      </c>
      <c r="AM50" s="156">
        <f>+AM48/AM15</f>
        <v>0.44803852805834149</v>
      </c>
      <c r="AN50" s="156">
        <f>+AN48/AN15</f>
        <v>0.44550990710433741</v>
      </c>
      <c r="AO50" s="156">
        <f>+AO48/AO15</f>
        <v>0.44995541507766534</v>
      </c>
      <c r="AP50" s="176">
        <f>+AP48/'Quarterly Financial Model '!AP15</f>
        <v>0.43720183267087054</v>
      </c>
      <c r="AQ50" s="156">
        <f>+AQ48/AQ15</f>
        <v>0.39518836017102388</v>
      </c>
      <c r="AR50" s="156">
        <f>+AR48/AR15</f>
        <v>0.43796117585575162</v>
      </c>
      <c r="AS50" s="156">
        <f>+AS48/AS15</f>
        <v>0.43820457858802814</v>
      </c>
      <c r="AT50" s="156">
        <f>+AT48/AT15</f>
        <v>0.45104132428959887</v>
      </c>
      <c r="AU50" s="176">
        <f>+AU48/'Quarterly Financial Model '!AU15</f>
        <v>0.43205944298341464</v>
      </c>
      <c r="AV50" s="156">
        <f>+AV48/AV15</f>
        <v>0.43049999999999988</v>
      </c>
      <c r="AW50" s="156">
        <f>+AW48/AW15</f>
        <v>0.43720000000000003</v>
      </c>
      <c r="AX50" s="156">
        <f>+AX48/AX15</f>
        <v>0.44419999999999993</v>
      </c>
      <c r="AY50" s="156">
        <f>+AY48/AY15</f>
        <v>0.45119999999999993</v>
      </c>
      <c r="AZ50" s="176">
        <f>+AZ48/'Quarterly Financial Model '!AZ15</f>
        <v>0.44139252579839849</v>
      </c>
      <c r="BA50" s="156">
        <f>+BA48/BA15</f>
        <v>0.44550000000000001</v>
      </c>
      <c r="BB50" s="156">
        <f>+BB48/BB15</f>
        <v>0.45219999999999988</v>
      </c>
      <c r="BC50" s="156">
        <f>+BC48/BC15</f>
        <v>0.45919999999999994</v>
      </c>
      <c r="BD50" s="156">
        <f>+BD48/BD15</f>
        <v>0.4662</v>
      </c>
      <c r="BE50" s="176">
        <f>+BE48/'Quarterly Financial Model '!BE15</f>
        <v>0.45619929553932093</v>
      </c>
      <c r="BF50" s="156">
        <f>+BF48/BF15</f>
        <v>0.46250000000000008</v>
      </c>
      <c r="BG50" s="156">
        <f>+BG48/BG15</f>
        <v>0.46920000000000006</v>
      </c>
      <c r="BH50" s="156">
        <f>+BH48/BH15</f>
        <v>0.47620000000000007</v>
      </c>
      <c r="BI50" s="156">
        <f>+BI48/BI15</f>
        <v>0.48319999999999996</v>
      </c>
      <c r="BJ50" s="176">
        <f>+BJ48/'Quarterly Financial Model '!BJ15</f>
        <v>0.47319613521144582</v>
      </c>
      <c r="BK50" s="215"/>
      <c r="BL50" s="176"/>
      <c r="BM50" s="215"/>
      <c r="BN50" s="194"/>
      <c r="BO50" s="194"/>
      <c r="BP50" s="194"/>
      <c r="BQ50" s="144"/>
      <c r="BR50" s="194"/>
      <c r="BS50" s="194"/>
      <c r="BZ50" s="144"/>
      <c r="CA50" s="202"/>
      <c r="CB50" s="202"/>
    </row>
    <row r="51" spans="1:86" ht="12.75" customHeight="1">
      <c r="A51" s="144"/>
      <c r="B51" s="223" t="s">
        <v>99</v>
      </c>
      <c r="C51" s="248"/>
      <c r="D51" s="248"/>
      <c r="E51" s="248"/>
      <c r="F51" s="248"/>
      <c r="G51" s="224"/>
      <c r="H51" s="226">
        <f>+(H50-C50)*1000</f>
        <v>24.253751557505975</v>
      </c>
      <c r="I51" s="226">
        <f>+(I50-D50)*1000</f>
        <v>16.335815335704385</v>
      </c>
      <c r="J51" s="226">
        <f>+(J50-E50)*1000</f>
        <v>-14.775506084079792</v>
      </c>
      <c r="K51" s="226">
        <f>+(K50-F50)*1000</f>
        <v>7.7237467980123542</v>
      </c>
      <c r="L51" s="227">
        <f t="shared" ref="L51:AZ51" si="74">+(L50-G50)*10000</f>
        <v>76.399229623795307</v>
      </c>
      <c r="M51" s="226">
        <f t="shared" si="74"/>
        <v>-108.49219070375393</v>
      </c>
      <c r="N51" s="226">
        <f t="shared" si="74"/>
        <v>-12.274918783402589</v>
      </c>
      <c r="O51" s="226">
        <f t="shared" si="74"/>
        <v>206.19218957879104</v>
      </c>
      <c r="P51" s="226">
        <f t="shared" si="74"/>
        <v>201.26186202693631</v>
      </c>
      <c r="Q51" s="227">
        <f t="shared" si="74"/>
        <v>86.862173890944746</v>
      </c>
      <c r="R51" s="226">
        <f t="shared" si="74"/>
        <v>-184.56986307110458</v>
      </c>
      <c r="S51" s="226">
        <f t="shared" si="74"/>
        <v>-39.927899666212241</v>
      </c>
      <c r="T51" s="226">
        <f t="shared" si="74"/>
        <v>-88.177040945549564</v>
      </c>
      <c r="U51" s="226">
        <f t="shared" si="74"/>
        <v>-120.69930488917413</v>
      </c>
      <c r="V51" s="227">
        <f t="shared" si="74"/>
        <v>-115.17337982700992</v>
      </c>
      <c r="W51" s="226">
        <f t="shared" si="74"/>
        <v>105.41240002863994</v>
      </c>
      <c r="X51" s="226">
        <f t="shared" si="74"/>
        <v>-11.70864146870343</v>
      </c>
      <c r="Y51" s="226">
        <f t="shared" si="74"/>
        <v>-159.14160662051145</v>
      </c>
      <c r="Z51" s="226">
        <f t="shared" si="74"/>
        <v>-325.06545430192767</v>
      </c>
      <c r="AA51" s="227">
        <f t="shared" si="74"/>
        <v>-107.73558911816971</v>
      </c>
      <c r="AB51" s="226">
        <f t="shared" si="74"/>
        <v>-96.122428752066227</v>
      </c>
      <c r="AC51" s="226">
        <f t="shared" si="74"/>
        <v>-314.13475829922044</v>
      </c>
      <c r="AD51" s="226">
        <f t="shared" si="74"/>
        <v>-275.24027243916782</v>
      </c>
      <c r="AE51" s="226">
        <f t="shared" si="74"/>
        <v>-218.41737565923668</v>
      </c>
      <c r="AF51" s="227">
        <f t="shared" si="74"/>
        <v>-221.82822524281943</v>
      </c>
      <c r="AG51" s="226">
        <f t="shared" si="74"/>
        <v>-82.022761680397565</v>
      </c>
      <c r="AH51" s="226">
        <f t="shared" si="74"/>
        <v>68.239080350045441</v>
      </c>
      <c r="AI51" s="226">
        <f t="shared" si="74"/>
        <v>91.968807721493079</v>
      </c>
      <c r="AJ51" s="226">
        <f t="shared" si="74"/>
        <v>81.388825952544707</v>
      </c>
      <c r="AK51" s="227">
        <f t="shared" si="74"/>
        <v>40.387743691989719</v>
      </c>
      <c r="AL51" s="226">
        <f t="shared" si="74"/>
        <v>67.905150550209299</v>
      </c>
      <c r="AM51" s="226">
        <f t="shared" si="74"/>
        <v>103.68869900351186</v>
      </c>
      <c r="AN51" s="226">
        <f t="shared" si="74"/>
        <v>123.60877019542416</v>
      </c>
      <c r="AO51" s="226">
        <f t="shared" si="74"/>
        <v>97.016499758834641</v>
      </c>
      <c r="AP51" s="227">
        <f t="shared" si="74"/>
        <v>97.114298965944585</v>
      </c>
      <c r="AQ51" s="226">
        <f t="shared" si="74"/>
        <v>-56.25628372841085</v>
      </c>
      <c r="AR51" s="226">
        <f t="shared" si="74"/>
        <v>-100.77352202589873</v>
      </c>
      <c r="AS51" s="226">
        <f t="shared" si="74"/>
        <v>-73.053285163092724</v>
      </c>
      <c r="AT51" s="226">
        <f t="shared" si="74"/>
        <v>10.859092119335223</v>
      </c>
      <c r="AU51" s="227">
        <f t="shared" si="74"/>
        <v>-51.423896874558949</v>
      </c>
      <c r="AV51" s="226">
        <f t="shared" si="74"/>
        <v>353.11639828976007</v>
      </c>
      <c r="AW51" s="226">
        <f t="shared" si="74"/>
        <v>-7.6117585575158353</v>
      </c>
      <c r="AX51" s="226">
        <f t="shared" si="74"/>
        <v>59.954214119717911</v>
      </c>
      <c r="AY51" s="226">
        <f t="shared" si="74"/>
        <v>1.5867571040106832</v>
      </c>
      <c r="AZ51" s="227">
        <f t="shared" si="74"/>
        <v>93.33082814983851</v>
      </c>
      <c r="BA51" s="226">
        <f t="shared" ref="BA51:BJ51" si="75">+(BA50-AV50)*10000</f>
        <v>150.00000000000125</v>
      </c>
      <c r="BB51" s="226">
        <f t="shared" si="75"/>
        <v>149.99999999999847</v>
      </c>
      <c r="BC51" s="226">
        <f t="shared" si="75"/>
        <v>150.00000000000014</v>
      </c>
      <c r="BD51" s="226">
        <f t="shared" si="75"/>
        <v>150.00000000000068</v>
      </c>
      <c r="BE51" s="227">
        <f t="shared" si="75"/>
        <v>148.06769740922431</v>
      </c>
      <c r="BF51" s="226">
        <f t="shared" si="75"/>
        <v>170.00000000000071</v>
      </c>
      <c r="BG51" s="226">
        <f t="shared" si="75"/>
        <v>170.00000000000182</v>
      </c>
      <c r="BH51" s="226">
        <f t="shared" si="75"/>
        <v>170.00000000000125</v>
      </c>
      <c r="BI51" s="226">
        <f t="shared" si="75"/>
        <v>169.9999999999996</v>
      </c>
      <c r="BJ51" s="227">
        <f t="shared" si="75"/>
        <v>169.96839672124898</v>
      </c>
      <c r="BK51" s="215"/>
      <c r="BL51" s="227"/>
      <c r="BM51" s="215"/>
      <c r="BN51" s="228"/>
      <c r="BO51" s="228"/>
      <c r="BP51" s="228"/>
      <c r="BQ51" s="144"/>
      <c r="BR51" s="194"/>
      <c r="BS51" s="194"/>
      <c r="BZ51" s="144"/>
      <c r="CA51" s="202"/>
      <c r="CB51" s="202"/>
    </row>
    <row r="52" spans="1:86" ht="4.5" customHeight="1">
      <c r="A52" s="144"/>
      <c r="B52" s="153"/>
      <c r="C52" s="248"/>
      <c r="D52" s="248"/>
      <c r="E52" s="248"/>
      <c r="F52" s="248"/>
      <c r="G52" s="249"/>
      <c r="H52" s="248"/>
      <c r="I52" s="248"/>
      <c r="J52" s="248"/>
      <c r="K52" s="248"/>
      <c r="L52" s="249"/>
      <c r="M52" s="248"/>
      <c r="N52" s="248"/>
      <c r="O52" s="250"/>
      <c r="P52" s="250"/>
      <c r="Q52" s="249"/>
      <c r="R52" s="248"/>
      <c r="S52" s="248"/>
      <c r="T52" s="248"/>
      <c r="U52" s="248"/>
      <c r="V52" s="249"/>
      <c r="W52" s="251"/>
      <c r="X52" s="251"/>
      <c r="Y52" s="251"/>
      <c r="Z52" s="251"/>
      <c r="AA52" s="252"/>
      <c r="AB52" s="251"/>
      <c r="AC52" s="251"/>
      <c r="AD52" s="251"/>
      <c r="AE52" s="251"/>
      <c r="AF52" s="252"/>
      <c r="AG52" s="251"/>
      <c r="AH52" s="251"/>
      <c r="AI52" s="251"/>
      <c r="AJ52" s="251"/>
      <c r="AK52" s="252"/>
      <c r="AL52" s="251"/>
      <c r="AM52" s="251"/>
      <c r="AN52" s="251"/>
      <c r="AO52" s="251"/>
      <c r="AP52" s="252"/>
      <c r="AQ52" s="251"/>
      <c r="AR52" s="251"/>
      <c r="AS52" s="251"/>
      <c r="AT52" s="251"/>
      <c r="AU52" s="252"/>
      <c r="AV52" s="251"/>
      <c r="AW52" s="251"/>
      <c r="AX52" s="251"/>
      <c r="AY52" s="251"/>
      <c r="AZ52" s="252"/>
      <c r="BA52" s="251"/>
      <c r="BB52" s="251"/>
      <c r="BC52" s="251"/>
      <c r="BD52" s="251"/>
      <c r="BE52" s="252"/>
      <c r="BF52" s="251"/>
      <c r="BG52" s="251"/>
      <c r="BH52" s="251"/>
      <c r="BI52" s="251"/>
      <c r="BJ52" s="252"/>
      <c r="BK52" s="215"/>
      <c r="BL52" s="252"/>
      <c r="BM52" s="215"/>
      <c r="BN52" s="253"/>
      <c r="BO52" s="253"/>
      <c r="BP52" s="253"/>
      <c r="BQ52" s="144"/>
      <c r="BR52" s="194"/>
      <c r="BS52" s="194"/>
      <c r="BZ52" s="144"/>
      <c r="CA52" s="202"/>
      <c r="CB52" s="202"/>
    </row>
    <row r="53" spans="1:86" ht="12.75" customHeight="1">
      <c r="A53" s="174"/>
      <c r="B53" s="254" t="s">
        <v>104</v>
      </c>
      <c r="C53" s="255"/>
      <c r="D53" s="255"/>
      <c r="E53" s="255"/>
      <c r="F53" s="255"/>
      <c r="G53" s="256"/>
      <c r="H53" s="255"/>
      <c r="I53" s="255"/>
      <c r="J53" s="255"/>
      <c r="K53" s="255"/>
      <c r="L53" s="256"/>
      <c r="M53" s="255"/>
      <c r="N53" s="255"/>
      <c r="O53" s="257"/>
      <c r="P53" s="257"/>
      <c r="Q53" s="256"/>
      <c r="R53" s="258"/>
      <c r="S53" s="255"/>
      <c r="T53" s="255"/>
      <c r="U53" s="255"/>
      <c r="V53" s="256"/>
      <c r="W53" s="259"/>
      <c r="X53" s="259"/>
      <c r="Y53" s="259"/>
      <c r="Z53" s="259"/>
      <c r="AA53" s="260"/>
      <c r="AB53" s="259"/>
      <c r="AC53" s="259"/>
      <c r="AD53" s="259"/>
      <c r="AE53" s="259"/>
      <c r="AF53" s="260"/>
      <c r="AG53" s="259"/>
      <c r="AH53" s="259"/>
      <c r="AI53" s="259"/>
      <c r="AJ53" s="259"/>
      <c r="AK53" s="260"/>
      <c r="AL53" s="259"/>
      <c r="AM53" s="259"/>
      <c r="AN53" s="259"/>
      <c r="AO53" s="259"/>
      <c r="AP53" s="260"/>
      <c r="AQ53" s="259"/>
      <c r="AR53" s="259"/>
      <c r="AS53" s="259"/>
      <c r="AT53" s="259"/>
      <c r="AU53" s="260"/>
      <c r="AV53" s="259"/>
      <c r="AW53" s="259"/>
      <c r="AX53" s="259"/>
      <c r="AY53" s="259"/>
      <c r="AZ53" s="260"/>
      <c r="BA53" s="259"/>
      <c r="BB53" s="259"/>
      <c r="BC53" s="259"/>
      <c r="BD53" s="259"/>
      <c r="BE53" s="260"/>
      <c r="BF53" s="259"/>
      <c r="BG53" s="259"/>
      <c r="BH53" s="259"/>
      <c r="BI53" s="259"/>
      <c r="BJ53" s="260"/>
      <c r="BK53" s="215"/>
      <c r="BL53" s="260"/>
      <c r="BM53" s="215"/>
      <c r="BN53" s="656"/>
      <c r="BO53" s="1206"/>
      <c r="BP53" s="1206"/>
      <c r="BQ53" s="174"/>
      <c r="BR53" s="194"/>
      <c r="BS53" s="194"/>
      <c r="BZ53" s="174"/>
      <c r="CA53" s="202"/>
      <c r="CB53" s="202"/>
    </row>
    <row r="54" spans="1:86" ht="12.75" customHeight="1">
      <c r="A54" s="174"/>
      <c r="B54" s="167" t="s">
        <v>105</v>
      </c>
      <c r="C54" s="215">
        <v>-26.6</v>
      </c>
      <c r="D54" s="215">
        <v>-26.6</v>
      </c>
      <c r="E54" s="215">
        <v>-26.6</v>
      </c>
      <c r="F54" s="215">
        <v>-26.6</v>
      </c>
      <c r="G54" s="169">
        <f>+SUM(C54:F54)</f>
        <v>-106.4</v>
      </c>
      <c r="H54" s="215">
        <v>-26.6</v>
      </c>
      <c r="I54" s="215">
        <v>-26.6</v>
      </c>
      <c r="J54" s="215">
        <v>-26.6</v>
      </c>
      <c r="K54" s="215">
        <v>-26.6</v>
      </c>
      <c r="L54" s="169">
        <f>+SUM(H54:K54)</f>
        <v>-106.4</v>
      </c>
      <c r="M54" s="215">
        <v>-26.6</v>
      </c>
      <c r="N54" s="215">
        <v>-26.6</v>
      </c>
      <c r="O54" s="215">
        <v>-26.6</v>
      </c>
      <c r="P54" s="215">
        <v>-25.8</v>
      </c>
      <c r="Q54" s="169">
        <f>+SUM(M54:P54)</f>
        <v>-105.60000000000001</v>
      </c>
      <c r="R54" s="215">
        <v>-24.45</v>
      </c>
      <c r="S54" s="215">
        <v>-10.169</v>
      </c>
      <c r="T54" s="215">
        <v>-10.055999999999999</v>
      </c>
      <c r="U54" s="215">
        <v>-9.8970000000000002</v>
      </c>
      <c r="V54" s="169">
        <f>+SUM(R54:U54)</f>
        <v>-54.571999999999996</v>
      </c>
      <c r="W54" s="215">
        <v>-9.6940000000000008</v>
      </c>
      <c r="X54" s="168">
        <v>-9.8989999999999991</v>
      </c>
      <c r="Y54" s="168">
        <v>-10.724</v>
      </c>
      <c r="Z54" s="168">
        <v>-10.585000000000001</v>
      </c>
      <c r="AA54" s="169">
        <f>+SUM(W54:Z54)</f>
        <v>-40.902000000000001</v>
      </c>
      <c r="AB54" s="168">
        <v>-10.554</v>
      </c>
      <c r="AC54" s="168">
        <v>-13.496</v>
      </c>
      <c r="AD54" s="168">
        <v>-28.039000000000001</v>
      </c>
      <c r="AE54" s="168">
        <v>-27.611999999999998</v>
      </c>
      <c r="AF54" s="169">
        <f>+SUM(AB54:AE54)</f>
        <v>-79.700999999999993</v>
      </c>
      <c r="AG54" s="168">
        <v>-26.010999999999999</v>
      </c>
      <c r="AH54" s="168">
        <v>-25.713999999999999</v>
      </c>
      <c r="AI54" s="168">
        <v>-27.044</v>
      </c>
      <c r="AJ54" s="168">
        <v>-26.966999999999999</v>
      </c>
      <c r="AK54" s="169">
        <f>+SUM(AG54:AJ54)</f>
        <v>-105.73599999999999</v>
      </c>
      <c r="AL54" s="168">
        <v>-27.728999999999999</v>
      </c>
      <c r="AM54" s="168">
        <v>-26.117999999999999</v>
      </c>
      <c r="AN54" s="168">
        <v>-27.474</v>
      </c>
      <c r="AO54" s="168">
        <v>-28.213000000000001</v>
      </c>
      <c r="AP54" s="169">
        <f>+SUM(AL54:AO54)</f>
        <v>-109.53399999999999</v>
      </c>
      <c r="AQ54" s="168">
        <f>-29.17</f>
        <v>-29.17</v>
      </c>
      <c r="AR54" s="168">
        <v>-29.75</v>
      </c>
      <c r="AS54" s="168">
        <v>-38.521000000000001</v>
      </c>
      <c r="AT54" s="168">
        <v>-43.22</v>
      </c>
      <c r="AU54" s="169">
        <f>+SUM(AQ54:AT54)</f>
        <v>-140.661</v>
      </c>
      <c r="AV54" s="168">
        <f>-AV55*AV290/4</f>
        <v>-87.846852250000012</v>
      </c>
      <c r="AW54" s="168">
        <f>-AW55*AW290/4</f>
        <v>-88.993461999999994</v>
      </c>
      <c r="AX54" s="168">
        <f>-AX55*AX290/4</f>
        <v>-90.140071750000004</v>
      </c>
      <c r="AY54" s="168">
        <f>-AY55*AY290/4</f>
        <v>-91.2866815</v>
      </c>
      <c r="AZ54" s="169">
        <f>+SUM(AV54:AY54)</f>
        <v>-358.2670675</v>
      </c>
      <c r="BA54" s="168">
        <f>-BA55*BA290/4</f>
        <v>-89.053969000000009</v>
      </c>
      <c r="BB54" s="168">
        <f>-BB55*BB290/4</f>
        <v>-88.203969000000015</v>
      </c>
      <c r="BC54" s="168">
        <f>-BC55*BC290/4</f>
        <v>-87.353968999999992</v>
      </c>
      <c r="BD54" s="168">
        <f>-BD55*BD290/4</f>
        <v>-86.503968999999998</v>
      </c>
      <c r="BE54" s="169">
        <f>+SUM(BA54:BD54)</f>
        <v>-351.11587600000001</v>
      </c>
      <c r="BF54" s="168">
        <f>-BF55*BF290/4</f>
        <v>-86.503968999999998</v>
      </c>
      <c r="BG54" s="168">
        <f>-BG55*BG290/4</f>
        <v>-86.503968999999998</v>
      </c>
      <c r="BH54" s="168">
        <f>-BH55*BH290/4</f>
        <v>-86.503968999999998</v>
      </c>
      <c r="BI54" s="168">
        <f>-BI55*BI290/4</f>
        <v>-86.503968999999998</v>
      </c>
      <c r="BJ54" s="169">
        <f>+SUM(BF54:BI54)</f>
        <v>-346.01587599999999</v>
      </c>
      <c r="BK54" s="215"/>
      <c r="BL54" s="169"/>
      <c r="BM54" s="215"/>
      <c r="BN54" s="173"/>
      <c r="BO54" s="1216"/>
      <c r="BP54" s="1216"/>
      <c r="BQ54" s="174"/>
      <c r="BR54" s="194"/>
      <c r="BS54" s="194"/>
      <c r="BZ54" s="174"/>
      <c r="CA54" s="194"/>
      <c r="CB54" s="194"/>
    </row>
    <row r="55" spans="1:86" ht="12.75" customHeight="1">
      <c r="A55" s="144"/>
      <c r="B55" s="261" t="s">
        <v>106</v>
      </c>
      <c r="C55" s="262"/>
      <c r="D55" s="262"/>
      <c r="E55" s="262"/>
      <c r="F55" s="262"/>
      <c r="G55" s="263"/>
      <c r="H55" s="264"/>
      <c r="I55" s="264"/>
      <c r="J55" s="264"/>
      <c r="K55" s="264">
        <f>-K54/AVERAGE(J255,K255)*4</f>
        <v>6.0578800835805267E-2</v>
      </c>
      <c r="L55" s="265">
        <f>+L54/AVERAGE(G255,L255)*4</f>
        <v>-0.28431238288647881</v>
      </c>
      <c r="M55" s="264">
        <f>-M54/AVERAGE(K255,M255)*4</f>
        <v>6.0422102904974323E-2</v>
      </c>
      <c r="N55" s="264">
        <f>-N54/AVERAGE(M255,N255)*4</f>
        <v>6.0319460707738894E-2</v>
      </c>
      <c r="O55" s="264">
        <f>-O54/AVERAGE(N255,O255)*4</f>
        <v>6.0140363312230508E-2</v>
      </c>
      <c r="P55" s="264">
        <f>-P54/AVERAGE(O255,P255)*4</f>
        <v>5.8179456563285388E-2</v>
      </c>
      <c r="Q55" s="265"/>
      <c r="R55" s="264">
        <f>-R54/AVERAGE(P255,R255)*4</f>
        <v>6.4304812702370304E-2</v>
      </c>
      <c r="S55" s="264">
        <f>-S54/AVERAGE(R255,S255)*4</f>
        <v>3.2202812164644753E-2</v>
      </c>
      <c r="T55" s="264">
        <f>+T291</f>
        <v>3.0956660675054926E-2</v>
      </c>
      <c r="U55" s="264">
        <f>+U291</f>
        <v>3.0956660675054926E-2</v>
      </c>
      <c r="V55" s="263"/>
      <c r="W55" s="264">
        <f>-W54/AVERAGE(U255,W255)*4</f>
        <v>3.120032667971508E-2</v>
      </c>
      <c r="X55" s="266">
        <f>-X54/AVERAGE(V255,X255)*4</f>
        <v>2.5171802190676589E-2</v>
      </c>
      <c r="Y55" s="266">
        <f>-Y54/AVERAGE(W255,Y255)*4</f>
        <v>2.7968198041130776E-2</v>
      </c>
      <c r="Z55" s="266">
        <f>-Z54/AVERAGE(X255,Z255)*4</f>
        <v>2.2863036426152096E-2</v>
      </c>
      <c r="AA55" s="267"/>
      <c r="AB55" s="264">
        <f>-AB54/AVERAGE(Z255,AB255)*4</f>
        <v>2.3252477143959529E-2</v>
      </c>
      <c r="AC55" s="264">
        <f>-AC54/AVERAGE(AB255,AC255)*4</f>
        <v>2.0437867221630882E-2</v>
      </c>
      <c r="AD55" s="264">
        <f>-AD54/AVERAGE(AC255,AD255)*4</f>
        <v>3.2382800527856165E-2</v>
      </c>
      <c r="AE55" s="264">
        <f>-AE54/AVERAGE(AD255,AE255)*4</f>
        <v>3.2180430447638034E-2</v>
      </c>
      <c r="AF55" s="268"/>
      <c r="AG55" s="264">
        <f>-AG54/AVERAGE(AE255,AG255)*4</f>
        <v>3.1509784268942208E-2</v>
      </c>
      <c r="AH55" s="264">
        <f>-AH54/AVERAGE(AF255,AH255)*4</f>
        <v>3.1134449234662409E-2</v>
      </c>
      <c r="AI55" s="264">
        <f>-AI54/AVERAGE(AG255,AI255)*4</f>
        <v>3.4193556340376602E-2</v>
      </c>
      <c r="AJ55" s="264">
        <f>-AJ54/AVERAGE(AH255,AJ255)*4</f>
        <v>3.4350618136297126E-2</v>
      </c>
      <c r="AK55" s="267"/>
      <c r="AL55" s="264">
        <f>-AL54/AVERAGE(AJ255,AL255)*4</f>
        <v>3.6131544151492133E-2</v>
      </c>
      <c r="AM55" s="264">
        <f>-AM54/AVERAGE(AK255,AM255)*4</f>
        <v>3.4173932072800499E-2</v>
      </c>
      <c r="AN55" s="264">
        <f>-AN54/AVERAGE(AL255,AN255)*4</f>
        <v>3.6346985116211226E-2</v>
      </c>
      <c r="AO55" s="264">
        <f>-AO54/AVERAGE(AM255,AO255)*4</f>
        <v>3.6019979323589656E-2</v>
      </c>
      <c r="AP55" s="267"/>
      <c r="AQ55" s="264">
        <f>-AQ54/AVERAGE(AO255,AQ255)*4</f>
        <v>3.6180557353609914E-2</v>
      </c>
      <c r="AR55" s="264">
        <f>-AR54/AVERAGE(AP255,AR255)*4</f>
        <v>3.5130084636935004E-2</v>
      </c>
      <c r="AS55" s="264">
        <f>-AS54/AVERAGE(AQ255,AS255)*4</f>
        <v>3.8738920957481188E-2</v>
      </c>
      <c r="AT55" s="264">
        <f>-AT54/AVERAGE(AR255,AT255)*4</f>
        <v>3.7420925890852025E-2</v>
      </c>
      <c r="AU55" s="267"/>
      <c r="AV55" s="269">
        <f>+AV291</f>
        <v>4.1025301399078284E-2</v>
      </c>
      <c r="AW55" s="269">
        <f>+AW291</f>
        <v>4.1560778873524405E-2</v>
      </c>
      <c r="AX55" s="269">
        <f>+AX291</f>
        <v>4.2096256347970533E-2</v>
      </c>
      <c r="AY55" s="269">
        <f>+AY291</f>
        <v>4.2631733822416654E-2</v>
      </c>
      <c r="AZ55" s="267"/>
      <c r="BA55" s="269">
        <f>+BA291</f>
        <v>4.2080333943719059E-2</v>
      </c>
      <c r="BB55" s="269">
        <f>+BB291</f>
        <v>4.2176929277564904E-2</v>
      </c>
      <c r="BC55" s="269">
        <f>+BC291</f>
        <v>4.2275862027244787E-2</v>
      </c>
      <c r="BD55" s="269">
        <f>+BD291</f>
        <v>4.2377218073078732E-2</v>
      </c>
      <c r="BE55" s="267"/>
      <c r="BF55" s="269">
        <f>+BF291</f>
        <v>4.2377218073078732E-2</v>
      </c>
      <c r="BG55" s="269">
        <f>+BG291</f>
        <v>4.2377218073078732E-2</v>
      </c>
      <c r="BH55" s="269">
        <f>+BH291</f>
        <v>4.2377218073078732E-2</v>
      </c>
      <c r="BI55" s="269">
        <f>+BI291</f>
        <v>4.2377218073078732E-2</v>
      </c>
      <c r="BJ55" s="267"/>
      <c r="BK55" s="215"/>
      <c r="BL55" s="267"/>
      <c r="BM55" s="215"/>
      <c r="BN55" s="270"/>
      <c r="BO55" s="1272"/>
      <c r="BP55" s="1272"/>
      <c r="BQ55" s="144"/>
      <c r="BR55" s="194"/>
      <c r="BS55" s="194"/>
      <c r="BZ55" s="144"/>
      <c r="CA55" s="202"/>
      <c r="CB55" s="202"/>
    </row>
    <row r="56" spans="1:86" ht="12.75" customHeight="1">
      <c r="A56" s="174"/>
      <c r="B56" s="167" t="s">
        <v>107</v>
      </c>
      <c r="C56" s="215"/>
      <c r="D56" s="215"/>
      <c r="E56" s="215"/>
      <c r="F56" s="215"/>
      <c r="G56" s="169"/>
      <c r="H56" s="215"/>
      <c r="I56" s="215"/>
      <c r="J56" s="215"/>
      <c r="K56" s="215"/>
      <c r="L56" s="169"/>
      <c r="M56" s="215"/>
      <c r="N56" s="215"/>
      <c r="O56" s="215"/>
      <c r="P56" s="215"/>
      <c r="Q56" s="271"/>
      <c r="R56" s="215"/>
      <c r="S56" s="215"/>
      <c r="T56" s="215"/>
      <c r="U56" s="215"/>
      <c r="V56" s="169"/>
      <c r="W56" s="215"/>
      <c r="X56" s="272"/>
      <c r="Y56" s="272"/>
      <c r="Z56" s="272"/>
      <c r="AA56" s="172"/>
      <c r="AB56" s="272"/>
      <c r="AC56" s="272"/>
      <c r="AD56" s="272"/>
      <c r="AE56" s="272"/>
      <c r="AF56" s="172"/>
      <c r="AG56" s="215">
        <v>-6.8000000000000005E-2</v>
      </c>
      <c r="AH56" s="273">
        <v>-1.083</v>
      </c>
      <c r="AI56" s="215">
        <v>-0.31900000000000001</v>
      </c>
      <c r="AJ56" s="215">
        <v>-3.1E-2</v>
      </c>
      <c r="AK56" s="172"/>
      <c r="AL56" s="215">
        <v>-0.53500000000000003</v>
      </c>
      <c r="AM56" s="215">
        <v>-0.69199999999999995</v>
      </c>
      <c r="AN56" s="1191">
        <v>-0.35399999999999998</v>
      </c>
      <c r="AO56" s="272"/>
      <c r="AP56" s="1204">
        <f>+SUM(AL56:AO56)</f>
        <v>-1.581</v>
      </c>
      <c r="AQ56" s="1191">
        <v>-0.25600000000000001</v>
      </c>
      <c r="AR56" s="215">
        <v>-0.42799999999999999</v>
      </c>
      <c r="AS56" s="1191">
        <v>-0.45900000000000002</v>
      </c>
      <c r="AT56" s="1191">
        <v>-0.66100000000000003</v>
      </c>
      <c r="AU56" s="1204">
        <f>+SUM(AQ56:AT56)</f>
        <v>-1.804</v>
      </c>
      <c r="AV56" s="272"/>
      <c r="AW56" s="272"/>
      <c r="AX56" s="272"/>
      <c r="AY56" s="272"/>
      <c r="AZ56" s="172"/>
      <c r="BA56" s="272"/>
      <c r="BB56" s="272"/>
      <c r="BC56" s="272"/>
      <c r="BD56" s="272"/>
      <c r="BE56" s="172"/>
      <c r="BF56" s="272"/>
      <c r="BG56" s="272"/>
      <c r="BH56" s="272"/>
      <c r="BI56" s="272"/>
      <c r="BJ56" s="172"/>
      <c r="BK56" s="173"/>
      <c r="BL56" s="1204"/>
      <c r="BM56" s="173"/>
      <c r="BN56" s="173"/>
      <c r="BO56" s="207"/>
      <c r="BP56" s="207"/>
      <c r="BQ56" s="174"/>
      <c r="BR56" s="194"/>
      <c r="BS56" s="194"/>
      <c r="BZ56" s="174"/>
      <c r="CA56" s="202"/>
      <c r="CB56" s="202"/>
    </row>
    <row r="57" spans="1:86" ht="12.75" customHeight="1">
      <c r="A57" s="174"/>
      <c r="B57" s="274" t="s">
        <v>108</v>
      </c>
      <c r="C57" s="239">
        <f>+C54+C56</f>
        <v>-26.6</v>
      </c>
      <c r="D57" s="239">
        <f>+D54+D56</f>
        <v>-26.6</v>
      </c>
      <c r="E57" s="239">
        <f>+E54+E56</f>
        <v>-26.6</v>
      </c>
      <c r="F57" s="239">
        <f>+F54+F56</f>
        <v>-26.6</v>
      </c>
      <c r="G57" s="238">
        <f t="shared" ref="G57:AZ57" si="76">+G54+G56</f>
        <v>-106.4</v>
      </c>
      <c r="H57" s="239">
        <f t="shared" si="76"/>
        <v>-26.6</v>
      </c>
      <c r="I57" s="239">
        <f t="shared" si="76"/>
        <v>-26.6</v>
      </c>
      <c r="J57" s="239">
        <f t="shared" si="76"/>
        <v>-26.6</v>
      </c>
      <c r="K57" s="239">
        <f t="shared" si="76"/>
        <v>-26.6</v>
      </c>
      <c r="L57" s="238">
        <f t="shared" si="76"/>
        <v>-106.4</v>
      </c>
      <c r="M57" s="239">
        <f t="shared" si="76"/>
        <v>-26.6</v>
      </c>
      <c r="N57" s="239">
        <f t="shared" si="76"/>
        <v>-26.6</v>
      </c>
      <c r="O57" s="239">
        <f t="shared" si="76"/>
        <v>-26.6</v>
      </c>
      <c r="P57" s="239">
        <f t="shared" si="76"/>
        <v>-25.8</v>
      </c>
      <c r="Q57" s="238">
        <f t="shared" si="76"/>
        <v>-105.60000000000001</v>
      </c>
      <c r="R57" s="239">
        <f t="shared" si="76"/>
        <v>-24.45</v>
      </c>
      <c r="S57" s="239">
        <f t="shared" si="76"/>
        <v>-10.169</v>
      </c>
      <c r="T57" s="239">
        <f t="shared" si="76"/>
        <v>-10.055999999999999</v>
      </c>
      <c r="U57" s="239">
        <f t="shared" si="76"/>
        <v>-9.8970000000000002</v>
      </c>
      <c r="V57" s="238">
        <f t="shared" si="76"/>
        <v>-54.571999999999996</v>
      </c>
      <c r="W57" s="239">
        <f t="shared" si="76"/>
        <v>-9.6940000000000008</v>
      </c>
      <c r="X57" s="239">
        <f t="shared" si="76"/>
        <v>-9.8989999999999991</v>
      </c>
      <c r="Y57" s="239">
        <f t="shared" si="76"/>
        <v>-10.724</v>
      </c>
      <c r="Z57" s="239">
        <f t="shared" si="76"/>
        <v>-10.585000000000001</v>
      </c>
      <c r="AA57" s="238">
        <f t="shared" si="76"/>
        <v>-40.902000000000001</v>
      </c>
      <c r="AB57" s="239">
        <f t="shared" si="76"/>
        <v>-10.554</v>
      </c>
      <c r="AC57" s="239">
        <f t="shared" si="76"/>
        <v>-13.496</v>
      </c>
      <c r="AD57" s="239">
        <f t="shared" si="76"/>
        <v>-28.039000000000001</v>
      </c>
      <c r="AE57" s="239">
        <f t="shared" si="76"/>
        <v>-27.611999999999998</v>
      </c>
      <c r="AF57" s="238">
        <f t="shared" si="76"/>
        <v>-79.700999999999993</v>
      </c>
      <c r="AG57" s="239">
        <f t="shared" si="76"/>
        <v>-26.079000000000001</v>
      </c>
      <c r="AH57" s="239">
        <f t="shared" si="76"/>
        <v>-26.796999999999997</v>
      </c>
      <c r="AI57" s="239">
        <f t="shared" si="76"/>
        <v>-27.363</v>
      </c>
      <c r="AJ57" s="239">
        <f t="shared" si="76"/>
        <v>-26.997999999999998</v>
      </c>
      <c r="AK57" s="238">
        <f t="shared" si="76"/>
        <v>-105.73599999999999</v>
      </c>
      <c r="AL57" s="239">
        <f t="shared" si="76"/>
        <v>-28.263999999999999</v>
      </c>
      <c r="AM57" s="239">
        <f t="shared" si="76"/>
        <v>-26.81</v>
      </c>
      <c r="AN57" s="239">
        <f t="shared" si="76"/>
        <v>-27.827999999999999</v>
      </c>
      <c r="AO57" s="239">
        <f t="shared" si="76"/>
        <v>-28.213000000000001</v>
      </c>
      <c r="AP57" s="238">
        <f t="shared" si="76"/>
        <v>-111.11499999999999</v>
      </c>
      <c r="AQ57" s="239">
        <f t="shared" si="76"/>
        <v>-29.426000000000002</v>
      </c>
      <c r="AR57" s="239">
        <f t="shared" si="76"/>
        <v>-30.178000000000001</v>
      </c>
      <c r="AS57" s="239">
        <f t="shared" si="76"/>
        <v>-38.980000000000004</v>
      </c>
      <c r="AT57" s="239">
        <f t="shared" si="76"/>
        <v>-43.881</v>
      </c>
      <c r="AU57" s="238">
        <f t="shared" si="76"/>
        <v>-142.465</v>
      </c>
      <c r="AV57" s="239">
        <f t="shared" si="76"/>
        <v>-87.846852250000012</v>
      </c>
      <c r="AW57" s="239">
        <f t="shared" si="76"/>
        <v>-88.993461999999994</v>
      </c>
      <c r="AX57" s="239">
        <f t="shared" si="76"/>
        <v>-90.140071750000004</v>
      </c>
      <c r="AY57" s="239">
        <f t="shared" si="76"/>
        <v>-91.2866815</v>
      </c>
      <c r="AZ57" s="238">
        <f t="shared" si="76"/>
        <v>-358.2670675</v>
      </c>
      <c r="BA57" s="239">
        <f t="shared" ref="BA57:BJ57" si="77">+BA54+BA56</f>
        <v>-89.053969000000009</v>
      </c>
      <c r="BB57" s="239">
        <f t="shared" si="77"/>
        <v>-88.203969000000015</v>
      </c>
      <c r="BC57" s="239">
        <f t="shared" si="77"/>
        <v>-87.353968999999992</v>
      </c>
      <c r="BD57" s="239">
        <f t="shared" si="77"/>
        <v>-86.503968999999998</v>
      </c>
      <c r="BE57" s="238">
        <f t="shared" si="77"/>
        <v>-351.11587600000001</v>
      </c>
      <c r="BF57" s="239">
        <f t="shared" si="77"/>
        <v>-86.503968999999998</v>
      </c>
      <c r="BG57" s="239">
        <f t="shared" si="77"/>
        <v>-86.503968999999998</v>
      </c>
      <c r="BH57" s="239">
        <f t="shared" si="77"/>
        <v>-86.503968999999998</v>
      </c>
      <c r="BI57" s="239">
        <f t="shared" si="77"/>
        <v>-86.503968999999998</v>
      </c>
      <c r="BJ57" s="238">
        <f t="shared" si="77"/>
        <v>-346.01587599999999</v>
      </c>
      <c r="BK57" s="173"/>
      <c r="BL57" s="238"/>
      <c r="BM57" s="173"/>
      <c r="BN57" s="207"/>
      <c r="BO57" s="173"/>
      <c r="BP57" s="173"/>
      <c r="BQ57" s="174"/>
      <c r="BR57" s="1180"/>
      <c r="BS57" s="194"/>
      <c r="BZ57" s="174"/>
      <c r="CA57" s="202"/>
      <c r="CB57" s="202"/>
    </row>
    <row r="58" spans="1:86" ht="4.5" customHeight="1">
      <c r="A58" s="144"/>
      <c r="B58" s="153"/>
      <c r="C58" s="264"/>
      <c r="D58" s="264"/>
      <c r="E58" s="264"/>
      <c r="F58" s="264"/>
      <c r="G58" s="184"/>
      <c r="H58" s="264"/>
      <c r="I58" s="264"/>
      <c r="J58" s="264"/>
      <c r="K58" s="264"/>
      <c r="L58" s="184"/>
      <c r="M58" s="264"/>
      <c r="N58" s="264"/>
      <c r="O58" s="181"/>
      <c r="P58" s="181"/>
      <c r="Q58" s="184"/>
      <c r="R58" s="264"/>
      <c r="S58" s="264"/>
      <c r="T58" s="264"/>
      <c r="U58" s="264"/>
      <c r="V58" s="184"/>
      <c r="W58" s="264"/>
      <c r="X58" s="264"/>
      <c r="Y58" s="264"/>
      <c r="Z58" s="264"/>
      <c r="AA58" s="184"/>
      <c r="AB58" s="264"/>
      <c r="AC58" s="264"/>
      <c r="AD58" s="264"/>
      <c r="AE58" s="264"/>
      <c r="AF58" s="184"/>
      <c r="AG58" s="264"/>
      <c r="AH58" s="264"/>
      <c r="AI58" s="264"/>
      <c r="AJ58" s="264"/>
      <c r="AK58" s="184"/>
      <c r="AL58" s="264"/>
      <c r="AM58" s="264"/>
      <c r="AN58" s="264"/>
      <c r="AO58" s="264"/>
      <c r="AP58" s="184"/>
      <c r="AQ58" s="264"/>
      <c r="AR58" s="264"/>
      <c r="AS58" s="264"/>
      <c r="AT58" s="264"/>
      <c r="AU58" s="184"/>
      <c r="AV58" s="264"/>
      <c r="AW58" s="264"/>
      <c r="AX58" s="264"/>
      <c r="AY58" s="264"/>
      <c r="AZ58" s="184"/>
      <c r="BA58" s="264"/>
      <c r="BB58" s="264"/>
      <c r="BC58" s="264"/>
      <c r="BD58" s="264"/>
      <c r="BE58" s="184"/>
      <c r="BF58" s="264"/>
      <c r="BG58" s="264"/>
      <c r="BH58" s="264"/>
      <c r="BI58" s="264"/>
      <c r="BJ58" s="184"/>
      <c r="BK58" s="189"/>
      <c r="BL58" s="184"/>
      <c r="BM58" s="189"/>
      <c r="BN58" s="189"/>
      <c r="BO58" s="189"/>
      <c r="BP58" s="189"/>
      <c r="BQ58" s="144"/>
      <c r="BR58" s="194"/>
      <c r="BS58" s="194"/>
      <c r="BZ58" s="144"/>
      <c r="CA58" s="202"/>
      <c r="CB58" s="202"/>
    </row>
    <row r="59" spans="1:86" ht="12.75" customHeight="1">
      <c r="A59" s="275"/>
      <c r="B59" s="254" t="s">
        <v>109</v>
      </c>
      <c r="C59" s="215">
        <f>+C48+C57</f>
        <v>37.399999999999991</v>
      </c>
      <c r="D59" s="215">
        <f>+D48+D57</f>
        <v>54.500000000000021</v>
      </c>
      <c r="E59" s="215">
        <f>+E48+E57</f>
        <v>59.900000000000013</v>
      </c>
      <c r="F59" s="215">
        <f>+F48+F57</f>
        <v>60.9</v>
      </c>
      <c r="G59" s="169">
        <f>+G48+G57</f>
        <v>212.69999999999996</v>
      </c>
      <c r="H59" s="215">
        <f t="shared" ref="H59:U59" si="78">+H48+H57</f>
        <v>49.100000000000016</v>
      </c>
      <c r="I59" s="215">
        <f t="shared" si="78"/>
        <v>61.599999999999987</v>
      </c>
      <c r="J59" s="215">
        <f t="shared" si="78"/>
        <v>64.700000000000017</v>
      </c>
      <c r="K59" s="215">
        <f t="shared" si="78"/>
        <v>73.100000000000023</v>
      </c>
      <c r="L59" s="169">
        <f t="shared" si="78"/>
        <v>248.49999999999991</v>
      </c>
      <c r="M59" s="215">
        <f t="shared" si="78"/>
        <v>52.830000000000034</v>
      </c>
      <c r="N59" s="215">
        <f t="shared" si="78"/>
        <v>74.770000000000039</v>
      </c>
      <c r="O59" s="215">
        <f t="shared" si="78"/>
        <v>76.680000000000007</v>
      </c>
      <c r="P59" s="215">
        <f t="shared" si="78"/>
        <v>95.188000000000031</v>
      </c>
      <c r="Q59" s="169">
        <f>+Q48+Q57</f>
        <v>299.46799999999996</v>
      </c>
      <c r="R59" s="215">
        <f t="shared" si="78"/>
        <v>68.884000000000015</v>
      </c>
      <c r="S59" s="215">
        <f>+S48+S57</f>
        <v>110.49800000000006</v>
      </c>
      <c r="T59" s="215">
        <f t="shared" si="78"/>
        <v>110.76299999999995</v>
      </c>
      <c r="U59" s="215">
        <f t="shared" si="78"/>
        <v>122.02499999999996</v>
      </c>
      <c r="V59" s="169">
        <f>+V48+V57</f>
        <v>412.16999999999996</v>
      </c>
      <c r="W59" s="215">
        <f t="shared" ref="W59:AF59" si="79">+W48+W57</f>
        <v>102.697</v>
      </c>
      <c r="X59" s="215">
        <f t="shared" si="79"/>
        <v>127.34899999999999</v>
      </c>
      <c r="Y59" s="215">
        <f t="shared" si="79"/>
        <v>122.10300000000002</v>
      </c>
      <c r="Z59" s="215">
        <f t="shared" si="79"/>
        <v>129.51599999999999</v>
      </c>
      <c r="AA59" s="169">
        <f t="shared" si="79"/>
        <v>481.66499999999991</v>
      </c>
      <c r="AB59" s="215">
        <f t="shared" si="79"/>
        <v>105.50099999999999</v>
      </c>
      <c r="AC59" s="215">
        <f t="shared" si="79"/>
        <v>129.25999999999996</v>
      </c>
      <c r="AD59" s="215">
        <f>+AD48+AD57</f>
        <v>133.28199999999998</v>
      </c>
      <c r="AE59" s="215">
        <f t="shared" si="79"/>
        <v>146.16299999999998</v>
      </c>
      <c r="AF59" s="169">
        <f t="shared" si="79"/>
        <v>514.20600000000002</v>
      </c>
      <c r="AG59" s="215">
        <f>+AG48+AG57</f>
        <v>121.46899999999997</v>
      </c>
      <c r="AH59" s="215">
        <f t="shared" ref="AH59:AZ59" si="80">+AH48+AH57</f>
        <v>158.61999999999995</v>
      </c>
      <c r="AI59" s="215">
        <f t="shared" si="80"/>
        <v>159.08600000000001</v>
      </c>
      <c r="AJ59" s="215">
        <f t="shared" si="80"/>
        <v>172.51400000000001</v>
      </c>
      <c r="AK59" s="169">
        <f t="shared" si="80"/>
        <v>613.18999999999994</v>
      </c>
      <c r="AL59" s="215">
        <f>+AL48+AL57</f>
        <v>144.571</v>
      </c>
      <c r="AM59" s="215">
        <f t="shared" si="80"/>
        <v>188.46399999999997</v>
      </c>
      <c r="AN59" s="215">
        <f t="shared" si="80"/>
        <v>190.76499999999996</v>
      </c>
      <c r="AO59" s="215">
        <f t="shared" si="80"/>
        <v>197.85</v>
      </c>
      <c r="AP59" s="169">
        <f t="shared" si="80"/>
        <v>721.65</v>
      </c>
      <c r="AQ59" s="215">
        <f t="shared" si="80"/>
        <v>156.35600000000005</v>
      </c>
      <c r="AR59" s="215">
        <f t="shared" si="80"/>
        <v>201.95499999999987</v>
      </c>
      <c r="AS59" s="215">
        <f t="shared" si="80"/>
        <v>203.887</v>
      </c>
      <c r="AT59" s="215">
        <f t="shared" si="80"/>
        <v>212.73400000000012</v>
      </c>
      <c r="AU59" s="169">
        <f t="shared" si="80"/>
        <v>774.93200000000002</v>
      </c>
      <c r="AV59" s="215">
        <f t="shared" si="80"/>
        <v>271.26922732851699</v>
      </c>
      <c r="AW59" s="215">
        <f t="shared" si="80"/>
        <v>336.8571577356073</v>
      </c>
      <c r="AX59" s="215">
        <f t="shared" si="80"/>
        <v>362.79944822955531</v>
      </c>
      <c r="AY59" s="215">
        <f t="shared" si="80"/>
        <v>382.91037102470369</v>
      </c>
      <c r="AZ59" s="169">
        <f t="shared" si="80"/>
        <v>1353.8362043183834</v>
      </c>
      <c r="BA59" s="215">
        <f t="shared" ref="BA59:BJ59" si="81">+BA48+BA57</f>
        <v>350.33438961179058</v>
      </c>
      <c r="BB59" s="215">
        <f t="shared" si="81"/>
        <v>392.28515145819728</v>
      </c>
      <c r="BC59" s="215">
        <f t="shared" si="81"/>
        <v>423.09043487634432</v>
      </c>
      <c r="BD59" s="215">
        <f t="shared" si="81"/>
        <v>448.0235782269126</v>
      </c>
      <c r="BE59" s="169">
        <f t="shared" si="81"/>
        <v>1613.7335541732457</v>
      </c>
      <c r="BF59" s="215">
        <f t="shared" si="81"/>
        <v>412.22530466155206</v>
      </c>
      <c r="BG59" s="215">
        <f t="shared" si="81"/>
        <v>458.19458175745888</v>
      </c>
      <c r="BH59" s="215">
        <f t="shared" si="81"/>
        <v>491.224711919382</v>
      </c>
      <c r="BI59" s="215">
        <f t="shared" si="81"/>
        <v>518.65592392546193</v>
      </c>
      <c r="BJ59" s="169">
        <f t="shared" si="81"/>
        <v>1880.3005222638549</v>
      </c>
      <c r="BK59" s="173"/>
      <c r="BL59" s="169"/>
      <c r="BM59" s="173"/>
      <c r="BN59" s="207"/>
      <c r="BO59" s="207"/>
      <c r="BP59" s="207"/>
      <c r="BQ59" s="276"/>
      <c r="BR59" s="277"/>
      <c r="BS59" s="277"/>
      <c r="BZ59" s="275"/>
      <c r="CA59" s="278"/>
      <c r="CB59" s="278"/>
    </row>
    <row r="60" spans="1:86" ht="12.75" customHeight="1">
      <c r="A60" s="137"/>
      <c r="B60" s="279" t="s">
        <v>89</v>
      </c>
      <c r="C60" s="264">
        <f>+C59/C15</f>
        <v>0.2374603174603174</v>
      </c>
      <c r="D60" s="264">
        <f>+D59/D15</f>
        <v>0.30395984383714453</v>
      </c>
      <c r="E60" s="264">
        <f>+E59/E15</f>
        <v>0.32572050027188698</v>
      </c>
      <c r="F60" s="264">
        <f>+F59/F15</f>
        <v>0.32759548144163525</v>
      </c>
      <c r="G60" s="184">
        <f>G59/'Quarterly Financial Model '!G15</f>
        <v>0.30101896405321249</v>
      </c>
      <c r="H60" s="264">
        <f>+H59/H15</f>
        <v>0.27929465301478962</v>
      </c>
      <c r="I60" s="264">
        <f>+I59/I15</f>
        <v>0.32731137088204032</v>
      </c>
      <c r="J60" s="264">
        <f>+J59/J15</f>
        <v>0.32285429141716576</v>
      </c>
      <c r="K60" s="264">
        <f>+K59/K15</f>
        <v>0.35076775431861812</v>
      </c>
      <c r="L60" s="184">
        <f>L59/'Quarterly Financial Model '!L15</f>
        <v>0.32155797101449268</v>
      </c>
      <c r="M60" s="264">
        <f>+M59/M15</f>
        <v>0.27918406172382831</v>
      </c>
      <c r="N60" s="264">
        <f>+N59/N15</f>
        <v>0.34476875547563068</v>
      </c>
      <c r="O60" s="264">
        <f>+O59/O15</f>
        <v>0.35355957211361128</v>
      </c>
      <c r="P60" s="264">
        <f>+P59/P15</f>
        <v>0.39222376054852331</v>
      </c>
      <c r="Q60" s="186">
        <f>Q59/'Quarterly Financial Model '!Q15</f>
        <v>0.34593862774181322</v>
      </c>
      <c r="R60" s="264">
        <f>+R59/R15</f>
        <v>0.29617208628391833</v>
      </c>
      <c r="S60" s="264">
        <f>+S59/S15</f>
        <v>0.42437533124918403</v>
      </c>
      <c r="T60" s="264">
        <f>+T59/T15</f>
        <v>0.42848853178180002</v>
      </c>
      <c r="U60" s="264">
        <f>+U59/U15</f>
        <v>0.44996791869786779</v>
      </c>
      <c r="V60" s="184">
        <f>V59/'Quarterly Financial Model '!V15</f>
        <v>0.40304427160237888</v>
      </c>
      <c r="W60" s="264">
        <f>+W59/W15</f>
        <v>0.37631595340434809</v>
      </c>
      <c r="X60" s="264">
        <f>+X59/X15</f>
        <v>0.42891881969775048</v>
      </c>
      <c r="Y60" s="264">
        <f>+Y59/Y15</f>
        <v>0.41502552633188994</v>
      </c>
      <c r="Z60" s="264">
        <f>+Z59/Z15</f>
        <v>0.41965900033050135</v>
      </c>
      <c r="AA60" s="184">
        <f>AA59/'Quarterly Financial Model '!AA15</f>
        <v>0.41075406178899498</v>
      </c>
      <c r="AB60" s="264">
        <f>+AB59/AB15</f>
        <v>0.36564748450778423</v>
      </c>
      <c r="AC60" s="264">
        <f>+AC59/AC15</f>
        <v>0.39011405237536168</v>
      </c>
      <c r="AD60" s="264">
        <f>+AD59/AD15</f>
        <v>0.35026555975160106</v>
      </c>
      <c r="AE60" s="264">
        <f>+AE59/AE15</f>
        <v>0.36345393509884372</v>
      </c>
      <c r="AF60" s="184">
        <f>AF59/'Quarterly Financial Model '!AF15</f>
        <v>0.36662536059629047</v>
      </c>
      <c r="AG60" s="264">
        <f>+AG59/AG15</f>
        <v>0.32438011563163438</v>
      </c>
      <c r="AH60" s="264">
        <f>+AH59/AH15</f>
        <v>0.37441637593651295</v>
      </c>
      <c r="AI60" s="264">
        <f>+AI59/AI15</f>
        <v>0.3695806713904054</v>
      </c>
      <c r="AJ60" s="264">
        <f>+AJ59/AJ15</f>
        <v>0.38067854581563415</v>
      </c>
      <c r="AK60" s="184">
        <f>AK59/'Quarterly Financial Model '!AK15</f>
        <v>0.36461727643339975</v>
      </c>
      <c r="AL60" s="264">
        <f>+AL59/AL15</f>
        <v>0.33526819878945296</v>
      </c>
      <c r="AM60" s="264">
        <f>+AM59/AM15</f>
        <v>0.39224027589020166</v>
      </c>
      <c r="AN60" s="264">
        <f>+AN59/AN15</f>
        <v>0.38879423141984837</v>
      </c>
      <c r="AO60" s="264">
        <f>+AO59/AO15</f>
        <v>0.39380030731750038</v>
      </c>
      <c r="AP60" s="184">
        <f>AP59/'Quarterly Financial Model '!AP15</f>
        <v>0.37886642996155423</v>
      </c>
      <c r="AQ60" s="264">
        <f>+AQ59/AQ15</f>
        <v>0.33259449915977124</v>
      </c>
      <c r="AR60" s="264">
        <f>+AR59/AR15</f>
        <v>0.38102488345021307</v>
      </c>
      <c r="AS60" s="264">
        <f>+AS59/AS15</f>
        <v>0.36787302068447875</v>
      </c>
      <c r="AT60" s="264">
        <f>+AT59/AT15</f>
        <v>0.37391354784959391</v>
      </c>
      <c r="AU60" s="184">
        <f>AU59/'Quarterly Financial Model '!AU15</f>
        <v>0.36496379241486887</v>
      </c>
      <c r="AV60" s="264">
        <f>+AV59/AV15</f>
        <v>0.32519123761316704</v>
      </c>
      <c r="AW60" s="264">
        <f>+AW59/AW15</f>
        <v>0.3458347658468684</v>
      </c>
      <c r="AX60" s="264">
        <f>+AX59/AX15</f>
        <v>0.35579919127137027</v>
      </c>
      <c r="AY60" s="264">
        <f>+AY59/AY15</f>
        <v>0.36434043292022722</v>
      </c>
      <c r="AZ60" s="184">
        <f>AZ59/'Quarterly Financial Model '!AZ15</f>
        <v>0.34902870146772158</v>
      </c>
      <c r="BA60" s="264">
        <f>+BA59/BA15</f>
        <v>0.35520734109832786</v>
      </c>
      <c r="BB60" s="264">
        <f>+BB59/BB15</f>
        <v>0.36918909905854957</v>
      </c>
      <c r="BC60" s="264">
        <f>+BC59/BC15</f>
        <v>0.38061564828572902</v>
      </c>
      <c r="BD60" s="264">
        <f>+BD59/BD15</f>
        <v>0.39075365386308092</v>
      </c>
      <c r="BE60" s="184">
        <f>BE59/'Quarterly Financial Model '!BE15</f>
        <v>0.37467711230019696</v>
      </c>
      <c r="BF60" s="264">
        <f>+BF59/BF15</f>
        <v>0.38227995322237635</v>
      </c>
      <c r="BG60" s="264">
        <f>+BG59/BG15</f>
        <v>0.39468601020076394</v>
      </c>
      <c r="BH60" s="264">
        <f>+BH59/BH15</f>
        <v>0.40489803525723145</v>
      </c>
      <c r="BI60" s="264">
        <f>+BI59/BI15</f>
        <v>0.41412946457714378</v>
      </c>
      <c r="BJ60" s="184">
        <f>BJ59/'Quarterly Financial Model '!BJ15</f>
        <v>0.39965161325010784</v>
      </c>
      <c r="BK60" s="173"/>
      <c r="BL60" s="184"/>
      <c r="BM60" s="173"/>
      <c r="BN60" s="168"/>
      <c r="BO60" s="189"/>
      <c r="BP60" s="189"/>
      <c r="BQ60" s="137"/>
      <c r="BR60" s="194"/>
      <c r="BS60" s="194"/>
      <c r="BZ60" s="137"/>
      <c r="CA60" s="202"/>
      <c r="CB60" s="202"/>
    </row>
    <row r="61" spans="1:86" ht="12.75" customHeight="1">
      <c r="A61" s="144"/>
      <c r="B61" s="254" t="s">
        <v>110</v>
      </c>
      <c r="C61" s="215">
        <f>C68*C59</f>
        <v>14.398999999999997</v>
      </c>
      <c r="D61" s="215">
        <f>D68*D59</f>
        <v>20.982500000000009</v>
      </c>
      <c r="E61" s="215">
        <f>E68*E59</f>
        <v>23.061500000000006</v>
      </c>
      <c r="F61" s="215">
        <f>F68*F59</f>
        <v>23.4465</v>
      </c>
      <c r="G61" s="169">
        <f>SUM(C61:F61)</f>
        <v>81.889500000000012</v>
      </c>
      <c r="H61" s="215">
        <f>H68*H59</f>
        <v>18.903500000000008</v>
      </c>
      <c r="I61" s="215">
        <f>I68*I59</f>
        <v>23.715999999999994</v>
      </c>
      <c r="J61" s="215">
        <f>J68*J59</f>
        <v>24.909500000000008</v>
      </c>
      <c r="K61" s="215">
        <f>K68*K59</f>
        <v>28.14350000000001</v>
      </c>
      <c r="L61" s="169">
        <f>SUM(H61:K61)</f>
        <v>95.672500000000014</v>
      </c>
      <c r="M61" s="215">
        <f>M68*M59</f>
        <v>20.339550000000013</v>
      </c>
      <c r="N61" s="215">
        <f>N68*N59</f>
        <v>28.786450000000016</v>
      </c>
      <c r="O61" s="215">
        <f>O68*O59</f>
        <v>29.521800000000002</v>
      </c>
      <c r="P61" s="215">
        <f>P68*P59</f>
        <v>36.647380000000013</v>
      </c>
      <c r="Q61" s="169">
        <f>SUM(M61:P61)</f>
        <v>115.29518000000004</v>
      </c>
      <c r="R61" s="215">
        <v>26.52</v>
      </c>
      <c r="S61" s="215">
        <v>42.542000000000002</v>
      </c>
      <c r="T61" s="215">
        <v>42.643999999999998</v>
      </c>
      <c r="U61" s="215">
        <f>46.98</f>
        <v>46.98</v>
      </c>
      <c r="V61" s="169">
        <f>SUM(R61:U61)</f>
        <v>158.68599999999998</v>
      </c>
      <c r="W61" s="215">
        <f>39.538</f>
        <v>39.537999999999997</v>
      </c>
      <c r="X61" s="215">
        <f>49.029</f>
        <v>49.029000000000003</v>
      </c>
      <c r="Y61" s="215">
        <f>47.01</f>
        <v>47.01</v>
      </c>
      <c r="Z61" s="215">
        <f>49.864</f>
        <v>49.863999999999997</v>
      </c>
      <c r="AA61" s="169">
        <f>SUM(W61:Z61)</f>
        <v>185.441</v>
      </c>
      <c r="AB61" s="215">
        <f>38.508</f>
        <v>38.508000000000003</v>
      </c>
      <c r="AC61" s="215">
        <v>47.18</v>
      </c>
      <c r="AD61" s="215">
        <v>48.648000000000003</v>
      </c>
      <c r="AE61" s="215">
        <v>53.348999999999997</v>
      </c>
      <c r="AF61" s="169">
        <f>SUM(AB61:AE61)</f>
        <v>187.685</v>
      </c>
      <c r="AG61" s="215">
        <v>43.753</v>
      </c>
      <c r="AH61" s="215">
        <v>57.493000000000002</v>
      </c>
      <c r="AI61" s="215">
        <v>57.386000000000003</v>
      </c>
      <c r="AJ61" s="215">
        <v>62.116</v>
      </c>
      <c r="AK61" s="169">
        <f>SUM(AG61:AJ61)</f>
        <v>220.74799999999999</v>
      </c>
      <c r="AL61" s="215">
        <v>52.238</v>
      </c>
      <c r="AM61" s="215">
        <v>68.096000000000004</v>
      </c>
      <c r="AN61" s="215">
        <v>68.802999999999997</v>
      </c>
      <c r="AO61" s="215">
        <v>71.225999999999999</v>
      </c>
      <c r="AP61" s="169">
        <f>SUM(AL61:AO61)</f>
        <v>260.363</v>
      </c>
      <c r="AQ61" s="215">
        <v>53.247999999999998</v>
      </c>
      <c r="AR61" s="215">
        <v>68.81</v>
      </c>
      <c r="AS61" s="215">
        <f>69.478</f>
        <v>69.477999999999994</v>
      </c>
      <c r="AT61" s="215">
        <f>38.989-AT66</f>
        <v>72.552999999999997</v>
      </c>
      <c r="AU61" s="169">
        <f>SUM(AQ61:AT61)</f>
        <v>264.089</v>
      </c>
      <c r="AV61" s="215">
        <f>AV62*AV59</f>
        <v>51.541153192418228</v>
      </c>
      <c r="AW61" s="215">
        <f>AW62*AW59</f>
        <v>64.002859969765382</v>
      </c>
      <c r="AX61" s="215">
        <f>AX62*AX59</f>
        <v>68.931895163615508</v>
      </c>
      <c r="AY61" s="215">
        <f>AY62*AY59</f>
        <v>72.752970494693699</v>
      </c>
      <c r="AZ61" s="169">
        <f>SUM(AV61:AY61)</f>
        <v>257.22887882049281</v>
      </c>
      <c r="BA61" s="215">
        <f>BA62*BA59</f>
        <v>63.936026104151779</v>
      </c>
      <c r="BB61" s="215">
        <f>BB62*BB59</f>
        <v>71.592040141121004</v>
      </c>
      <c r="BC61" s="215">
        <f>BC62*BC59</f>
        <v>77.214004364932833</v>
      </c>
      <c r="BD61" s="215">
        <f>BD62*BD59</f>
        <v>81.764303026411554</v>
      </c>
      <c r="BE61" s="169">
        <f>SUM(BA61:BD61)</f>
        <v>294.50637363661718</v>
      </c>
      <c r="BF61" s="215">
        <f>BF62*BF59</f>
        <v>74.200554839079373</v>
      </c>
      <c r="BG61" s="215">
        <f>BG62*BG59</f>
        <v>82.475024716342588</v>
      </c>
      <c r="BH61" s="215">
        <f>BH62*BH59</f>
        <v>88.420448145488763</v>
      </c>
      <c r="BI61" s="215">
        <f>BI62*BI59</f>
        <v>93.35806630658314</v>
      </c>
      <c r="BJ61" s="169">
        <f>SUM(BF61:BI61)</f>
        <v>338.45409400749384</v>
      </c>
      <c r="BK61" s="173"/>
      <c r="BL61" s="169"/>
      <c r="BM61" s="173"/>
      <c r="BN61" s="173"/>
      <c r="BO61" s="1206"/>
      <c r="BP61" s="1206"/>
      <c r="BQ61" s="1273"/>
      <c r="BR61" s="194"/>
      <c r="BS61" s="194"/>
      <c r="BZ61" s="144"/>
      <c r="CA61" s="194"/>
      <c r="CB61" s="194"/>
    </row>
    <row r="62" spans="1:86" ht="12.75" customHeight="1">
      <c r="A62" s="144"/>
      <c r="B62" s="281" t="s">
        <v>111</v>
      </c>
      <c r="C62" s="215"/>
      <c r="D62" s="215"/>
      <c r="E62" s="215"/>
      <c r="F62" s="215"/>
      <c r="G62" s="169"/>
      <c r="H62" s="215"/>
      <c r="I62" s="215"/>
      <c r="J62" s="215"/>
      <c r="K62" s="215"/>
      <c r="L62" s="169"/>
      <c r="M62" s="215"/>
      <c r="N62" s="215"/>
      <c r="O62" s="215"/>
      <c r="P62" s="215"/>
      <c r="Q62" s="169"/>
      <c r="R62" s="215"/>
      <c r="S62" s="215"/>
      <c r="T62" s="215"/>
      <c r="U62" s="215"/>
      <c r="V62" s="169"/>
      <c r="W62" s="215"/>
      <c r="X62" s="215"/>
      <c r="Y62" s="215"/>
      <c r="Z62" s="215"/>
      <c r="AA62" s="169"/>
      <c r="AB62" s="215"/>
      <c r="AC62" s="215"/>
      <c r="AD62" s="156">
        <f>+AD61/AD59</f>
        <v>0.36500052520220294</v>
      </c>
      <c r="AE62" s="156">
        <f>+AE61/AE59</f>
        <v>0.36499661337000472</v>
      </c>
      <c r="AF62" s="176">
        <f>+AF61/AF59</f>
        <v>0.36499963049828277</v>
      </c>
      <c r="AG62" s="156">
        <f>+AG61/AG59</f>
        <v>0.36019889848438708</v>
      </c>
      <c r="AH62" s="156">
        <v>0.36</v>
      </c>
      <c r="AI62" s="156">
        <f t="shared" ref="AI62:AR62" si="82">+AI61/AI59</f>
        <v>0.3607231308851816</v>
      </c>
      <c r="AJ62" s="156">
        <f t="shared" si="82"/>
        <v>0.36006353107573874</v>
      </c>
      <c r="AK62" s="176">
        <f t="shared" si="82"/>
        <v>0.35999934767364117</v>
      </c>
      <c r="AL62" s="156">
        <f t="shared" si="82"/>
        <v>0.36133111066534784</v>
      </c>
      <c r="AM62" s="156">
        <f t="shared" si="82"/>
        <v>0.36132099499108589</v>
      </c>
      <c r="AN62" s="156">
        <f t="shared" si="82"/>
        <v>0.36066888580190293</v>
      </c>
      <c r="AO62" s="156">
        <f t="shared" si="82"/>
        <v>0.36</v>
      </c>
      <c r="AP62" s="176">
        <f>+AP61/AP59</f>
        <v>0.36078847086537796</v>
      </c>
      <c r="AQ62" s="156">
        <f t="shared" si="82"/>
        <v>0.34055616669651295</v>
      </c>
      <c r="AR62" s="156">
        <f t="shared" si="82"/>
        <v>0.34071946720804164</v>
      </c>
      <c r="AS62" s="156">
        <f>+AS61/AS59</f>
        <v>0.34076718966878711</v>
      </c>
      <c r="AT62" s="156">
        <f>+AT61/AT59</f>
        <v>0.3410503257589288</v>
      </c>
      <c r="AU62" s="176">
        <f>+AU61/AU59</f>
        <v>0.34078990156555672</v>
      </c>
      <c r="AV62" s="187">
        <f>CHOOSE(_Switch,AV63, AV64, AV65)</f>
        <v>0.19</v>
      </c>
      <c r="AW62" s="187">
        <f>CHOOSE(_Switch,AW63, AW64, AW65)</f>
        <v>0.19</v>
      </c>
      <c r="AX62" s="187">
        <f>CHOOSE(_Switch,AX63, AX64, AX65)</f>
        <v>0.19</v>
      </c>
      <c r="AY62" s="187">
        <f>CHOOSE(_Switch,AY63, AY64, AY65)</f>
        <v>0.19</v>
      </c>
      <c r="AZ62" s="176">
        <f>+AZ61/AZ59</f>
        <v>0.18999999999999997</v>
      </c>
      <c r="BA62" s="187">
        <f>CHOOSE(_Switch,BA63, BA64, BA65)</f>
        <v>0.1825</v>
      </c>
      <c r="BB62" s="187">
        <f>CHOOSE(_Switch,BB63, BB64, BB65)</f>
        <v>0.1825</v>
      </c>
      <c r="BC62" s="187">
        <f>CHOOSE(_Switch,BC63, BC64, BC65)</f>
        <v>0.1825</v>
      </c>
      <c r="BD62" s="187">
        <f>CHOOSE(_Switch,BD63, BD64, BD65)</f>
        <v>0.1825</v>
      </c>
      <c r="BE62" s="176">
        <f>+BE61/BE59</f>
        <v>0.18249999999999991</v>
      </c>
      <c r="BF62" s="187">
        <f>CHOOSE(_Switch,BF63, BF64, BF65)</f>
        <v>0.18</v>
      </c>
      <c r="BG62" s="187">
        <f>CHOOSE(_Switch,BG63, BG64, BG65)</f>
        <v>0.18</v>
      </c>
      <c r="BH62" s="187">
        <f>CHOOSE(_Switch,BH63, BH64, BH65)</f>
        <v>0.18</v>
      </c>
      <c r="BI62" s="187">
        <f>CHOOSE(_Switch,BI63, BI64, BI65)</f>
        <v>0.18</v>
      </c>
      <c r="BJ62" s="176">
        <f>+BJ61/BJ59</f>
        <v>0.17999999999999997</v>
      </c>
      <c r="BK62" s="1216"/>
      <c r="BL62" s="176"/>
      <c r="BM62" s="1216"/>
      <c r="BN62" s="207"/>
      <c r="BO62" s="1216"/>
      <c r="BP62" s="173"/>
      <c r="BQ62" s="280"/>
      <c r="BR62" s="194"/>
      <c r="BS62" s="194"/>
      <c r="BZ62" s="144"/>
      <c r="CA62" s="194"/>
      <c r="CB62" s="194"/>
    </row>
    <row r="63" spans="1:86" ht="12.75" customHeight="1" outlineLevel="1">
      <c r="A63" s="144"/>
      <c r="B63" s="1199" t="s">
        <v>93</v>
      </c>
      <c r="C63" s="215"/>
      <c r="D63" s="215"/>
      <c r="E63" s="215"/>
      <c r="F63" s="215"/>
      <c r="G63" s="169"/>
      <c r="H63" s="215"/>
      <c r="I63" s="215"/>
      <c r="J63" s="215"/>
      <c r="K63" s="215"/>
      <c r="L63" s="169"/>
      <c r="M63" s="215"/>
      <c r="N63" s="215"/>
      <c r="O63" s="215"/>
      <c r="P63" s="215"/>
      <c r="Q63" s="169"/>
      <c r="R63" s="215"/>
      <c r="S63" s="215"/>
      <c r="T63" s="215"/>
      <c r="U63" s="215"/>
      <c r="V63" s="169"/>
      <c r="W63" s="215"/>
      <c r="X63" s="215"/>
      <c r="Y63" s="215"/>
      <c r="Z63" s="215"/>
      <c r="AA63" s="169"/>
      <c r="AB63" s="215"/>
      <c r="AC63" s="215"/>
      <c r="AD63" s="156"/>
      <c r="AE63" s="156"/>
      <c r="AF63" s="176"/>
      <c r="AG63" s="156"/>
      <c r="AH63" s="156"/>
      <c r="AI63" s="156"/>
      <c r="AJ63" s="156"/>
      <c r="AK63" s="176"/>
      <c r="AL63" s="156"/>
      <c r="AM63" s="156"/>
      <c r="AN63" s="156"/>
      <c r="AO63" s="187"/>
      <c r="AP63" s="176"/>
      <c r="AQ63" s="187"/>
      <c r="AR63" s="187"/>
      <c r="AS63" s="156"/>
      <c r="AT63" s="156"/>
      <c r="AU63" s="176"/>
      <c r="AV63" s="1217">
        <f>+AV64</f>
        <v>0.19</v>
      </c>
      <c r="AW63" s="1217">
        <f>+AV63</f>
        <v>0.19</v>
      </c>
      <c r="AX63" s="1217">
        <f>+AW63</f>
        <v>0.19</v>
      </c>
      <c r="AY63" s="1217">
        <f>+AX63</f>
        <v>0.19</v>
      </c>
      <c r="AZ63" s="176"/>
      <c r="BA63" s="1217">
        <f>+BA64</f>
        <v>0.1825</v>
      </c>
      <c r="BB63" s="1217">
        <f>+BA63</f>
        <v>0.1825</v>
      </c>
      <c r="BC63" s="1217">
        <f>+BB63</f>
        <v>0.1825</v>
      </c>
      <c r="BD63" s="1217">
        <f>+BC63</f>
        <v>0.1825</v>
      </c>
      <c r="BE63" s="176"/>
      <c r="BF63" s="1217">
        <f>+BF64</f>
        <v>0.18</v>
      </c>
      <c r="BG63" s="1217">
        <f>+BF63</f>
        <v>0.18</v>
      </c>
      <c r="BH63" s="1217">
        <f>+BG63</f>
        <v>0.18</v>
      </c>
      <c r="BI63" s="1217">
        <f>+BH63</f>
        <v>0.18</v>
      </c>
      <c r="BJ63" s="176"/>
      <c r="BK63" s="173"/>
      <c r="BL63" s="176"/>
      <c r="BM63" s="173"/>
      <c r="BN63" s="173"/>
      <c r="BO63" s="173"/>
      <c r="BP63" s="1269"/>
      <c r="BQ63" s="1269"/>
      <c r="BR63" s="1270"/>
      <c r="BS63" s="194"/>
      <c r="BZ63" s="144"/>
      <c r="CA63" s="1233"/>
      <c r="CB63" s="1233"/>
      <c r="CC63" s="1234"/>
      <c r="CD63" s="1234"/>
      <c r="CE63" s="1234"/>
      <c r="CF63" s="1234"/>
      <c r="CG63" s="1234"/>
      <c r="CH63" s="1234"/>
    </row>
    <row r="64" spans="1:86" ht="12.75" customHeight="1" outlineLevel="1">
      <c r="A64" s="144"/>
      <c r="B64" s="1199" t="s">
        <v>94</v>
      </c>
      <c r="C64" s="215"/>
      <c r="D64" s="215"/>
      <c r="E64" s="215"/>
      <c r="F64" s="215"/>
      <c r="G64" s="169"/>
      <c r="H64" s="215"/>
      <c r="I64" s="215"/>
      <c r="J64" s="215"/>
      <c r="K64" s="215"/>
      <c r="L64" s="169"/>
      <c r="M64" s="215"/>
      <c r="N64" s="215"/>
      <c r="O64" s="215"/>
      <c r="P64" s="215"/>
      <c r="Q64" s="169"/>
      <c r="R64" s="215"/>
      <c r="S64" s="215"/>
      <c r="T64" s="215"/>
      <c r="U64" s="215"/>
      <c r="V64" s="169"/>
      <c r="W64" s="215"/>
      <c r="X64" s="215"/>
      <c r="Y64" s="215"/>
      <c r="Z64" s="215"/>
      <c r="AA64" s="169"/>
      <c r="AB64" s="215"/>
      <c r="AC64" s="215"/>
      <c r="AD64" s="156"/>
      <c r="AE64" s="156"/>
      <c r="AF64" s="176"/>
      <c r="AG64" s="156"/>
      <c r="AH64" s="156"/>
      <c r="AI64" s="156"/>
      <c r="AJ64" s="156"/>
      <c r="AK64" s="176"/>
      <c r="AL64" s="156"/>
      <c r="AM64" s="156"/>
      <c r="AN64" s="156"/>
      <c r="AO64" s="187"/>
      <c r="AP64" s="176"/>
      <c r="AQ64" s="187"/>
      <c r="AR64" s="187"/>
      <c r="AS64" s="156"/>
      <c r="AT64" s="156"/>
      <c r="AU64" s="176"/>
      <c r="AV64" s="1217">
        <v>0.19</v>
      </c>
      <c r="AW64" s="1217">
        <f>AV64</f>
        <v>0.19</v>
      </c>
      <c r="AX64" s="1217">
        <f>AW64</f>
        <v>0.19</v>
      </c>
      <c r="AY64" s="1217">
        <f>AX64</f>
        <v>0.19</v>
      </c>
      <c r="AZ64" s="176"/>
      <c r="BA64" s="1217">
        <v>0.1825</v>
      </c>
      <c r="BB64" s="1217">
        <f>BA64</f>
        <v>0.1825</v>
      </c>
      <c r="BC64" s="1217">
        <f>BB64</f>
        <v>0.1825</v>
      </c>
      <c r="BD64" s="1217">
        <f>BC64</f>
        <v>0.1825</v>
      </c>
      <c r="BE64" s="176"/>
      <c r="BF64" s="1217">
        <v>0.18</v>
      </c>
      <c r="BG64" s="1217">
        <f>BF64</f>
        <v>0.18</v>
      </c>
      <c r="BH64" s="1217">
        <f>BG64</f>
        <v>0.18</v>
      </c>
      <c r="BI64" s="1217">
        <f>BH64</f>
        <v>0.18</v>
      </c>
      <c r="BJ64" s="176"/>
      <c r="BK64" s="173"/>
      <c r="BL64" s="176"/>
      <c r="BM64" s="173"/>
      <c r="BN64" s="173"/>
      <c r="BO64" s="173"/>
      <c r="BP64" s="173"/>
      <c r="BQ64" s="1267"/>
      <c r="BR64" s="1267"/>
      <c r="BS64" s="194"/>
      <c r="BZ64" s="144"/>
      <c r="CA64" s="194"/>
      <c r="CB64" s="194"/>
    </row>
    <row r="65" spans="1:90" ht="12.75" customHeight="1" outlineLevel="1">
      <c r="A65" s="144"/>
      <c r="B65" s="1199" t="s">
        <v>95</v>
      </c>
      <c r="C65" s="215"/>
      <c r="D65" s="215"/>
      <c r="E65" s="215"/>
      <c r="F65" s="215"/>
      <c r="G65" s="169"/>
      <c r="H65" s="215"/>
      <c r="I65" s="215"/>
      <c r="J65" s="215"/>
      <c r="K65" s="215"/>
      <c r="L65" s="169"/>
      <c r="M65" s="215"/>
      <c r="N65" s="215"/>
      <c r="O65" s="215"/>
      <c r="P65" s="215"/>
      <c r="Q65" s="169"/>
      <c r="R65" s="215"/>
      <c r="S65" s="215"/>
      <c r="T65" s="215"/>
      <c r="U65" s="215"/>
      <c r="V65" s="169"/>
      <c r="W65" s="215"/>
      <c r="X65" s="215"/>
      <c r="Y65" s="215"/>
      <c r="Z65" s="215"/>
      <c r="AA65" s="169"/>
      <c r="AB65" s="215"/>
      <c r="AC65" s="215"/>
      <c r="AD65" s="156"/>
      <c r="AE65" s="156"/>
      <c r="AF65" s="176"/>
      <c r="AG65" s="156"/>
      <c r="AH65" s="156"/>
      <c r="AI65" s="156"/>
      <c r="AJ65" s="156"/>
      <c r="AK65" s="176"/>
      <c r="AL65" s="156"/>
      <c r="AM65" s="156"/>
      <c r="AN65" s="156"/>
      <c r="AO65" s="187"/>
      <c r="AP65" s="176"/>
      <c r="AQ65" s="187"/>
      <c r="AR65" s="187"/>
      <c r="AS65" s="156"/>
      <c r="AT65" s="156"/>
      <c r="AU65" s="176"/>
      <c r="AV65" s="1217">
        <v>0.2</v>
      </c>
      <c r="AW65" s="1217">
        <f>+AV65</f>
        <v>0.2</v>
      </c>
      <c r="AX65" s="1217">
        <f t="shared" ref="AX65:AY65" si="83">+AW65</f>
        <v>0.2</v>
      </c>
      <c r="AY65" s="1217">
        <f t="shared" si="83"/>
        <v>0.2</v>
      </c>
      <c r="AZ65" s="176"/>
      <c r="BA65" s="1217">
        <v>0.19500000000000001</v>
      </c>
      <c r="BB65" s="1217">
        <f>+BA65</f>
        <v>0.19500000000000001</v>
      </c>
      <c r="BC65" s="1217">
        <f t="shared" ref="BC65:BD65" si="84">+BB65</f>
        <v>0.19500000000000001</v>
      </c>
      <c r="BD65" s="1217">
        <f t="shared" si="84"/>
        <v>0.19500000000000001</v>
      </c>
      <c r="BE65" s="176"/>
      <c r="BF65" s="1217">
        <v>0.19500000000000001</v>
      </c>
      <c r="BG65" s="1217">
        <f>+BF65</f>
        <v>0.19500000000000001</v>
      </c>
      <c r="BH65" s="1217">
        <f t="shared" ref="BH65:BI65" si="85">+BG65</f>
        <v>0.19500000000000001</v>
      </c>
      <c r="BI65" s="1217">
        <f t="shared" si="85"/>
        <v>0.19500000000000001</v>
      </c>
      <c r="BJ65" s="176"/>
      <c r="BK65" s="173"/>
      <c r="BL65" s="176"/>
      <c r="BM65" s="173"/>
      <c r="BN65" s="173"/>
      <c r="BO65" s="173"/>
      <c r="BP65" s="173"/>
      <c r="BQ65" s="1279"/>
      <c r="BR65" s="194"/>
      <c r="BS65" s="194"/>
      <c r="BZ65" s="144"/>
      <c r="CA65" s="194"/>
      <c r="CB65" s="194"/>
    </row>
    <row r="66" spans="1:90" ht="12.75" customHeight="1">
      <c r="A66" s="144"/>
      <c r="B66" s="254" t="s">
        <v>112</v>
      </c>
      <c r="C66" s="215">
        <v>0</v>
      </c>
      <c r="D66" s="215">
        <v>0</v>
      </c>
      <c r="E66" s="215">
        <v>0</v>
      </c>
      <c r="F66" s="215">
        <v>0</v>
      </c>
      <c r="G66" s="169">
        <f>SUM(C66:F66)</f>
        <v>0</v>
      </c>
      <c r="H66" s="215">
        <v>0</v>
      </c>
      <c r="I66" s="215">
        <v>0</v>
      </c>
      <c r="J66" s="215">
        <v>0</v>
      </c>
      <c r="K66" s="215">
        <v>0</v>
      </c>
      <c r="L66" s="169">
        <f>SUM(H66:K66)</f>
        <v>0</v>
      </c>
      <c r="M66" s="215">
        <v>0</v>
      </c>
      <c r="N66" s="215">
        <v>0</v>
      </c>
      <c r="O66" s="215">
        <v>0</v>
      </c>
      <c r="P66" s="215">
        <v>0</v>
      </c>
      <c r="Q66" s="169">
        <f>SUM(M66:P66)</f>
        <v>0</v>
      </c>
      <c r="R66" s="215">
        <v>0</v>
      </c>
      <c r="S66" s="215">
        <v>0</v>
      </c>
      <c r="T66" s="215">
        <v>0</v>
      </c>
      <c r="U66" s="215">
        <v>-6.5250000000000004</v>
      </c>
      <c r="V66" s="169">
        <f>SUM(R66:U66)</f>
        <v>-6.5250000000000004</v>
      </c>
      <c r="W66" s="215">
        <v>-4.242</v>
      </c>
      <c r="X66" s="215">
        <v>-4.3940000000000001</v>
      </c>
      <c r="Y66" s="215">
        <v>-4.875</v>
      </c>
      <c r="Z66" s="215">
        <v>-10.782999999999999</v>
      </c>
      <c r="AA66" s="169">
        <f>SUM(W66:Z66)</f>
        <v>-24.293999999999997</v>
      </c>
      <c r="AB66" s="215">
        <v>-10.629</v>
      </c>
      <c r="AC66" s="215">
        <v>-10.958</v>
      </c>
      <c r="AD66" s="215">
        <v>-12.417999999999999</v>
      </c>
      <c r="AE66" s="215">
        <v>-12.457000000000001</v>
      </c>
      <c r="AF66" s="169">
        <f>SUM(AB66:AE66)</f>
        <v>-46.461999999999996</v>
      </c>
      <c r="AG66" s="215">
        <v>-11.692</v>
      </c>
      <c r="AH66" s="215">
        <v>-11.644</v>
      </c>
      <c r="AI66" s="282">
        <v>-16.841999999999999</v>
      </c>
      <c r="AJ66" s="282">
        <v>-18.007999999999999</v>
      </c>
      <c r="AK66" s="169">
        <f>SUM(AG66:AJ66)</f>
        <v>-58.185999999999993</v>
      </c>
      <c r="AL66" s="215">
        <v>-18.07</v>
      </c>
      <c r="AM66" s="215">
        <v>-18.07</v>
      </c>
      <c r="AN66" s="215">
        <v>-18.902000000000001</v>
      </c>
      <c r="AO66" s="215">
        <v>-21.117999999999999</v>
      </c>
      <c r="AP66" s="169">
        <f>SUM(AL66:AO66)</f>
        <v>-76.16</v>
      </c>
      <c r="AQ66" s="215">
        <v>-31.577999999999999</v>
      </c>
      <c r="AR66" s="215">
        <v>-31.579000000000001</v>
      </c>
      <c r="AS66" s="215">
        <v>-33.564</v>
      </c>
      <c r="AT66" s="215">
        <f>+AS66</f>
        <v>-33.564</v>
      </c>
      <c r="AU66" s="169">
        <f>SUM(AQ66:AT66)</f>
        <v>-130.285</v>
      </c>
      <c r="AV66" s="215">
        <v>-21</v>
      </c>
      <c r="AW66" s="215">
        <f>+AV66</f>
        <v>-21</v>
      </c>
      <c r="AX66" s="215">
        <f>+AW66</f>
        <v>-21</v>
      </c>
      <c r="AY66" s="215">
        <f>+AX66</f>
        <v>-21</v>
      </c>
      <c r="AZ66" s="169">
        <f>SUM(AV66:AY66)</f>
        <v>-84</v>
      </c>
      <c r="BA66" s="215">
        <v>-21</v>
      </c>
      <c r="BB66" s="215">
        <f>+BA66</f>
        <v>-21</v>
      </c>
      <c r="BC66" s="215">
        <f>+BB66</f>
        <v>-21</v>
      </c>
      <c r="BD66" s="215">
        <f>+BC66</f>
        <v>-21</v>
      </c>
      <c r="BE66" s="169">
        <f>SUM(BA66:BD66)</f>
        <v>-84</v>
      </c>
      <c r="BF66" s="215">
        <v>-21</v>
      </c>
      <c r="BG66" s="215">
        <f>+BF66</f>
        <v>-21</v>
      </c>
      <c r="BH66" s="215">
        <f>+BG66</f>
        <v>-21</v>
      </c>
      <c r="BI66" s="215">
        <f>+BH66</f>
        <v>-21</v>
      </c>
      <c r="BJ66" s="169">
        <f>SUM(BF66:BI66)</f>
        <v>-84</v>
      </c>
      <c r="BK66" s="173"/>
      <c r="BL66" s="169"/>
      <c r="BM66" s="173"/>
      <c r="BN66" s="173"/>
      <c r="BO66" s="173"/>
      <c r="BP66" s="173"/>
      <c r="BQ66" s="280"/>
      <c r="BR66" s="1231"/>
      <c r="BS66" s="1231"/>
      <c r="BZ66" s="144"/>
      <c r="CA66" s="287"/>
      <c r="CB66" s="287"/>
      <c r="CC66" s="287"/>
      <c r="CD66" s="287"/>
      <c r="CE66" s="287"/>
      <c r="CF66" s="287"/>
      <c r="CG66" s="287"/>
      <c r="CH66" s="287"/>
      <c r="CI66" s="287"/>
      <c r="CJ66" s="287"/>
      <c r="CK66" s="287"/>
      <c r="CL66" s="287"/>
    </row>
    <row r="67" spans="1:90" ht="12.75" customHeight="1">
      <c r="A67" s="144"/>
      <c r="B67" s="254" t="s">
        <v>113</v>
      </c>
      <c r="C67" s="215">
        <f>C61+C66</f>
        <v>14.398999999999997</v>
      </c>
      <c r="D67" s="215">
        <f>D61+D66</f>
        <v>20.982500000000009</v>
      </c>
      <c r="E67" s="215">
        <f>E61+E66</f>
        <v>23.061500000000006</v>
      </c>
      <c r="F67" s="215">
        <f>F61+F66</f>
        <v>23.4465</v>
      </c>
      <c r="G67" s="169">
        <f>SUM(C67:F67)</f>
        <v>81.889500000000012</v>
      </c>
      <c r="H67" s="215">
        <f>H61+H66</f>
        <v>18.903500000000008</v>
      </c>
      <c r="I67" s="215">
        <f>I61+I66</f>
        <v>23.715999999999994</v>
      </c>
      <c r="J67" s="215">
        <f>J61+J66</f>
        <v>24.909500000000008</v>
      </c>
      <c r="K67" s="215">
        <f>K61+K66</f>
        <v>28.14350000000001</v>
      </c>
      <c r="L67" s="169">
        <f>SUM(H67:K67)</f>
        <v>95.672500000000014</v>
      </c>
      <c r="M67" s="215">
        <f>M61+M66</f>
        <v>20.339550000000013</v>
      </c>
      <c r="N67" s="215">
        <f>N61+N66</f>
        <v>28.786450000000016</v>
      </c>
      <c r="O67" s="215">
        <f>O61+O66</f>
        <v>29.521800000000002</v>
      </c>
      <c r="P67" s="215">
        <f>P61+P66</f>
        <v>36.647380000000013</v>
      </c>
      <c r="Q67" s="169">
        <f>SUM(M67:P67)</f>
        <v>115.29518000000004</v>
      </c>
      <c r="R67" s="215">
        <f>R61+R66</f>
        <v>26.52</v>
      </c>
      <c r="S67" s="215">
        <f>S61+S66</f>
        <v>42.542000000000002</v>
      </c>
      <c r="T67" s="215">
        <f>T61+T66</f>
        <v>42.643999999999998</v>
      </c>
      <c r="U67" s="215">
        <f>U61+U66</f>
        <v>40.454999999999998</v>
      </c>
      <c r="V67" s="169">
        <f>SUM(R67:U67)</f>
        <v>152.161</v>
      </c>
      <c r="W67" s="215">
        <f>W61+W66</f>
        <v>35.295999999999999</v>
      </c>
      <c r="X67" s="215">
        <f>X61+X66</f>
        <v>44.635000000000005</v>
      </c>
      <c r="Y67" s="215">
        <f>Y61+Y66</f>
        <v>42.134999999999998</v>
      </c>
      <c r="Z67" s="215">
        <f>Z61+Z66</f>
        <v>39.080999999999996</v>
      </c>
      <c r="AA67" s="169">
        <f>SUM(W67:Z67)</f>
        <v>161.14699999999999</v>
      </c>
      <c r="AB67" s="215">
        <f>AB61+AB66</f>
        <v>27.879000000000005</v>
      </c>
      <c r="AC67" s="215">
        <f>AC61+AC66</f>
        <v>36.222000000000001</v>
      </c>
      <c r="AD67" s="215">
        <f>AD61+AD66</f>
        <v>36.230000000000004</v>
      </c>
      <c r="AE67" s="215">
        <f>AE61+AE66</f>
        <v>40.891999999999996</v>
      </c>
      <c r="AF67" s="169">
        <f>SUM(AB67:AE67)</f>
        <v>141.22300000000001</v>
      </c>
      <c r="AG67" s="215">
        <f>AG61+AG66</f>
        <v>32.061</v>
      </c>
      <c r="AH67" s="215">
        <f>AH61+AH66</f>
        <v>45.849000000000004</v>
      </c>
      <c r="AI67" s="215">
        <f>AI61+AI66</f>
        <v>40.544000000000004</v>
      </c>
      <c r="AJ67" s="215">
        <f>AJ61+AJ66</f>
        <v>44.108000000000004</v>
      </c>
      <c r="AK67" s="169">
        <f>SUM(AG67:AJ67)</f>
        <v>162.56200000000001</v>
      </c>
      <c r="AL67" s="215">
        <f>AL61+AL66</f>
        <v>34.167999999999999</v>
      </c>
      <c r="AM67" s="215">
        <f>AM61+AM66</f>
        <v>50.026000000000003</v>
      </c>
      <c r="AN67" s="215">
        <f>AN61+AN66</f>
        <v>49.900999999999996</v>
      </c>
      <c r="AO67" s="215">
        <f>AO61+AO66</f>
        <v>50.108000000000004</v>
      </c>
      <c r="AP67" s="169">
        <f>SUM(AL67:AO67)</f>
        <v>184.203</v>
      </c>
      <c r="AQ67" s="215">
        <f>AQ61+AQ66</f>
        <v>21.669999999999998</v>
      </c>
      <c r="AR67" s="215">
        <f>AR61+AR66</f>
        <v>37.231000000000002</v>
      </c>
      <c r="AS67" s="215">
        <f>AS61+AS66</f>
        <v>35.913999999999994</v>
      </c>
      <c r="AT67" s="215">
        <f>AT61+AT66</f>
        <v>38.988999999999997</v>
      </c>
      <c r="AU67" s="169">
        <f>SUM(AQ67:AT67)</f>
        <v>133.804</v>
      </c>
      <c r="AV67" s="215">
        <f>AV61+AV66</f>
        <v>30.541153192418228</v>
      </c>
      <c r="AW67" s="215">
        <f>AW61+AW66</f>
        <v>43.002859969765382</v>
      </c>
      <c r="AX67" s="215">
        <f>AX61+AX66</f>
        <v>47.931895163615508</v>
      </c>
      <c r="AY67" s="215">
        <f>AY61+AY66</f>
        <v>51.752970494693699</v>
      </c>
      <c r="AZ67" s="169">
        <f>SUM(AV67:AY67)</f>
        <v>173.22887882049281</v>
      </c>
      <c r="BA67" s="215">
        <f>BA61+BA66</f>
        <v>42.936026104151779</v>
      </c>
      <c r="BB67" s="215">
        <f>BB61+BB66</f>
        <v>50.592040141121004</v>
      </c>
      <c r="BC67" s="215">
        <f>BC61+BC66</f>
        <v>56.214004364932833</v>
      </c>
      <c r="BD67" s="215">
        <f>BD61+BD66</f>
        <v>60.764303026411554</v>
      </c>
      <c r="BE67" s="169">
        <f>SUM(BA67:BD67)</f>
        <v>210.50637363661718</v>
      </c>
      <c r="BF67" s="215">
        <f>BF61+BF66</f>
        <v>53.200554839079373</v>
      </c>
      <c r="BG67" s="215">
        <f>BG61+BG66</f>
        <v>61.475024716342588</v>
      </c>
      <c r="BH67" s="215">
        <f>BH61+BH66</f>
        <v>67.420448145488763</v>
      </c>
      <c r="BI67" s="215">
        <f>BI61+BI66</f>
        <v>72.35806630658314</v>
      </c>
      <c r="BJ67" s="169">
        <f>SUM(BF67:BI67)</f>
        <v>254.45409400749386</v>
      </c>
      <c r="BK67" s="173"/>
      <c r="BL67" s="169"/>
      <c r="BM67" s="207"/>
      <c r="BN67" s="207"/>
      <c r="BO67" s="207"/>
      <c r="BP67" s="173"/>
      <c r="BQ67" s="280"/>
      <c r="BR67" s="194"/>
      <c r="BS67" s="194"/>
      <c r="BZ67" s="144"/>
      <c r="CA67" s="194"/>
      <c r="CB67" s="194"/>
      <c r="CC67" s="1232"/>
      <c r="CD67" s="1232"/>
      <c r="CE67" s="1232"/>
      <c r="CF67" s="1232"/>
      <c r="CG67" s="1232"/>
    </row>
    <row r="68" spans="1:90" ht="12.75" customHeight="1">
      <c r="A68" s="144"/>
      <c r="B68" s="283" t="s">
        <v>114</v>
      </c>
      <c r="C68" s="284">
        <v>0.38500000000000001</v>
      </c>
      <c r="D68" s="284">
        <v>0.38500000000000001</v>
      </c>
      <c r="E68" s="284">
        <v>0.38500000000000001</v>
      </c>
      <c r="F68" s="284">
        <v>0.38500000000000001</v>
      </c>
      <c r="G68" s="285">
        <f>G67/G59</f>
        <v>0.38500000000000012</v>
      </c>
      <c r="H68" s="284">
        <v>0.38500000000000001</v>
      </c>
      <c r="I68" s="284">
        <v>0.38500000000000001</v>
      </c>
      <c r="J68" s="284">
        <v>0.38500000000000001</v>
      </c>
      <c r="K68" s="284">
        <v>0.38500000000000001</v>
      </c>
      <c r="L68" s="285">
        <f>L67/L59</f>
        <v>0.38500000000000018</v>
      </c>
      <c r="M68" s="284">
        <v>0.38500000000000001</v>
      </c>
      <c r="N68" s="284">
        <v>0.38500000000000001</v>
      </c>
      <c r="O68" s="284">
        <v>0.38500000000000001</v>
      </c>
      <c r="P68" s="284">
        <v>0.38500000000000001</v>
      </c>
      <c r="Q68" s="285">
        <f>Q67/Q59</f>
        <v>0.38500000000000018</v>
      </c>
      <c r="R68" s="284">
        <f t="shared" ref="R68:AZ68" si="86">+R67/R59</f>
        <v>0.38499506416584395</v>
      </c>
      <c r="S68" s="284">
        <f t="shared" si="86"/>
        <v>0.38500244348313978</v>
      </c>
      <c r="T68" s="284">
        <f t="shared" si="86"/>
        <v>0.3850022119299768</v>
      </c>
      <c r="U68" s="284">
        <f t="shared" si="86"/>
        <v>0.33153042409342359</v>
      </c>
      <c r="V68" s="285">
        <f t="shared" si="86"/>
        <v>0.36917048790547591</v>
      </c>
      <c r="W68" s="284">
        <f t="shared" si="86"/>
        <v>0.34369066282364624</v>
      </c>
      <c r="X68" s="284">
        <f t="shared" si="86"/>
        <v>0.35049352566569042</v>
      </c>
      <c r="Y68" s="284">
        <f t="shared" si="86"/>
        <v>0.3450775165229355</v>
      </c>
      <c r="Z68" s="284">
        <f t="shared" si="86"/>
        <v>0.30174650236264244</v>
      </c>
      <c r="AA68" s="285">
        <f t="shared" si="86"/>
        <v>0.33456240333011539</v>
      </c>
      <c r="AB68" s="284">
        <f t="shared" si="86"/>
        <v>0.26425341939886832</v>
      </c>
      <c r="AC68" s="284">
        <f t="shared" si="86"/>
        <v>0.28022590128423341</v>
      </c>
      <c r="AD68" s="284">
        <f t="shared" si="86"/>
        <v>0.27182965441695062</v>
      </c>
      <c r="AE68" s="284">
        <f t="shared" si="86"/>
        <v>0.27976984599385618</v>
      </c>
      <c r="AF68" s="285">
        <f t="shared" si="86"/>
        <v>0.27464284741912776</v>
      </c>
      <c r="AG68" s="284">
        <f t="shared" si="86"/>
        <v>0.26394388691764986</v>
      </c>
      <c r="AH68" s="284">
        <f t="shared" si="86"/>
        <v>0.28904930021434888</v>
      </c>
      <c r="AI68" s="284">
        <f t="shared" si="86"/>
        <v>0.25485586412380723</v>
      </c>
      <c r="AJ68" s="284">
        <f t="shared" si="86"/>
        <v>0.2556778000626036</v>
      </c>
      <c r="AK68" s="285">
        <f t="shared" si="86"/>
        <v>0.265108693879548</v>
      </c>
      <c r="AL68" s="284">
        <f t="shared" si="86"/>
        <v>0.23634062156310739</v>
      </c>
      <c r="AM68" s="284">
        <f t="shared" si="86"/>
        <v>0.26544061465319641</v>
      </c>
      <c r="AN68" s="284">
        <f t="shared" si="86"/>
        <v>0.26158362383036726</v>
      </c>
      <c r="AO68" s="284">
        <f t="shared" si="86"/>
        <v>0.25326257265605262</v>
      </c>
      <c r="AP68" s="285">
        <f t="shared" si="86"/>
        <v>0.25525254624818128</v>
      </c>
      <c r="AQ68" s="284">
        <f t="shared" si="86"/>
        <v>0.13859397784542959</v>
      </c>
      <c r="AR68" s="284">
        <f t="shared" si="86"/>
        <v>0.18435294991458506</v>
      </c>
      <c r="AS68" s="284">
        <f>+AS67/AS59</f>
        <v>0.17614659100384034</v>
      </c>
      <c r="AT68" s="284">
        <f t="shared" si="86"/>
        <v>0.1832758280293699</v>
      </c>
      <c r="AU68" s="285">
        <f t="shared" si="86"/>
        <v>0.17266547258340087</v>
      </c>
      <c r="AV68" s="284">
        <f t="shared" si="86"/>
        <v>0.11258613257828826</v>
      </c>
      <c r="AW68" s="284">
        <f t="shared" si="86"/>
        <v>0.12765903583238536</v>
      </c>
      <c r="AX68" s="284">
        <f t="shared" si="86"/>
        <v>0.13211678076557437</v>
      </c>
      <c r="AY68" s="284">
        <f t="shared" si="86"/>
        <v>0.13515687850448643</v>
      </c>
      <c r="AZ68" s="285">
        <f t="shared" si="86"/>
        <v>0.12795408947399842</v>
      </c>
      <c r="BA68" s="284">
        <f t="shared" ref="BA68:BJ68" si="87">+BA67/BA59</f>
        <v>0.12255726921850198</v>
      </c>
      <c r="BB68" s="284">
        <f t="shared" si="87"/>
        <v>0.1289675124155501</v>
      </c>
      <c r="BC68" s="284">
        <f t="shared" si="87"/>
        <v>0.1328652215485854</v>
      </c>
      <c r="BD68" s="284">
        <f t="shared" si="87"/>
        <v>0.13562746690004776</v>
      </c>
      <c r="BE68" s="285">
        <f t="shared" si="87"/>
        <v>0.13044679717555024</v>
      </c>
      <c r="BF68" s="284">
        <f t="shared" si="87"/>
        <v>0.12905698470587207</v>
      </c>
      <c r="BG68" s="284">
        <f t="shared" si="87"/>
        <v>0.13416794341074037</v>
      </c>
      <c r="BH68" s="284">
        <f t="shared" si="87"/>
        <v>0.13724970773977177</v>
      </c>
      <c r="BI68" s="284">
        <f t="shared" si="87"/>
        <v>0.13951072950047322</v>
      </c>
      <c r="BJ68" s="285">
        <f t="shared" si="87"/>
        <v>0.13532629013001324</v>
      </c>
      <c r="BK68" s="179"/>
      <c r="BL68" s="285"/>
      <c r="BM68" s="179"/>
      <c r="BN68" s="179"/>
      <c r="BO68" s="179"/>
      <c r="BP68" s="179"/>
      <c r="BQ68" s="286"/>
      <c r="BR68" s="194"/>
      <c r="BS68" s="194"/>
      <c r="BZ68" s="144"/>
      <c r="CA68" s="194"/>
      <c r="CB68" s="194"/>
    </row>
    <row r="69" spans="1:90" ht="12.75" customHeight="1">
      <c r="A69" s="287"/>
      <c r="B69" s="288" t="s">
        <v>115</v>
      </c>
      <c r="C69" s="289">
        <f t="shared" ref="C69:AH69" si="88">C59-C67</f>
        <v>23.000999999999994</v>
      </c>
      <c r="D69" s="289">
        <f t="shared" si="88"/>
        <v>33.517500000000013</v>
      </c>
      <c r="E69" s="289">
        <f t="shared" si="88"/>
        <v>36.83850000000001</v>
      </c>
      <c r="F69" s="289">
        <f t="shared" si="88"/>
        <v>37.453499999999998</v>
      </c>
      <c r="G69" s="193">
        <f t="shared" si="88"/>
        <v>130.81049999999993</v>
      </c>
      <c r="H69" s="289">
        <f t="shared" si="88"/>
        <v>30.196500000000007</v>
      </c>
      <c r="I69" s="289">
        <f t="shared" si="88"/>
        <v>37.883999999999993</v>
      </c>
      <c r="J69" s="289">
        <f t="shared" si="88"/>
        <v>39.790500000000009</v>
      </c>
      <c r="K69" s="289">
        <f t="shared" si="88"/>
        <v>44.956500000000013</v>
      </c>
      <c r="L69" s="193">
        <f t="shared" si="88"/>
        <v>152.8274999999999</v>
      </c>
      <c r="M69" s="289">
        <f t="shared" si="88"/>
        <v>32.490450000000024</v>
      </c>
      <c r="N69" s="289">
        <f t="shared" si="88"/>
        <v>45.983550000000022</v>
      </c>
      <c r="O69" s="289">
        <f t="shared" si="88"/>
        <v>47.158200000000008</v>
      </c>
      <c r="P69" s="289">
        <f t="shared" si="88"/>
        <v>58.540620000000018</v>
      </c>
      <c r="Q69" s="193">
        <f t="shared" si="88"/>
        <v>184.17281999999992</v>
      </c>
      <c r="R69" s="289">
        <f t="shared" si="88"/>
        <v>42.364000000000019</v>
      </c>
      <c r="S69" s="289">
        <f t="shared" si="88"/>
        <v>67.95600000000006</v>
      </c>
      <c r="T69" s="289">
        <f t="shared" si="88"/>
        <v>68.118999999999943</v>
      </c>
      <c r="U69" s="289">
        <f t="shared" si="88"/>
        <v>81.569999999999965</v>
      </c>
      <c r="V69" s="193">
        <f t="shared" si="88"/>
        <v>260.00899999999996</v>
      </c>
      <c r="W69" s="289">
        <f t="shared" si="88"/>
        <v>67.40100000000001</v>
      </c>
      <c r="X69" s="289">
        <f t="shared" si="88"/>
        <v>82.713999999999984</v>
      </c>
      <c r="Y69" s="289">
        <f t="shared" si="88"/>
        <v>79.968000000000018</v>
      </c>
      <c r="Z69" s="289">
        <f t="shared" si="88"/>
        <v>90.435000000000002</v>
      </c>
      <c r="AA69" s="193">
        <f t="shared" si="88"/>
        <v>320.51799999999992</v>
      </c>
      <c r="AB69" s="289">
        <f t="shared" si="88"/>
        <v>77.621999999999986</v>
      </c>
      <c r="AC69" s="289">
        <f t="shared" si="88"/>
        <v>93.037999999999954</v>
      </c>
      <c r="AD69" s="289">
        <f t="shared" si="88"/>
        <v>97.051999999999978</v>
      </c>
      <c r="AE69" s="289">
        <f t="shared" si="88"/>
        <v>105.27099999999999</v>
      </c>
      <c r="AF69" s="193">
        <f t="shared" si="88"/>
        <v>372.983</v>
      </c>
      <c r="AG69" s="289">
        <f t="shared" si="88"/>
        <v>89.407999999999959</v>
      </c>
      <c r="AH69" s="289">
        <f t="shared" si="88"/>
        <v>112.77099999999994</v>
      </c>
      <c r="AI69" s="289">
        <f t="shared" ref="AI69:AZ69" si="89">AI59-AI67</f>
        <v>118.542</v>
      </c>
      <c r="AJ69" s="289">
        <f t="shared" si="89"/>
        <v>128.40600000000001</v>
      </c>
      <c r="AK69" s="193">
        <f t="shared" si="89"/>
        <v>450.62799999999993</v>
      </c>
      <c r="AL69" s="289">
        <f t="shared" si="89"/>
        <v>110.40299999999999</v>
      </c>
      <c r="AM69" s="289">
        <f t="shared" si="89"/>
        <v>138.43799999999996</v>
      </c>
      <c r="AN69" s="289">
        <f t="shared" si="89"/>
        <v>140.86399999999998</v>
      </c>
      <c r="AO69" s="289">
        <f t="shared" si="89"/>
        <v>147.74199999999999</v>
      </c>
      <c r="AP69" s="193">
        <f t="shared" si="89"/>
        <v>537.447</v>
      </c>
      <c r="AQ69" s="289">
        <f t="shared" si="89"/>
        <v>134.68600000000006</v>
      </c>
      <c r="AR69" s="289">
        <f t="shared" si="89"/>
        <v>164.72399999999988</v>
      </c>
      <c r="AS69" s="289">
        <f>AS59-AS67</f>
        <v>167.97300000000001</v>
      </c>
      <c r="AT69" s="289">
        <f t="shared" si="89"/>
        <v>173.74500000000012</v>
      </c>
      <c r="AU69" s="193">
        <f t="shared" si="89"/>
        <v>641.12800000000004</v>
      </c>
      <c r="AV69" s="289">
        <f t="shared" si="89"/>
        <v>240.72807413609877</v>
      </c>
      <c r="AW69" s="289">
        <f t="shared" si="89"/>
        <v>293.85429776584192</v>
      </c>
      <c r="AX69" s="289">
        <f t="shared" si="89"/>
        <v>314.86755306593977</v>
      </c>
      <c r="AY69" s="289">
        <f t="shared" si="89"/>
        <v>331.15740053001002</v>
      </c>
      <c r="AZ69" s="193">
        <f t="shared" si="89"/>
        <v>1180.6073254978905</v>
      </c>
      <c r="BA69" s="289">
        <f t="shared" ref="BA69:BJ69" si="90">BA59-BA67</f>
        <v>307.39836350763881</v>
      </c>
      <c r="BB69" s="289">
        <f t="shared" si="90"/>
        <v>341.69311131707627</v>
      </c>
      <c r="BC69" s="289">
        <f t="shared" si="90"/>
        <v>366.87643051141151</v>
      </c>
      <c r="BD69" s="289">
        <f t="shared" si="90"/>
        <v>387.25927520050107</v>
      </c>
      <c r="BE69" s="193">
        <f t="shared" si="90"/>
        <v>1403.2271805366286</v>
      </c>
      <c r="BF69" s="289">
        <f t="shared" si="90"/>
        <v>359.0247498224727</v>
      </c>
      <c r="BG69" s="289">
        <f t="shared" si="90"/>
        <v>396.71955704111627</v>
      </c>
      <c r="BH69" s="289">
        <f t="shared" si="90"/>
        <v>423.80426377389324</v>
      </c>
      <c r="BI69" s="289">
        <f t="shared" si="90"/>
        <v>446.29785761887877</v>
      </c>
      <c r="BJ69" s="193">
        <f t="shared" si="90"/>
        <v>1625.8464282563609</v>
      </c>
      <c r="BK69" s="173"/>
      <c r="BL69" s="193"/>
      <c r="BM69" s="173"/>
      <c r="BN69" s="173"/>
      <c r="BO69" s="173"/>
      <c r="BP69" s="287"/>
      <c r="BQ69" s="287"/>
      <c r="BR69" s="287"/>
      <c r="BS69" s="287"/>
      <c r="BZ69" s="1235"/>
      <c r="CA69" s="1235"/>
      <c r="CB69" s="1235"/>
      <c r="CC69" s="1235"/>
      <c r="CD69" s="1235"/>
      <c r="CE69" s="1235"/>
      <c r="CF69" s="1235"/>
      <c r="CG69" s="1235"/>
    </row>
    <row r="70" spans="1:90" ht="12.75" customHeight="1">
      <c r="A70" s="144"/>
      <c r="B70" s="153" t="s">
        <v>16</v>
      </c>
      <c r="C70" s="290"/>
      <c r="D70" s="290"/>
      <c r="E70" s="290"/>
      <c r="F70" s="290"/>
      <c r="G70" s="291"/>
      <c r="H70" s="157">
        <f>+H69/C69-1</f>
        <v>0.31283422459893107</v>
      </c>
      <c r="I70" s="157">
        <f>+I69/D69-1</f>
        <v>0.13027522935779756</v>
      </c>
      <c r="J70" s="157">
        <f>+J69/E69-1</f>
        <v>8.0133555926544142E-2</v>
      </c>
      <c r="K70" s="157">
        <f>+K69/F69-1</f>
        <v>0.20032840722495937</v>
      </c>
      <c r="L70" s="292">
        <f>+L69/G69-1</f>
        <v>0.16831217677479993</v>
      </c>
      <c r="M70" s="157">
        <f t="shared" ref="M70:AZ70" si="91">+M69/H69-1</f>
        <v>7.5967413441955678E-2</v>
      </c>
      <c r="N70" s="157">
        <f t="shared" si="91"/>
        <v>0.21379870129870215</v>
      </c>
      <c r="O70" s="157">
        <f t="shared" si="91"/>
        <v>0.18516228748067998</v>
      </c>
      <c r="P70" s="157">
        <f t="shared" si="91"/>
        <v>0.30216142270861845</v>
      </c>
      <c r="Q70" s="292">
        <f t="shared" si="91"/>
        <v>0.20510261569416532</v>
      </c>
      <c r="R70" s="157">
        <f t="shared" si="91"/>
        <v>0.30389083561477248</v>
      </c>
      <c r="S70" s="157">
        <f t="shared" si="91"/>
        <v>0.47783283369813834</v>
      </c>
      <c r="T70" s="157">
        <f t="shared" si="91"/>
        <v>0.44447837279624602</v>
      </c>
      <c r="U70" s="157">
        <f t="shared" si="91"/>
        <v>0.39339146049358442</v>
      </c>
      <c r="V70" s="292">
        <f t="shared" si="91"/>
        <v>0.41176640505368867</v>
      </c>
      <c r="W70" s="157">
        <f t="shared" si="91"/>
        <v>0.59099707298649751</v>
      </c>
      <c r="X70" s="157">
        <f t="shared" si="91"/>
        <v>0.21716993348637215</v>
      </c>
      <c r="Y70" s="157">
        <f t="shared" si="91"/>
        <v>0.17394559520838659</v>
      </c>
      <c r="Z70" s="157">
        <f t="shared" si="91"/>
        <v>0.1086796616403094</v>
      </c>
      <c r="AA70" s="292">
        <f t="shared" si="91"/>
        <v>0.23271886742381986</v>
      </c>
      <c r="AB70" s="157">
        <f t="shared" si="91"/>
        <v>0.15164463435260567</v>
      </c>
      <c r="AC70" s="157">
        <f t="shared" si="91"/>
        <v>0.12481562976037885</v>
      </c>
      <c r="AD70" s="157">
        <f t="shared" si="91"/>
        <v>0.21363545418167207</v>
      </c>
      <c r="AE70" s="157">
        <f t="shared" si="91"/>
        <v>0.16405152872228657</v>
      </c>
      <c r="AF70" s="292">
        <f t="shared" si="91"/>
        <v>0.16368815479941867</v>
      </c>
      <c r="AG70" s="157">
        <f t="shared" si="91"/>
        <v>0.15183839633093688</v>
      </c>
      <c r="AH70" s="157">
        <f t="shared" si="91"/>
        <v>0.21209613276295713</v>
      </c>
      <c r="AI70" s="157">
        <f t="shared" si="91"/>
        <v>0.22142768824959846</v>
      </c>
      <c r="AJ70" s="157">
        <f t="shared" si="91"/>
        <v>0.21976612742350721</v>
      </c>
      <c r="AK70" s="292">
        <f t="shared" si="91"/>
        <v>0.20817302665268911</v>
      </c>
      <c r="AL70" s="157">
        <f t="shared" si="91"/>
        <v>0.23482238725841142</v>
      </c>
      <c r="AM70" s="157">
        <f t="shared" si="91"/>
        <v>0.22760284115597118</v>
      </c>
      <c r="AN70" s="157">
        <f t="shared" si="91"/>
        <v>0.18830456715763177</v>
      </c>
      <c r="AO70" s="157">
        <f t="shared" si="91"/>
        <v>0.15058486363565549</v>
      </c>
      <c r="AP70" s="292">
        <f t="shared" si="91"/>
        <v>0.19266224025138268</v>
      </c>
      <c r="AQ70" s="157">
        <f t="shared" si="91"/>
        <v>0.21994873327717612</v>
      </c>
      <c r="AR70" s="157">
        <f t="shared" si="91"/>
        <v>0.18987561218740456</v>
      </c>
      <c r="AS70" s="157">
        <f t="shared" si="91"/>
        <v>0.19244803498409846</v>
      </c>
      <c r="AT70" s="157">
        <f t="shared" si="91"/>
        <v>0.17600276157084727</v>
      </c>
      <c r="AU70" s="292">
        <f t="shared" si="91"/>
        <v>0.192913905929329</v>
      </c>
      <c r="AV70" s="157">
        <f t="shared" si="91"/>
        <v>0.787328112321241</v>
      </c>
      <c r="AW70" s="157">
        <f t="shared" si="91"/>
        <v>0.78391914818631259</v>
      </c>
      <c r="AX70" s="157">
        <f t="shared" si="91"/>
        <v>0.87451288639209723</v>
      </c>
      <c r="AY70" s="157">
        <f t="shared" si="91"/>
        <v>0.90599672238055651</v>
      </c>
      <c r="AZ70" s="292">
        <f t="shared" si="91"/>
        <v>0.84145338450027207</v>
      </c>
      <c r="BA70" s="157">
        <f t="shared" ref="BA70:BJ70" si="92">+BA69/AV69-1</f>
        <v>0.27695269698309932</v>
      </c>
      <c r="BB70" s="157">
        <f t="shared" si="92"/>
        <v>0.16279773314513424</v>
      </c>
      <c r="BC70" s="157">
        <f t="shared" si="92"/>
        <v>0.16517699883347459</v>
      </c>
      <c r="BD70" s="157">
        <f t="shared" si="92"/>
        <v>0.1694115081852352</v>
      </c>
      <c r="BE70" s="292">
        <f t="shared" si="92"/>
        <v>0.18856384356657618</v>
      </c>
      <c r="BF70" s="157">
        <f t="shared" si="92"/>
        <v>0.16794619764965324</v>
      </c>
      <c r="BG70" s="157">
        <f t="shared" si="92"/>
        <v>0.16104054750163765</v>
      </c>
      <c r="BH70" s="157">
        <f t="shared" si="92"/>
        <v>0.15516895752372672</v>
      </c>
      <c r="BI70" s="157">
        <f t="shared" si="92"/>
        <v>0.15245233929596869</v>
      </c>
      <c r="BJ70" s="292">
        <f t="shared" si="92"/>
        <v>0.15864804417100675</v>
      </c>
      <c r="BK70" s="293"/>
      <c r="BL70" s="292"/>
      <c r="BM70" s="293"/>
      <c r="BN70" s="293"/>
      <c r="BO70" s="293"/>
      <c r="BP70" s="293"/>
      <c r="BQ70" s="294"/>
      <c r="BR70" s="295"/>
      <c r="BS70" s="295"/>
      <c r="BZ70" s="1227"/>
      <c r="CA70" s="1227"/>
      <c r="CB70" s="128"/>
    </row>
    <row r="71" spans="1:90" ht="8.25" customHeight="1">
      <c r="A71" s="144"/>
      <c r="B71" s="153"/>
      <c r="C71" s="290"/>
      <c r="D71" s="290"/>
      <c r="E71" s="290"/>
      <c r="F71" s="290"/>
      <c r="G71" s="291"/>
      <c r="H71" s="157"/>
      <c r="I71" s="157"/>
      <c r="J71" s="157"/>
      <c r="K71" s="157"/>
      <c r="L71" s="292"/>
      <c r="M71" s="157"/>
      <c r="N71" s="157"/>
      <c r="O71" s="157"/>
      <c r="P71" s="157"/>
      <c r="Q71" s="296"/>
      <c r="R71" s="157"/>
      <c r="S71" s="157"/>
      <c r="T71" s="157"/>
      <c r="U71" s="157"/>
      <c r="V71" s="292"/>
      <c r="W71" s="157"/>
      <c r="X71" s="157"/>
      <c r="Y71" s="157"/>
      <c r="Z71" s="157"/>
      <c r="AA71" s="292"/>
      <c r="AB71" s="157"/>
      <c r="AC71" s="157"/>
      <c r="AD71" s="157"/>
      <c r="AE71" s="157"/>
      <c r="AF71" s="292"/>
      <c r="AG71" s="157"/>
      <c r="AH71" s="157"/>
      <c r="AI71" s="157"/>
      <c r="AJ71" s="157"/>
      <c r="AK71" s="292"/>
      <c r="AL71" s="157"/>
      <c r="AM71" s="157"/>
      <c r="AN71" s="157"/>
      <c r="AO71" s="157"/>
      <c r="AP71" s="292"/>
      <c r="AQ71" s="157"/>
      <c r="AR71" s="157"/>
      <c r="AS71" s="157"/>
      <c r="AT71" s="157"/>
      <c r="AU71" s="292"/>
      <c r="AV71" s="157"/>
      <c r="AW71" s="157"/>
      <c r="AX71" s="157"/>
      <c r="AY71" s="157"/>
      <c r="AZ71" s="292"/>
      <c r="BA71" s="157"/>
      <c r="BB71" s="157"/>
      <c r="BC71" s="157"/>
      <c r="BD71" s="157"/>
      <c r="BE71" s="292"/>
      <c r="BF71" s="157"/>
      <c r="BG71" s="157"/>
      <c r="BH71" s="157"/>
      <c r="BI71" s="157"/>
      <c r="BJ71" s="292"/>
      <c r="BK71" s="293"/>
      <c r="BL71" s="292"/>
      <c r="BM71" s="293"/>
      <c r="BN71" s="173"/>
      <c r="BO71" s="173"/>
      <c r="BP71" s="173"/>
      <c r="BQ71" s="294"/>
      <c r="BR71" s="295"/>
      <c r="BS71" s="295"/>
      <c r="BZ71" s="128"/>
      <c r="CA71" s="128"/>
      <c r="CB71" s="128"/>
    </row>
    <row r="72" spans="1:90" ht="12.75" customHeight="1" thickBot="1">
      <c r="A72" s="144"/>
      <c r="B72" s="297" t="s">
        <v>116</v>
      </c>
      <c r="C72" s="298"/>
      <c r="D72" s="298"/>
      <c r="E72" s="298"/>
      <c r="F72" s="298"/>
      <c r="G72" s="299"/>
      <c r="H72" s="298"/>
      <c r="I72" s="298"/>
      <c r="J72" s="298"/>
      <c r="K72" s="298"/>
      <c r="L72" s="299">
        <f t="shared" ref="L72:AZ72" si="93">L69/L76</f>
        <v>0.72016906489212951</v>
      </c>
      <c r="M72" s="298">
        <f t="shared" si="93"/>
        <v>0.15310475532495474</v>
      </c>
      <c r="N72" s="298">
        <f t="shared" si="93"/>
        <v>0.2166882936900788</v>
      </c>
      <c r="O72" s="298">
        <f t="shared" si="93"/>
        <v>0.22222359716671444</v>
      </c>
      <c r="P72" s="298">
        <f t="shared" si="93"/>
        <v>0.27586097766177903</v>
      </c>
      <c r="Q72" s="299">
        <f t="shared" si="93"/>
        <v>0.86787762384352629</v>
      </c>
      <c r="R72" s="298">
        <f t="shared" si="93"/>
        <v>0.19954354813731873</v>
      </c>
      <c r="S72" s="298">
        <f t="shared" si="93"/>
        <v>0.31753266595807011</v>
      </c>
      <c r="T72" s="298">
        <f t="shared" si="93"/>
        <v>0.31676429469736617</v>
      </c>
      <c r="U72" s="298">
        <f t="shared" si="93"/>
        <v>0.3816591092517142</v>
      </c>
      <c r="V72" s="299">
        <f t="shared" si="93"/>
        <v>1.2162908331391524</v>
      </c>
      <c r="W72" s="298">
        <f t="shared" si="93"/>
        <v>0.31409961389108892</v>
      </c>
      <c r="X72" s="298">
        <f t="shared" si="93"/>
        <v>0.39785092200702982</v>
      </c>
      <c r="Y72" s="298">
        <f t="shared" si="93"/>
        <v>0.39782894682576958</v>
      </c>
      <c r="Z72" s="298">
        <f t="shared" si="93"/>
        <v>0.45091699119543383</v>
      </c>
      <c r="AA72" s="299">
        <f t="shared" si="93"/>
        <v>1.555807307931778</v>
      </c>
      <c r="AB72" s="298">
        <f t="shared" si="93"/>
        <v>0.39015837634401934</v>
      </c>
      <c r="AC72" s="298">
        <f t="shared" si="93"/>
        <v>0.4686931862908163</v>
      </c>
      <c r="AD72" s="298">
        <f t="shared" si="93"/>
        <v>0.48599142194994882</v>
      </c>
      <c r="AE72" s="298">
        <f t="shared" si="93"/>
        <v>0.52785303900690594</v>
      </c>
      <c r="AF72" s="299">
        <f>AF69/AF76</f>
        <v>1.8729064483372166</v>
      </c>
      <c r="AG72" s="298">
        <f t="shared" si="93"/>
        <v>0.44544721883408694</v>
      </c>
      <c r="AH72" s="298">
        <f t="shared" si="93"/>
        <v>0.55873844488282864</v>
      </c>
      <c r="AI72" s="298">
        <f t="shared" si="93"/>
        <v>0.58713508194076269</v>
      </c>
      <c r="AJ72" s="298">
        <f t="shared" si="93"/>
        <v>0.64681788179278543</v>
      </c>
      <c r="AK72" s="299">
        <f t="shared" si="93"/>
        <v>2.2448196125842745</v>
      </c>
      <c r="AL72" s="298">
        <f t="shared" si="93"/>
        <v>0.56105406632018551</v>
      </c>
      <c r="AM72" s="298">
        <f t="shared" si="93"/>
        <v>0.70181109674376063</v>
      </c>
      <c r="AN72" s="298">
        <f t="shared" si="93"/>
        <v>0.71380587693854713</v>
      </c>
      <c r="AO72" s="298">
        <f t="shared" si="93"/>
        <v>0.7490308663461489</v>
      </c>
      <c r="AP72" s="299">
        <f t="shared" si="93"/>
        <v>2.7260041872535523</v>
      </c>
      <c r="AQ72" s="298">
        <f t="shared" si="93"/>
        <v>0.68196589431275534</v>
      </c>
      <c r="AR72" s="298">
        <f t="shared" si="93"/>
        <v>0.83381994427614115</v>
      </c>
      <c r="AS72" s="298">
        <f t="shared" si="93"/>
        <v>0.90054140405745497</v>
      </c>
      <c r="AT72" s="298">
        <f t="shared" si="93"/>
        <v>0.97267912864879447</v>
      </c>
      <c r="AU72" s="299">
        <f t="shared" si="93"/>
        <v>3.3734711201488001</v>
      </c>
      <c r="AV72" s="298">
        <f t="shared" si="93"/>
        <v>0.75789980507748766</v>
      </c>
      <c r="AW72" s="298">
        <f t="shared" si="93"/>
        <v>0.92486935712156093</v>
      </c>
      <c r="AX72" s="298">
        <f t="shared" si="93"/>
        <v>0.99069412063208406</v>
      </c>
      <c r="AY72" s="298">
        <f t="shared" si="93"/>
        <v>1.0416204965711808</v>
      </c>
      <c r="AZ72" s="299">
        <f t="shared" si="93"/>
        <v>3.7152280617203695</v>
      </c>
      <c r="BA72" s="298">
        <f t="shared" ref="BA72:BJ72" si="94">BA69/BA76</f>
        <v>0.96673692594449656</v>
      </c>
      <c r="BB72" s="298">
        <f t="shared" si="94"/>
        <v>1.0742526157779251</v>
      </c>
      <c r="BC72" s="298">
        <f t="shared" si="94"/>
        <v>1.1530642084099207</v>
      </c>
      <c r="BD72" s="298">
        <f t="shared" si="94"/>
        <v>1.2167434976632641</v>
      </c>
      <c r="BE72" s="299">
        <f t="shared" si="94"/>
        <v>4.4109275158973205</v>
      </c>
      <c r="BF72" s="298">
        <f t="shared" si="94"/>
        <v>1.1276781430626039</v>
      </c>
      <c r="BG72" s="298">
        <f t="shared" si="94"/>
        <v>1.2456843170955019</v>
      </c>
      <c r="BH72" s="298">
        <f t="shared" si="94"/>
        <v>1.3303115531125436</v>
      </c>
      <c r="BI72" s="298">
        <f t="shared" si="94"/>
        <v>1.4004788048169223</v>
      </c>
      <c r="BJ72" s="299">
        <f t="shared" si="94"/>
        <v>5.1042945697029261</v>
      </c>
      <c r="BK72" s="300"/>
      <c r="BL72" s="299"/>
      <c r="BM72" s="300"/>
      <c r="BN72" s="1216"/>
      <c r="BO72" s="173"/>
      <c r="BP72" s="173"/>
      <c r="BQ72" s="301"/>
      <c r="BR72" s="1226"/>
      <c r="BS72" s="1226"/>
      <c r="BZ72" s="302"/>
      <c r="CA72" s="302"/>
      <c r="CB72" s="302"/>
    </row>
    <row r="73" spans="1:90" ht="12.75" customHeight="1" thickTop="1">
      <c r="A73" s="144"/>
      <c r="B73" s="153" t="s">
        <v>16</v>
      </c>
      <c r="C73" s="303"/>
      <c r="D73" s="303"/>
      <c r="E73" s="304"/>
      <c r="F73" s="304"/>
      <c r="G73" s="155"/>
      <c r="H73" s="156"/>
      <c r="I73" s="156"/>
      <c r="J73" s="156"/>
      <c r="K73" s="156"/>
      <c r="L73" s="176"/>
      <c r="M73" s="156"/>
      <c r="N73" s="156"/>
      <c r="O73" s="156"/>
      <c r="P73" s="156"/>
      <c r="Q73" s="177">
        <f>+Q72/L72-1</f>
        <v>0.20510261569416532</v>
      </c>
      <c r="R73" s="264">
        <f>R72/M72-1</f>
        <v>0.30331385014006074</v>
      </c>
      <c r="S73" s="264">
        <f t="shared" ref="S73:AZ73" si="95">S72/N72-1</f>
        <v>0.46538911055446897</v>
      </c>
      <c r="T73" s="264">
        <f t="shared" si="95"/>
        <v>0.42543050664293913</v>
      </c>
      <c r="U73" s="264">
        <f t="shared" si="95"/>
        <v>0.38351974420843815</v>
      </c>
      <c r="V73" s="155">
        <f t="shared" si="95"/>
        <v>0.40145430614125743</v>
      </c>
      <c r="W73" s="304">
        <f t="shared" si="95"/>
        <v>0.57409055227852734</v>
      </c>
      <c r="X73" s="304">
        <f t="shared" si="95"/>
        <v>0.25294486098499758</v>
      </c>
      <c r="Y73" s="157">
        <f t="shared" si="95"/>
        <v>0.25591474003044401</v>
      </c>
      <c r="Z73" s="304">
        <f t="shared" si="95"/>
        <v>0.18146529262594435</v>
      </c>
      <c r="AA73" s="155">
        <f t="shared" si="95"/>
        <v>0.27914086462064325</v>
      </c>
      <c r="AB73" s="304">
        <f t="shared" si="95"/>
        <v>0.24214853851843032</v>
      </c>
      <c r="AC73" s="304">
        <f t="shared" si="95"/>
        <v>0.17806233532502591</v>
      </c>
      <c r="AD73" s="304">
        <f t="shared" si="95"/>
        <v>0.22160900011831042</v>
      </c>
      <c r="AE73" s="304">
        <f t="shared" si="95"/>
        <v>0.17062131016066973</v>
      </c>
      <c r="AF73" s="155">
        <f t="shared" si="95"/>
        <v>0.20381646158159294</v>
      </c>
      <c r="AG73" s="304">
        <f t="shared" si="95"/>
        <v>0.14170871585060385</v>
      </c>
      <c r="AH73" s="304">
        <f t="shared" si="95"/>
        <v>0.19211983708280478</v>
      </c>
      <c r="AI73" s="157">
        <f t="shared" si="95"/>
        <v>0.20811820008055704</v>
      </c>
      <c r="AJ73" s="304">
        <f t="shared" si="95"/>
        <v>0.22537493202596304</v>
      </c>
      <c r="AK73" s="155">
        <f t="shared" si="95"/>
        <v>0.19857540913335292</v>
      </c>
      <c r="AL73" s="304">
        <f t="shared" si="95"/>
        <v>0.25952984461029471</v>
      </c>
      <c r="AM73" s="304">
        <f t="shared" si="95"/>
        <v>0.25606373280960715</v>
      </c>
      <c r="AN73" s="157">
        <f t="shared" si="95"/>
        <v>0.21574387035275899</v>
      </c>
      <c r="AO73" s="304">
        <f t="shared" si="95"/>
        <v>0.1580243642461765</v>
      </c>
      <c r="AP73" s="155">
        <f t="shared" si="95"/>
        <v>0.2143533368880941</v>
      </c>
      <c r="AQ73" s="304">
        <f t="shared" si="95"/>
        <v>0.21550833556131321</v>
      </c>
      <c r="AR73" s="304">
        <f t="shared" si="95"/>
        <v>0.18809740704424693</v>
      </c>
      <c r="AS73" s="157">
        <f t="shared" si="95"/>
        <v>0.26160547727597971</v>
      </c>
      <c r="AT73" s="304">
        <f t="shared" si="95"/>
        <v>0.29858350616927876</v>
      </c>
      <c r="AU73" s="155">
        <f t="shared" si="95"/>
        <v>0.23751501774014905</v>
      </c>
      <c r="AV73" s="304">
        <f t="shared" si="95"/>
        <v>0.11134561331876291</v>
      </c>
      <c r="AW73" s="304">
        <f t="shared" si="95"/>
        <v>0.1091955325252647</v>
      </c>
      <c r="AX73" s="157">
        <f t="shared" si="95"/>
        <v>0.10010946322783099</v>
      </c>
      <c r="AY73" s="304">
        <f t="shared" si="95"/>
        <v>7.0877811491809162E-2</v>
      </c>
      <c r="AZ73" s="155">
        <f t="shared" si="95"/>
        <v>0.10130720833219842</v>
      </c>
      <c r="BA73" s="304">
        <f t="shared" ref="BA73:BJ73" si="96">BA72/AV72-1</f>
        <v>0.27554713626777794</v>
      </c>
      <c r="BB73" s="304">
        <f t="shared" si="96"/>
        <v>0.16151822687831774</v>
      </c>
      <c r="BC73" s="157">
        <f t="shared" si="96"/>
        <v>0.16389527745883981</v>
      </c>
      <c r="BD73" s="304">
        <f t="shared" si="96"/>
        <v>0.16812553292543231</v>
      </c>
      <c r="BE73" s="155">
        <f t="shared" si="96"/>
        <v>0.18725619063471477</v>
      </c>
      <c r="BF73" s="304">
        <f t="shared" si="96"/>
        <v>0.16647881424501154</v>
      </c>
      <c r="BG73" s="304">
        <f t="shared" si="96"/>
        <v>0.15958229824130687</v>
      </c>
      <c r="BH73" s="157">
        <f t="shared" si="96"/>
        <v>0.15371853831717441</v>
      </c>
      <c r="BI73" s="304">
        <f t="shared" si="96"/>
        <v>0.15100578511947571</v>
      </c>
      <c r="BJ73" s="155">
        <f t="shared" si="96"/>
        <v>0.15719302829317816</v>
      </c>
      <c r="BK73" s="162"/>
      <c r="BL73" s="155"/>
      <c r="BM73" s="162"/>
      <c r="BN73" s="173"/>
      <c r="BO73" s="173"/>
      <c r="BP73" s="173"/>
      <c r="BQ73" s="294"/>
      <c r="BR73" s="295"/>
      <c r="BS73" s="295"/>
      <c r="BZ73" s="128"/>
      <c r="CA73" s="128"/>
      <c r="CB73" s="128"/>
    </row>
    <row r="74" spans="1:90" ht="4.5" customHeight="1">
      <c r="A74" s="144"/>
      <c r="B74" s="153"/>
      <c r="C74" s="305"/>
      <c r="D74" s="305"/>
      <c r="E74" s="305"/>
      <c r="F74" s="305"/>
      <c r="G74" s="306"/>
      <c r="H74" s="305"/>
      <c r="I74" s="305"/>
      <c r="J74" s="305"/>
      <c r="K74" s="305"/>
      <c r="L74" s="306"/>
      <c r="M74" s="305"/>
      <c r="N74" s="305"/>
      <c r="O74" s="305"/>
      <c r="P74" s="305"/>
      <c r="Q74" s="306"/>
      <c r="R74" s="305"/>
      <c r="S74" s="305"/>
      <c r="T74" s="305"/>
      <c r="U74" s="305"/>
      <c r="V74" s="306"/>
      <c r="W74" s="307"/>
      <c r="X74" s="307"/>
      <c r="Y74" s="307"/>
      <c r="Z74" s="307"/>
      <c r="AA74" s="308"/>
      <c r="AB74" s="307"/>
      <c r="AC74" s="307"/>
      <c r="AD74" s="307"/>
      <c r="AE74" s="307"/>
      <c r="AF74" s="308"/>
      <c r="AG74" s="307"/>
      <c r="AH74" s="307"/>
      <c r="AI74" s="307"/>
      <c r="AJ74" s="307"/>
      <c r="AK74" s="308"/>
      <c r="AL74" s="307"/>
      <c r="AM74" s="307"/>
      <c r="AN74" s="307"/>
      <c r="AO74" s="307"/>
      <c r="AP74" s="308"/>
      <c r="AQ74" s="307"/>
      <c r="AR74" s="307"/>
      <c r="AS74" s="307"/>
      <c r="AT74" s="307"/>
      <c r="AU74" s="308"/>
      <c r="AV74" s="307"/>
      <c r="AW74" s="307"/>
      <c r="AX74" s="307"/>
      <c r="AY74" s="307"/>
      <c r="AZ74" s="308"/>
      <c r="BA74" s="307"/>
      <c r="BB74" s="307"/>
      <c r="BC74" s="307"/>
      <c r="BD74" s="307"/>
      <c r="BE74" s="308"/>
      <c r="BF74" s="307"/>
      <c r="BG74" s="307"/>
      <c r="BH74" s="307"/>
      <c r="BI74" s="307"/>
      <c r="BJ74" s="308"/>
      <c r="BK74" s="309"/>
      <c r="BL74" s="308"/>
      <c r="BM74" s="309"/>
      <c r="BN74" s="173"/>
      <c r="BO74" s="173"/>
      <c r="BP74" s="173"/>
      <c r="BQ74" s="294"/>
      <c r="BR74" s="295"/>
      <c r="BS74" s="295"/>
      <c r="BZ74" s="128"/>
      <c r="CA74" s="128"/>
      <c r="CB74" s="128"/>
    </row>
    <row r="75" spans="1:90" ht="12.75" customHeight="1">
      <c r="A75" s="128"/>
      <c r="B75" s="310" t="s">
        <v>117</v>
      </c>
      <c r="C75" s="311" t="str">
        <f t="shared" ref="C75:J75" si="97">C76</f>
        <v>ND</v>
      </c>
      <c r="D75" s="311" t="str">
        <f t="shared" si="97"/>
        <v>ND</v>
      </c>
      <c r="E75" s="311" t="str">
        <f t="shared" si="97"/>
        <v>ND</v>
      </c>
      <c r="F75" s="311" t="str">
        <f t="shared" si="97"/>
        <v>ND</v>
      </c>
      <c r="G75" s="312" t="str">
        <f t="shared" si="97"/>
        <v>ND</v>
      </c>
      <c r="H75" s="311" t="str">
        <f t="shared" si="97"/>
        <v>ND</v>
      </c>
      <c r="I75" s="313" t="str">
        <f t="shared" si="97"/>
        <v>ND</v>
      </c>
      <c r="J75" s="313" t="str">
        <f t="shared" si="97"/>
        <v>ND</v>
      </c>
      <c r="K75" s="311" t="str">
        <f>K76</f>
        <v>ND</v>
      </c>
      <c r="L75" s="314">
        <f t="shared" ref="L75:BI75" si="98">L76</f>
        <v>212.210587</v>
      </c>
      <c r="M75" s="262">
        <f t="shared" si="98"/>
        <v>212.210587</v>
      </c>
      <c r="N75" s="205">
        <f t="shared" si="98"/>
        <v>212.210587</v>
      </c>
      <c r="O75" s="315">
        <f t="shared" si="98"/>
        <v>212.210587</v>
      </c>
      <c r="P75" s="315">
        <f t="shared" si="98"/>
        <v>212.210587</v>
      </c>
      <c r="Q75" s="314">
        <f t="shared" si="98"/>
        <v>212.210587</v>
      </c>
      <c r="R75" s="316">
        <f t="shared" si="98"/>
        <v>212.30453399999999</v>
      </c>
      <c r="S75" s="316">
        <f t="shared" si="98"/>
        <v>214.01262700000001</v>
      </c>
      <c r="T75" s="316">
        <f t="shared" si="98"/>
        <v>215.046333</v>
      </c>
      <c r="U75" s="316">
        <f t="shared" si="98"/>
        <v>213.72475600000001</v>
      </c>
      <c r="V75" s="314">
        <f t="shared" si="98"/>
        <v>213.7720625</v>
      </c>
      <c r="W75" s="316">
        <f t="shared" si="98"/>
        <v>214.584791</v>
      </c>
      <c r="X75" s="316">
        <f t="shared" si="98"/>
        <v>207.901994</v>
      </c>
      <c r="Y75" s="316">
        <f t="shared" si="98"/>
        <v>201.01101399999999</v>
      </c>
      <c r="Z75" s="316">
        <f t="shared" si="98"/>
        <v>200.55797799999999</v>
      </c>
      <c r="AA75" s="314">
        <f t="shared" si="98"/>
        <v>206.01394425000001</v>
      </c>
      <c r="AB75" s="316">
        <f t="shared" si="98"/>
        <v>198.94997699999999</v>
      </c>
      <c r="AC75" s="316">
        <v>198.50512599999999</v>
      </c>
      <c r="AD75" s="316">
        <f t="shared" si="98"/>
        <v>199.69899799999999</v>
      </c>
      <c r="AE75" s="316">
        <v>199.43240299999999</v>
      </c>
      <c r="AF75" s="314">
        <f>AF76</f>
        <v>199.146626</v>
      </c>
      <c r="AG75" s="316">
        <f t="shared" si="98"/>
        <v>200.715138</v>
      </c>
      <c r="AH75" s="316">
        <f t="shared" si="98"/>
        <v>201.831467</v>
      </c>
      <c r="AI75" s="316">
        <v>201.899024</v>
      </c>
      <c r="AJ75" s="316">
        <f t="shared" si="98"/>
        <v>198.51955799999999</v>
      </c>
      <c r="AK75" s="314">
        <f>AK76</f>
        <v>200.74129675</v>
      </c>
      <c r="AL75" s="316">
        <f t="shared" si="98"/>
        <v>196.777827</v>
      </c>
      <c r="AM75" s="316">
        <f t="shared" si="98"/>
        <v>197.25820899999999</v>
      </c>
      <c r="AN75" s="316">
        <f t="shared" si="98"/>
        <v>197.34216900000001</v>
      </c>
      <c r="AO75" s="316">
        <f t="shared" si="98"/>
        <v>197.24420799999999</v>
      </c>
      <c r="AP75" s="314">
        <f>AP76</f>
        <v>197.15560324999998</v>
      </c>
      <c r="AQ75" s="316">
        <f t="shared" si="98"/>
        <v>197.49668</v>
      </c>
      <c r="AR75" s="316">
        <f>AR76</f>
        <v>197.55344199999999</v>
      </c>
      <c r="AS75" s="316">
        <f t="shared" si="98"/>
        <v>186.524461</v>
      </c>
      <c r="AT75" s="316">
        <f t="shared" si="98"/>
        <v>178.62519599999999</v>
      </c>
      <c r="AU75" s="314">
        <f>AU76</f>
        <v>190.04994474999998</v>
      </c>
      <c r="AV75" s="316">
        <f>AV76</f>
        <v>317.62519599999996</v>
      </c>
      <c r="AW75" s="316">
        <f t="shared" si="98"/>
        <v>317.72519599999998</v>
      </c>
      <c r="AX75" s="316">
        <f t="shared" si="98"/>
        <v>317.82519600000001</v>
      </c>
      <c r="AY75" s="316">
        <f t="shared" si="98"/>
        <v>317.92519600000003</v>
      </c>
      <c r="AZ75" s="314">
        <f>AZ76</f>
        <v>317.77519599999999</v>
      </c>
      <c r="BA75" s="316">
        <f t="shared" si="98"/>
        <v>317.97519600000004</v>
      </c>
      <c r="BB75" s="316">
        <f t="shared" si="98"/>
        <v>318.07519600000006</v>
      </c>
      <c r="BC75" s="316">
        <f t="shared" si="98"/>
        <v>318.17519600000008</v>
      </c>
      <c r="BD75" s="316">
        <f t="shared" si="98"/>
        <v>318.27519600000011</v>
      </c>
      <c r="BE75" s="314">
        <f>BE76</f>
        <v>318.12519600000007</v>
      </c>
      <c r="BF75" s="316">
        <f t="shared" si="98"/>
        <v>318.37519600000013</v>
      </c>
      <c r="BG75" s="316">
        <f t="shared" si="98"/>
        <v>318.47519600000015</v>
      </c>
      <c r="BH75" s="316">
        <f t="shared" si="98"/>
        <v>318.57519600000018</v>
      </c>
      <c r="BI75" s="316">
        <f t="shared" si="98"/>
        <v>318.6751960000002</v>
      </c>
      <c r="BJ75" s="314">
        <f>BJ76</f>
        <v>318.52519600000016</v>
      </c>
      <c r="BK75" s="317"/>
      <c r="BL75" s="314"/>
      <c r="BM75" s="317"/>
      <c r="BN75" s="173"/>
      <c r="BO75" s="173"/>
      <c r="BP75" s="173"/>
      <c r="BQ75" s="294"/>
      <c r="BR75" s="295"/>
      <c r="BS75" s="295"/>
      <c r="BZ75" s="128"/>
      <c r="CA75" s="128"/>
      <c r="CB75" s="128"/>
    </row>
    <row r="76" spans="1:90" ht="12.75" customHeight="1">
      <c r="A76" s="128"/>
      <c r="B76" s="310" t="s">
        <v>118</v>
      </c>
      <c r="C76" s="311" t="s">
        <v>119</v>
      </c>
      <c r="D76" s="311" t="s">
        <v>119</v>
      </c>
      <c r="E76" s="311" t="s">
        <v>119</v>
      </c>
      <c r="F76" s="311" t="s">
        <v>119</v>
      </c>
      <c r="G76" s="312" t="s">
        <v>119</v>
      </c>
      <c r="H76" s="311" t="s">
        <v>119</v>
      </c>
      <c r="I76" s="313" t="s">
        <v>119</v>
      </c>
      <c r="J76" s="313" t="s">
        <v>119</v>
      </c>
      <c r="K76" s="311" t="s">
        <v>119</v>
      </c>
      <c r="L76" s="314">
        <f>M76</f>
        <v>212.210587</v>
      </c>
      <c r="M76" s="205">
        <f>N76</f>
        <v>212.210587</v>
      </c>
      <c r="N76" s="205">
        <f>O76</f>
        <v>212.210587</v>
      </c>
      <c r="O76" s="205">
        <f>P76</f>
        <v>212.210587</v>
      </c>
      <c r="P76" s="205">
        <v>212.210587</v>
      </c>
      <c r="Q76" s="314">
        <f>AVERAGE(M76:P76)</f>
        <v>212.210587</v>
      </c>
      <c r="R76" s="262">
        <v>212.30453399999999</v>
      </c>
      <c r="S76" s="262">
        <v>214.01262700000001</v>
      </c>
      <c r="T76" s="262">
        <v>215.046333</v>
      </c>
      <c r="U76" s="262">
        <v>213.72475600000001</v>
      </c>
      <c r="V76" s="314">
        <f>AVERAGE(R76:U76)</f>
        <v>213.7720625</v>
      </c>
      <c r="W76" s="262">
        <v>214.584791</v>
      </c>
      <c r="X76" s="318">
        <v>207.901994</v>
      </c>
      <c r="Y76" s="318">
        <v>201.01101399999999</v>
      </c>
      <c r="Z76" s="262">
        <v>200.55797799999999</v>
      </c>
      <c r="AA76" s="314">
        <f>AVERAGE(W76:Z76)</f>
        <v>206.01394425000001</v>
      </c>
      <c r="AB76" s="262">
        <v>198.94997699999999</v>
      </c>
      <c r="AC76" s="262">
        <v>198.50512599999999</v>
      </c>
      <c r="AD76" s="262">
        <v>199.69899799999999</v>
      </c>
      <c r="AE76" s="262">
        <f>+AE75</f>
        <v>199.43240299999999</v>
      </c>
      <c r="AF76" s="314">
        <f>AVERAGE(AB76:AE76)</f>
        <v>199.146626</v>
      </c>
      <c r="AG76" s="262">
        <v>200.715138</v>
      </c>
      <c r="AH76" s="262">
        <v>201.831467</v>
      </c>
      <c r="AI76" s="262">
        <f>AI75</f>
        <v>201.899024</v>
      </c>
      <c r="AJ76" s="262">
        <v>198.51955799999999</v>
      </c>
      <c r="AK76" s="314">
        <f>AVERAGE(AG76:AJ76)</f>
        <v>200.74129675</v>
      </c>
      <c r="AL76" s="262">
        <v>196.777827</v>
      </c>
      <c r="AM76" s="262">
        <v>197.25820899999999</v>
      </c>
      <c r="AN76" s="1192">
        <v>197.34216900000001</v>
      </c>
      <c r="AO76" s="1203">
        <v>197.24420799999999</v>
      </c>
      <c r="AP76" s="314">
        <f>AVERAGE(AL76:AO76)</f>
        <v>197.15560324999998</v>
      </c>
      <c r="AQ76" s="1203">
        <v>197.49668</v>
      </c>
      <c r="AR76" s="1192">
        <v>197.55344199999999</v>
      </c>
      <c r="AS76" s="1192">
        <v>186.524461</v>
      </c>
      <c r="AT76" s="1192">
        <v>178.62519599999999</v>
      </c>
      <c r="AU76" s="314">
        <f>AVERAGE(AQ76:AT76)</f>
        <v>190.04994474999998</v>
      </c>
      <c r="AV76" s="319">
        <f>AT76+5+(2000*0.067)</f>
        <v>317.62519599999996</v>
      </c>
      <c r="AW76" s="319">
        <f>AV76+0.1</f>
        <v>317.72519599999998</v>
      </c>
      <c r="AX76" s="319">
        <f>AW76+0.1</f>
        <v>317.82519600000001</v>
      </c>
      <c r="AY76" s="319">
        <f>AX76+0.1</f>
        <v>317.92519600000003</v>
      </c>
      <c r="AZ76" s="314">
        <f>AVERAGE(AV76:AY76)</f>
        <v>317.77519599999999</v>
      </c>
      <c r="BA76" s="319">
        <f>AY76+0.05</f>
        <v>317.97519600000004</v>
      </c>
      <c r="BB76" s="319">
        <f>BA76+0.1</f>
        <v>318.07519600000006</v>
      </c>
      <c r="BC76" s="319">
        <f>BB76+0.1</f>
        <v>318.17519600000008</v>
      </c>
      <c r="BD76" s="319">
        <f>BC76+0.1</f>
        <v>318.27519600000011</v>
      </c>
      <c r="BE76" s="314">
        <f>AVERAGE(BA76:BD76)</f>
        <v>318.12519600000007</v>
      </c>
      <c r="BF76" s="319">
        <f>BD76+0.1</f>
        <v>318.37519600000013</v>
      </c>
      <c r="BG76" s="319">
        <f>BF76+0.1</f>
        <v>318.47519600000015</v>
      </c>
      <c r="BH76" s="319">
        <f>BG76+0.1</f>
        <v>318.57519600000018</v>
      </c>
      <c r="BI76" s="319">
        <f>BH76+0.1</f>
        <v>318.6751960000002</v>
      </c>
      <c r="BJ76" s="314">
        <f>AVERAGE(BF76:BI76)</f>
        <v>318.52519600000016</v>
      </c>
      <c r="BK76" s="320"/>
      <c r="BL76" s="314"/>
      <c r="BM76" s="320"/>
      <c r="BN76" s="173"/>
      <c r="BO76" s="173"/>
      <c r="BP76" s="173"/>
      <c r="BQ76" s="294"/>
      <c r="BR76" s="295"/>
      <c r="BS76" s="295"/>
      <c r="BZ76" s="128"/>
      <c r="CA76" s="128"/>
      <c r="CB76" s="128"/>
    </row>
    <row r="77" spans="1:90" ht="12.75" hidden="1" customHeight="1" outlineLevel="1">
      <c r="A77" s="128"/>
      <c r="B77" s="310"/>
      <c r="C77" s="321"/>
      <c r="D77" s="321"/>
      <c r="E77" s="321"/>
      <c r="F77" s="321"/>
      <c r="G77" s="322"/>
      <c r="H77" s="321"/>
      <c r="I77" s="321"/>
      <c r="J77" s="323"/>
      <c r="K77" s="321"/>
      <c r="L77" s="322"/>
      <c r="M77" s="321"/>
      <c r="N77" s="321"/>
      <c r="O77" s="323"/>
      <c r="P77" s="321"/>
      <c r="Q77" s="322"/>
      <c r="R77" s="321"/>
      <c r="S77" s="321"/>
      <c r="T77" s="321"/>
      <c r="U77" s="321"/>
      <c r="V77" s="322"/>
      <c r="W77" s="321"/>
      <c r="X77" s="324"/>
      <c r="Y77" s="324"/>
      <c r="Z77" s="324"/>
      <c r="AA77" s="325"/>
      <c r="AB77" s="324"/>
      <c r="AC77" s="324"/>
      <c r="AD77" s="324"/>
      <c r="AE77" s="324"/>
      <c r="AF77" s="325"/>
      <c r="AG77" s="324"/>
      <c r="AH77" s="324"/>
      <c r="AI77" s="324"/>
      <c r="AJ77" s="324"/>
      <c r="AK77" s="325"/>
      <c r="AL77" s="324"/>
      <c r="AM77" s="324"/>
      <c r="AN77" s="324"/>
      <c r="AO77" s="324"/>
      <c r="AP77" s="325"/>
      <c r="AQ77" s="324"/>
      <c r="AR77" s="324"/>
      <c r="AS77" s="324"/>
      <c r="AT77" s="324"/>
      <c r="AU77" s="325"/>
      <c r="AV77" s="324"/>
      <c r="AW77" s="324"/>
      <c r="AX77" s="324"/>
      <c r="AY77" s="324"/>
      <c r="AZ77" s="325"/>
      <c r="BA77" s="324"/>
      <c r="BB77" s="324"/>
      <c r="BC77" s="324"/>
      <c r="BD77" s="324"/>
      <c r="BE77" s="325"/>
      <c r="BF77" s="324"/>
      <c r="BG77" s="324"/>
      <c r="BH77" s="324"/>
      <c r="BI77" s="324"/>
      <c r="BJ77" s="325"/>
      <c r="BK77" s="300"/>
      <c r="BL77" s="325"/>
      <c r="BM77" s="300"/>
      <c r="BN77" s="300"/>
      <c r="BO77" s="300"/>
      <c r="BP77" s="300"/>
      <c r="BQ77" s="294"/>
      <c r="BR77" s="295"/>
      <c r="BS77" s="295"/>
      <c r="BZ77" s="128"/>
      <c r="CA77" s="128"/>
      <c r="CB77" s="128"/>
    </row>
    <row r="78" spans="1:90" ht="12.75" hidden="1" customHeight="1" outlineLevel="1">
      <c r="A78" s="128"/>
      <c r="B78" s="326" t="s">
        <v>120</v>
      </c>
      <c r="C78" s="303"/>
      <c r="D78" s="303"/>
      <c r="E78" s="303"/>
      <c r="F78" s="303"/>
      <c r="G78" s="327"/>
      <c r="H78" s="303"/>
      <c r="I78" s="303"/>
      <c r="J78" s="303"/>
      <c r="K78" s="303"/>
      <c r="L78" s="327"/>
      <c r="M78" s="303"/>
      <c r="N78" s="303"/>
      <c r="O78" s="303"/>
      <c r="P78" s="303"/>
      <c r="Q78" s="327"/>
      <c r="R78" s="303"/>
      <c r="S78" s="303"/>
      <c r="T78" s="303"/>
      <c r="U78" s="303"/>
      <c r="V78" s="327"/>
      <c r="W78" s="328"/>
      <c r="X78" s="328"/>
      <c r="Y78" s="328"/>
      <c r="Z78" s="328"/>
      <c r="AA78" s="329"/>
      <c r="AB78" s="328"/>
      <c r="AC78" s="328"/>
      <c r="AD78" s="328"/>
      <c r="AE78" s="328"/>
      <c r="AF78" s="329"/>
      <c r="AG78" s="328"/>
      <c r="AH78" s="328"/>
      <c r="AI78" s="328"/>
      <c r="AJ78" s="328"/>
      <c r="AK78" s="329"/>
      <c r="AL78" s="328"/>
      <c r="AM78" s="328"/>
      <c r="AN78" s="328"/>
      <c r="AO78" s="328"/>
      <c r="AP78" s="329"/>
      <c r="AQ78" s="328"/>
      <c r="AR78" s="1208"/>
      <c r="AS78" s="328"/>
      <c r="AT78" s="328"/>
      <c r="AU78" s="329"/>
      <c r="AV78" s="328"/>
      <c r="AW78" s="328"/>
      <c r="AX78" s="328"/>
      <c r="AY78" s="328"/>
      <c r="AZ78" s="329"/>
      <c r="BA78" s="328"/>
      <c r="BB78" s="328"/>
      <c r="BC78" s="328"/>
      <c r="BD78" s="328"/>
      <c r="BE78" s="329"/>
      <c r="BF78" s="328"/>
      <c r="BG78" s="328"/>
      <c r="BH78" s="328"/>
      <c r="BI78" s="328"/>
      <c r="BJ78" s="329"/>
      <c r="BK78" s="330"/>
      <c r="BL78" s="329"/>
      <c r="BM78" s="330"/>
      <c r="BN78" s="330"/>
      <c r="BO78" s="330"/>
      <c r="BP78" s="330"/>
      <c r="BQ78" s="294"/>
      <c r="BR78" s="295"/>
      <c r="BS78" s="295"/>
      <c r="BZ78" s="128"/>
      <c r="CA78" s="128"/>
      <c r="CB78" s="128"/>
    </row>
    <row r="79" spans="1:90" ht="13.5" hidden="1" customHeight="1" outlineLevel="1">
      <c r="A79" s="128"/>
      <c r="B79" s="331" t="s">
        <v>121</v>
      </c>
      <c r="C79" s="332"/>
      <c r="D79" s="332"/>
      <c r="E79" s="332"/>
      <c r="F79" s="333"/>
      <c r="G79" s="334"/>
      <c r="H79" s="332"/>
      <c r="I79" s="332"/>
      <c r="J79" s="332"/>
      <c r="K79" s="333"/>
      <c r="L79" s="334"/>
      <c r="M79" s="332"/>
      <c r="N79" s="332"/>
      <c r="O79" s="332"/>
      <c r="P79" s="333"/>
      <c r="Q79" s="334"/>
      <c r="R79" s="332"/>
      <c r="S79" s="332"/>
      <c r="T79" s="332"/>
      <c r="U79" s="333"/>
      <c r="V79" s="334"/>
      <c r="W79" s="332"/>
      <c r="X79" s="332"/>
      <c r="Y79" s="332"/>
      <c r="Z79" s="332"/>
      <c r="AA79" s="335"/>
      <c r="AB79" s="332"/>
      <c r="AC79" s="336"/>
      <c r="AD79" s="336"/>
      <c r="AE79" s="337"/>
      <c r="AF79" s="335"/>
      <c r="AG79" s="332"/>
      <c r="AH79" s="336"/>
      <c r="AI79" s="336"/>
      <c r="AJ79" s="337"/>
      <c r="AK79" s="335"/>
      <c r="AL79" s="332"/>
      <c r="AM79" s="336"/>
      <c r="AN79" s="336">
        <f>+AP66/AP76</f>
        <v>-0.38629386507177549</v>
      </c>
      <c r="AO79" s="337"/>
      <c r="AP79" s="335"/>
      <c r="AQ79" s="727"/>
      <c r="AR79" s="1182"/>
      <c r="AS79" s="336"/>
      <c r="AT79" s="337"/>
      <c r="AU79" s="335"/>
      <c r="AV79" s="332"/>
      <c r="AW79" s="336"/>
      <c r="AX79" s="336"/>
      <c r="AY79" s="337"/>
      <c r="AZ79" s="335"/>
      <c r="BA79" s="332"/>
      <c r="BB79" s="336"/>
      <c r="BC79" s="336"/>
      <c r="BD79" s="337"/>
      <c r="BE79" s="335"/>
      <c r="BF79" s="332"/>
      <c r="BG79" s="336"/>
      <c r="BH79" s="336"/>
      <c r="BI79" s="337"/>
      <c r="BJ79" s="335"/>
      <c r="BK79" s="338"/>
      <c r="BL79" s="335"/>
      <c r="BM79" s="338"/>
      <c r="BN79" s="338"/>
      <c r="BO79" s="338"/>
      <c r="BP79" s="338"/>
      <c r="BQ79" s="119"/>
      <c r="BR79" s="120"/>
      <c r="BS79" s="120"/>
      <c r="BZ79" s="113"/>
      <c r="CA79" s="113"/>
      <c r="CB79" s="113"/>
    </row>
    <row r="80" spans="1:90" ht="13.5" hidden="1" customHeight="1" outlineLevel="1">
      <c r="A80" s="128"/>
      <c r="B80" s="331"/>
      <c r="C80" s="332"/>
      <c r="D80" s="332"/>
      <c r="E80" s="332"/>
      <c r="F80" s="333"/>
      <c r="G80" s="334"/>
      <c r="H80" s="332"/>
      <c r="I80" s="332"/>
      <c r="J80" s="332"/>
      <c r="K80" s="333"/>
      <c r="L80" s="334"/>
      <c r="M80" s="332"/>
      <c r="N80" s="332"/>
      <c r="O80" s="332"/>
      <c r="P80" s="333"/>
      <c r="Q80" s="334"/>
      <c r="R80" s="332"/>
      <c r="S80" s="332"/>
      <c r="T80" s="332"/>
      <c r="U80" s="333"/>
      <c r="V80" s="334"/>
      <c r="W80" s="332"/>
      <c r="X80" s="336"/>
      <c r="Y80" s="336"/>
      <c r="Z80" s="337"/>
      <c r="AA80" s="335"/>
      <c r="AB80" s="332"/>
      <c r="AC80" s="336"/>
      <c r="AD80" s="336"/>
      <c r="AE80" s="337"/>
      <c r="AF80" s="335"/>
      <c r="AG80" s="332"/>
      <c r="AH80" s="339"/>
      <c r="AI80" s="336"/>
      <c r="AJ80" s="337"/>
      <c r="AK80" s="335"/>
      <c r="AL80" s="332"/>
      <c r="AM80" s="339"/>
      <c r="AN80" s="336"/>
      <c r="AO80" s="337"/>
      <c r="AP80" s="335"/>
      <c r="AQ80" s="727"/>
      <c r="AR80" s="1241"/>
      <c r="AS80" s="336"/>
      <c r="AT80" s="337"/>
      <c r="AU80" s="335"/>
      <c r="AV80" s="332"/>
      <c r="AW80" s="339"/>
      <c r="AX80" s="336"/>
      <c r="AY80" s="337"/>
      <c r="AZ80" s="335"/>
      <c r="BA80" s="332"/>
      <c r="BB80" s="339"/>
      <c r="BC80" s="336"/>
      <c r="BD80" s="337"/>
      <c r="BE80" s="335"/>
      <c r="BF80" s="332"/>
      <c r="BG80" s="339"/>
      <c r="BH80" s="336"/>
      <c r="BI80" s="337"/>
      <c r="BJ80" s="335"/>
      <c r="BK80" s="338"/>
      <c r="BL80" s="335"/>
      <c r="BM80" s="338"/>
      <c r="BN80" s="338"/>
      <c r="BO80" s="338"/>
      <c r="BP80" s="338"/>
      <c r="BQ80" s="119"/>
      <c r="BR80" s="120"/>
      <c r="BS80" s="120"/>
      <c r="BZ80" s="113"/>
      <c r="CA80" s="113"/>
      <c r="CB80" s="113"/>
    </row>
    <row r="81" spans="1:80" ht="12.75" hidden="1" customHeight="1" outlineLevel="1">
      <c r="A81" s="128"/>
      <c r="B81" s="340" t="s">
        <v>122</v>
      </c>
      <c r="C81" s="303"/>
      <c r="D81" s="303"/>
      <c r="E81" s="303"/>
      <c r="F81" s="303"/>
      <c r="G81" s="327"/>
      <c r="H81" s="303"/>
      <c r="I81" s="303"/>
      <c r="J81" s="303"/>
      <c r="K81" s="303"/>
      <c r="L81" s="327"/>
      <c r="M81" s="303"/>
      <c r="N81" s="303"/>
      <c r="O81" s="303"/>
      <c r="P81" s="303"/>
      <c r="Q81" s="327"/>
      <c r="R81" s="303"/>
      <c r="S81" s="303"/>
      <c r="T81" s="303"/>
      <c r="U81" s="303"/>
      <c r="V81" s="327"/>
      <c r="W81" s="328"/>
      <c r="X81" s="341">
        <v>400</v>
      </c>
      <c r="Y81" s="341"/>
      <c r="Z81" s="341">
        <v>103</v>
      </c>
      <c r="AA81" s="329"/>
      <c r="AB81" s="341">
        <v>0</v>
      </c>
      <c r="AC81" s="341">
        <f>+AB81</f>
        <v>0</v>
      </c>
      <c r="AD81" s="341">
        <f>+AC81</f>
        <v>0</v>
      </c>
      <c r="AE81" s="341">
        <f>+AD81</f>
        <v>0</v>
      </c>
      <c r="AF81" s="329"/>
      <c r="AG81" s="341">
        <v>0</v>
      </c>
      <c r="AH81" s="341">
        <f>+AG81</f>
        <v>0</v>
      </c>
      <c r="AI81" s="341">
        <v>160</v>
      </c>
      <c r="AJ81" s="341">
        <v>50</v>
      </c>
      <c r="AK81" s="329"/>
      <c r="AL81" s="1215"/>
      <c r="AM81" s="1215"/>
      <c r="AN81" s="1215"/>
      <c r="AO81" s="341">
        <f>0.00278+0.950652+0.00017</f>
        <v>0.95360200000000006</v>
      </c>
      <c r="AP81" s="329"/>
      <c r="AQ81" s="1215">
        <v>8.7707999999999994E-2</v>
      </c>
      <c r="AR81" s="1215">
        <f>0.000138+0.001644</f>
        <v>1.7820000000000002E-3</v>
      </c>
      <c r="AS81" s="1250">
        <f>CHOOSE(_Switch,AS82, AS83, AS84)</f>
        <v>0</v>
      </c>
      <c r="AT81" s="341">
        <f>CHOOSE(_Switch,AT82, AT83, AT84)</f>
        <v>0</v>
      </c>
      <c r="AU81" s="329"/>
      <c r="AV81" s="341">
        <f>CHOOSE(_Switch,AV82, AV83, AV84)</f>
        <v>0</v>
      </c>
      <c r="AW81" s="341">
        <f>CHOOSE(_Switch,AW82, AW83, AW84)</f>
        <v>0</v>
      </c>
      <c r="AX81" s="341">
        <f>CHOOSE(_Switch,AX82, AX83, AX84)</f>
        <v>0</v>
      </c>
      <c r="AY81" s="341">
        <f>CHOOSE(_Switch,AY82, AY83, AY84)</f>
        <v>0</v>
      </c>
      <c r="AZ81" s="329"/>
      <c r="BA81" s="341">
        <f>CHOOSE(_Switch,BA82, BA83, BA84)</f>
        <v>0</v>
      </c>
      <c r="BB81" s="341">
        <f>CHOOSE(_Switch,BB82, BB83, BB84)</f>
        <v>0</v>
      </c>
      <c r="BC81" s="341">
        <f>CHOOSE(_Switch,BC82, BC83, BC84)</f>
        <v>0</v>
      </c>
      <c r="BD81" s="341">
        <f>CHOOSE(_Switch,BD82, BD83, BD84)</f>
        <v>0</v>
      </c>
      <c r="BE81" s="329"/>
      <c r="BF81" s="341">
        <f>CHOOSE(_Switch,BF82, BF83, BF84)</f>
        <v>0</v>
      </c>
      <c r="BG81" s="341">
        <f>CHOOSE(_Switch,BG82, BG83, BG84)</f>
        <v>0</v>
      </c>
      <c r="BH81" s="341">
        <f>CHOOSE(_Switch,BH82, BH83, BH84)</f>
        <v>0</v>
      </c>
      <c r="BI81" s="341">
        <f>CHOOSE(_Switch,BI82, BI83, BI84)</f>
        <v>0</v>
      </c>
      <c r="BJ81" s="329"/>
      <c r="BK81" s="330"/>
      <c r="BL81" s="329"/>
      <c r="BM81" s="330"/>
      <c r="BN81" s="330"/>
      <c r="BO81" s="330"/>
      <c r="BP81" s="330"/>
      <c r="BQ81" s="294"/>
      <c r="BR81" s="295"/>
      <c r="BS81" s="295"/>
      <c r="BZ81" s="128"/>
      <c r="CA81" s="128"/>
      <c r="CB81" s="128"/>
    </row>
    <row r="82" spans="1:80" ht="12.75" hidden="1" customHeight="1" outlineLevel="1">
      <c r="A82" s="128"/>
      <c r="B82" s="209" t="s">
        <v>93</v>
      </c>
      <c r="C82" s="303"/>
      <c r="D82" s="303"/>
      <c r="E82" s="303"/>
      <c r="F82" s="303"/>
      <c r="G82" s="327"/>
      <c r="H82" s="303"/>
      <c r="I82" s="303"/>
      <c r="J82" s="303"/>
      <c r="K82" s="303"/>
      <c r="L82" s="327"/>
      <c r="M82" s="303"/>
      <c r="N82" s="303"/>
      <c r="O82" s="303"/>
      <c r="P82" s="303"/>
      <c r="Q82" s="327"/>
      <c r="R82" s="303"/>
      <c r="S82" s="303"/>
      <c r="T82" s="303"/>
      <c r="U82" s="303"/>
      <c r="V82" s="327"/>
      <c r="W82" s="328"/>
      <c r="X82" s="341"/>
      <c r="Y82" s="341"/>
      <c r="Z82" s="341"/>
      <c r="AA82" s="329"/>
      <c r="AB82" s="341"/>
      <c r="AC82" s="341"/>
      <c r="AD82" s="341"/>
      <c r="AE82" s="341"/>
      <c r="AF82" s="329"/>
      <c r="AG82" s="341"/>
      <c r="AH82" s="341"/>
      <c r="AI82" s="341"/>
      <c r="AJ82" s="341"/>
      <c r="AK82" s="329"/>
      <c r="AL82" s="1215"/>
      <c r="AM82" s="1215"/>
      <c r="AN82" s="1215"/>
      <c r="AO82" s="1215"/>
      <c r="AP82" s="329"/>
      <c r="AQ82" s="1215"/>
      <c r="AR82" s="1215"/>
      <c r="AS82" s="1250">
        <v>100</v>
      </c>
      <c r="AT82" s="342">
        <f>+AS82</f>
        <v>100</v>
      </c>
      <c r="AU82" s="329"/>
      <c r="AV82" s="342">
        <v>100</v>
      </c>
      <c r="AW82" s="342">
        <f t="shared" ref="AW82:AY83" si="99">+AV82</f>
        <v>100</v>
      </c>
      <c r="AX82" s="342">
        <f t="shared" si="99"/>
        <v>100</v>
      </c>
      <c r="AY82" s="342">
        <f t="shared" si="99"/>
        <v>100</v>
      </c>
      <c r="AZ82" s="329"/>
      <c r="BA82" s="342">
        <v>100</v>
      </c>
      <c r="BB82" s="342">
        <f t="shared" ref="BB82:BD83" si="100">+BA82</f>
        <v>100</v>
      </c>
      <c r="BC82" s="342">
        <f t="shared" si="100"/>
        <v>100</v>
      </c>
      <c r="BD82" s="342">
        <f t="shared" si="100"/>
        <v>100</v>
      </c>
      <c r="BE82" s="329"/>
      <c r="BF82" s="342">
        <v>100</v>
      </c>
      <c r="BG82" s="342">
        <f t="shared" ref="BG82:BI83" si="101">+BF82</f>
        <v>100</v>
      </c>
      <c r="BH82" s="342">
        <f t="shared" si="101"/>
        <v>100</v>
      </c>
      <c r="BI82" s="342">
        <f t="shared" si="101"/>
        <v>100</v>
      </c>
      <c r="BJ82" s="329"/>
      <c r="BK82" s="330"/>
      <c r="BL82" s="329"/>
      <c r="BM82" s="330"/>
      <c r="BN82" s="215"/>
      <c r="BO82" s="330"/>
      <c r="BP82" s="330"/>
      <c r="BQ82" s="294"/>
      <c r="BR82" s="295"/>
      <c r="BS82" s="295"/>
      <c r="BZ82" s="128"/>
      <c r="CA82" s="128"/>
      <c r="CB82" s="128"/>
    </row>
    <row r="83" spans="1:80" ht="12.75" hidden="1" customHeight="1" outlineLevel="1">
      <c r="A83" s="128"/>
      <c r="B83" s="209" t="s">
        <v>94</v>
      </c>
      <c r="C83" s="303"/>
      <c r="D83" s="303"/>
      <c r="E83" s="303"/>
      <c r="F83" s="303"/>
      <c r="G83" s="327"/>
      <c r="H83" s="303"/>
      <c r="I83" s="303"/>
      <c r="J83" s="303"/>
      <c r="K83" s="303"/>
      <c r="L83" s="327"/>
      <c r="M83" s="303"/>
      <c r="N83" s="303"/>
      <c r="O83" s="303"/>
      <c r="P83" s="303"/>
      <c r="Q83" s="327"/>
      <c r="R83" s="303"/>
      <c r="S83" s="303"/>
      <c r="T83" s="303"/>
      <c r="U83" s="303"/>
      <c r="V83" s="327"/>
      <c r="W83" s="328"/>
      <c r="X83" s="341"/>
      <c r="Y83" s="341"/>
      <c r="Z83" s="341"/>
      <c r="AA83" s="329"/>
      <c r="AB83" s="341"/>
      <c r="AC83" s="341"/>
      <c r="AD83" s="341"/>
      <c r="AE83" s="341"/>
      <c r="AF83" s="329"/>
      <c r="AG83" s="341"/>
      <c r="AH83" s="341"/>
      <c r="AI83" s="341"/>
      <c r="AJ83" s="341"/>
      <c r="AK83" s="329"/>
      <c r="AL83" s="1215"/>
      <c r="AM83" s="1215"/>
      <c r="AN83" s="1215"/>
      <c r="AO83" s="1215"/>
      <c r="AP83" s="329"/>
      <c r="AQ83" s="1215"/>
      <c r="AR83" s="1215"/>
      <c r="AS83" s="1250">
        <v>0</v>
      </c>
      <c r="AT83" s="342">
        <f>+AS83</f>
        <v>0</v>
      </c>
      <c r="AU83" s="329"/>
      <c r="AV83" s="342">
        <v>0</v>
      </c>
      <c r="AW83" s="342">
        <f t="shared" si="99"/>
        <v>0</v>
      </c>
      <c r="AX83" s="342">
        <f t="shared" si="99"/>
        <v>0</v>
      </c>
      <c r="AY83" s="342">
        <f t="shared" si="99"/>
        <v>0</v>
      </c>
      <c r="AZ83" s="329"/>
      <c r="BA83" s="342">
        <v>0</v>
      </c>
      <c r="BB83" s="342">
        <f t="shared" si="100"/>
        <v>0</v>
      </c>
      <c r="BC83" s="342">
        <f t="shared" si="100"/>
        <v>0</v>
      </c>
      <c r="BD83" s="342">
        <f t="shared" si="100"/>
        <v>0</v>
      </c>
      <c r="BE83" s="329"/>
      <c r="BF83" s="342">
        <v>0</v>
      </c>
      <c r="BG83" s="342">
        <f t="shared" si="101"/>
        <v>0</v>
      </c>
      <c r="BH83" s="342">
        <f t="shared" si="101"/>
        <v>0</v>
      </c>
      <c r="BI83" s="342">
        <f t="shared" si="101"/>
        <v>0</v>
      </c>
      <c r="BJ83" s="329"/>
      <c r="BK83" s="330"/>
      <c r="BL83" s="329"/>
      <c r="BM83" s="330"/>
      <c r="BN83" s="330"/>
      <c r="BO83" s="330"/>
      <c r="BP83" s="330"/>
      <c r="BQ83" s="294"/>
      <c r="BR83" s="295"/>
      <c r="BS83" s="295"/>
      <c r="BZ83" s="128"/>
      <c r="CA83" s="128"/>
      <c r="CB83" s="128"/>
    </row>
    <row r="84" spans="1:80" ht="12.75" hidden="1" customHeight="1" outlineLevel="1">
      <c r="A84" s="128"/>
      <c r="B84" s="209" t="s">
        <v>95</v>
      </c>
      <c r="C84" s="303"/>
      <c r="D84" s="303"/>
      <c r="E84" s="303"/>
      <c r="F84" s="303"/>
      <c r="G84" s="327"/>
      <c r="H84" s="303"/>
      <c r="I84" s="303"/>
      <c r="J84" s="303"/>
      <c r="K84" s="303"/>
      <c r="L84" s="327"/>
      <c r="M84" s="303"/>
      <c r="N84" s="303"/>
      <c r="O84" s="303"/>
      <c r="P84" s="303"/>
      <c r="Q84" s="327"/>
      <c r="R84" s="303"/>
      <c r="S84" s="303"/>
      <c r="T84" s="303"/>
      <c r="U84" s="303"/>
      <c r="V84" s="327"/>
      <c r="W84" s="328"/>
      <c r="X84" s="341"/>
      <c r="Y84" s="341"/>
      <c r="Z84" s="341"/>
      <c r="AA84" s="329"/>
      <c r="AB84" s="341"/>
      <c r="AC84" s="341"/>
      <c r="AD84" s="341"/>
      <c r="AE84" s="341"/>
      <c r="AF84" s="329"/>
      <c r="AG84" s="341"/>
      <c r="AH84" s="341"/>
      <c r="AI84" s="341"/>
      <c r="AJ84" s="341"/>
      <c r="AK84" s="329"/>
      <c r="AL84" s="1215"/>
      <c r="AM84" s="1215"/>
      <c r="AN84" s="1215"/>
      <c r="AO84" s="1215"/>
      <c r="AP84" s="329"/>
      <c r="AQ84" s="1215"/>
      <c r="AR84" s="1215"/>
      <c r="AS84" s="1250">
        <v>20</v>
      </c>
      <c r="AT84" s="342">
        <f>AS84</f>
        <v>20</v>
      </c>
      <c r="AU84" s="329"/>
      <c r="AV84" s="342">
        <v>20</v>
      </c>
      <c r="AW84" s="342">
        <f>AV84</f>
        <v>20</v>
      </c>
      <c r="AX84" s="342">
        <f>AW84</f>
        <v>20</v>
      </c>
      <c r="AY84" s="342">
        <f>AX84</f>
        <v>20</v>
      </c>
      <c r="AZ84" s="329"/>
      <c r="BA84" s="342">
        <v>20</v>
      </c>
      <c r="BB84" s="342">
        <f>BA84</f>
        <v>20</v>
      </c>
      <c r="BC84" s="342">
        <f>BB84</f>
        <v>20</v>
      </c>
      <c r="BD84" s="342">
        <f>BC84</f>
        <v>20</v>
      </c>
      <c r="BE84" s="329"/>
      <c r="BF84" s="342">
        <v>20</v>
      </c>
      <c r="BG84" s="342">
        <f>BF84</f>
        <v>20</v>
      </c>
      <c r="BH84" s="342">
        <f>BG84</f>
        <v>20</v>
      </c>
      <c r="BI84" s="342">
        <f>BH84</f>
        <v>20</v>
      </c>
      <c r="BJ84" s="329"/>
      <c r="BK84" s="330"/>
      <c r="BL84" s="329"/>
      <c r="BM84" s="330"/>
      <c r="BN84" s="330"/>
      <c r="BO84" s="330"/>
      <c r="BP84" s="330"/>
      <c r="BQ84" s="294"/>
      <c r="BR84" s="295"/>
      <c r="BS84" s="1278"/>
      <c r="BZ84" s="1277"/>
      <c r="CA84" s="128"/>
      <c r="CB84" s="128"/>
    </row>
    <row r="85" spans="1:80" ht="13.5" hidden="1" customHeight="1" outlineLevel="1">
      <c r="A85" s="128"/>
      <c r="B85" s="340" t="s">
        <v>123</v>
      </c>
      <c r="C85" s="343"/>
      <c r="D85" s="343"/>
      <c r="E85" s="343"/>
      <c r="F85" s="343"/>
      <c r="G85" s="344"/>
      <c r="H85" s="343"/>
      <c r="I85" s="343"/>
      <c r="J85" s="343"/>
      <c r="K85" s="343"/>
      <c r="L85" s="344"/>
      <c r="M85" s="343"/>
      <c r="N85" s="343"/>
      <c r="O85" s="343"/>
      <c r="P85" s="343"/>
      <c r="Q85" s="344"/>
      <c r="R85" s="343"/>
      <c r="S85" s="343"/>
      <c r="T85" s="343"/>
      <c r="U85" s="343"/>
      <c r="V85" s="344"/>
      <c r="W85" s="345"/>
      <c r="X85" s="346">
        <f>+X81/X88</f>
        <v>17.452958821925279</v>
      </c>
      <c r="Y85" s="345"/>
      <c r="Z85" s="345"/>
      <c r="AA85" s="347"/>
      <c r="AB85" s="345"/>
      <c r="AC85" s="345"/>
      <c r="AD85" s="345"/>
      <c r="AE85" s="345"/>
      <c r="AF85" s="347"/>
      <c r="AG85" s="345"/>
      <c r="AH85" s="345"/>
      <c r="AI85" s="345"/>
      <c r="AJ85" s="345"/>
      <c r="AK85" s="347"/>
      <c r="AL85" s="345"/>
      <c r="AM85" s="345"/>
      <c r="AN85" s="345"/>
      <c r="AO85" s="345"/>
      <c r="AP85" s="347"/>
      <c r="AQ85" s="1242"/>
      <c r="AR85" s="1242"/>
      <c r="AS85" s="1251"/>
      <c r="AT85" s="345"/>
      <c r="AU85" s="347"/>
      <c r="AV85" s="345"/>
      <c r="AW85" s="345"/>
      <c r="AX85" s="345"/>
      <c r="AY85" s="345"/>
      <c r="AZ85" s="347"/>
      <c r="BA85" s="345"/>
      <c r="BB85" s="345"/>
      <c r="BC85" s="345"/>
      <c r="BD85" s="345"/>
      <c r="BE85" s="347"/>
      <c r="BF85" s="345"/>
      <c r="BG85" s="345"/>
      <c r="BH85" s="345"/>
      <c r="BI85" s="345"/>
      <c r="BJ85" s="347"/>
      <c r="BK85" s="348"/>
      <c r="BL85" s="347"/>
      <c r="BM85" s="348"/>
      <c r="BN85" s="348"/>
      <c r="BO85" s="348"/>
      <c r="BP85" s="348"/>
      <c r="BQ85" s="294"/>
      <c r="BR85" s="295"/>
      <c r="BS85" s="295"/>
      <c r="BZ85" s="113"/>
      <c r="CA85" s="113"/>
      <c r="CB85" s="113"/>
    </row>
    <row r="86" spans="1:80" ht="13.5" hidden="1" customHeight="1" outlineLevel="1">
      <c r="A86" s="128"/>
      <c r="B86" s="340" t="s">
        <v>124</v>
      </c>
      <c r="C86" s="349"/>
      <c r="D86" s="349"/>
      <c r="E86" s="349"/>
      <c r="F86" s="349"/>
      <c r="G86" s="350"/>
      <c r="H86" s="349"/>
      <c r="I86" s="349"/>
      <c r="J86" s="349"/>
      <c r="K86" s="349"/>
      <c r="L86" s="350"/>
      <c r="M86" s="349"/>
      <c r="N86" s="349"/>
      <c r="O86" s="349"/>
      <c r="P86" s="349"/>
      <c r="Q86" s="350"/>
      <c r="R86" s="349"/>
      <c r="S86" s="349"/>
      <c r="T86" s="349"/>
      <c r="U86" s="349"/>
      <c r="V86" s="350"/>
      <c r="W86" s="351"/>
      <c r="X86" s="351">
        <f>400-X81</f>
        <v>0</v>
      </c>
      <c r="Y86" s="351"/>
      <c r="Z86" s="351">
        <f>137-103+300</f>
        <v>334</v>
      </c>
      <c r="AA86" s="352"/>
      <c r="AB86" s="351">
        <f>+Z86-AB81</f>
        <v>334</v>
      </c>
      <c r="AC86" s="351">
        <f>+AB86-AC81</f>
        <v>334</v>
      </c>
      <c r="AD86" s="351">
        <f>+AC86-AD81</f>
        <v>334</v>
      </c>
      <c r="AE86" s="351">
        <f>+AD86-AE81</f>
        <v>334</v>
      </c>
      <c r="AF86" s="352"/>
      <c r="AG86" s="351">
        <f>+AE86-AG81</f>
        <v>334</v>
      </c>
      <c r="AH86" s="351">
        <f>+AG86-AH81</f>
        <v>334</v>
      </c>
      <c r="AI86" s="351">
        <f>+AH86-AI81</f>
        <v>174</v>
      </c>
      <c r="AJ86" s="351">
        <f>+AI86-AJ81</f>
        <v>124</v>
      </c>
      <c r="AK86" s="352"/>
      <c r="AL86" s="351">
        <f>+AJ86-AL81</f>
        <v>124</v>
      </c>
      <c r="AM86" s="351">
        <f>+AL86-AM81</f>
        <v>124</v>
      </c>
      <c r="AN86" s="351">
        <f>+AM86-AN81</f>
        <v>124</v>
      </c>
      <c r="AO86" s="351">
        <f>+AN86-AO81</f>
        <v>123.046398</v>
      </c>
      <c r="AP86" s="352"/>
      <c r="AQ86" s="1215">
        <v>243</v>
      </c>
      <c r="AR86" s="1243">
        <v>243</v>
      </c>
      <c r="AS86" s="1252">
        <f>+AR86-AS81</f>
        <v>243</v>
      </c>
      <c r="AT86" s="351">
        <f>+AS86-AT81</f>
        <v>243</v>
      </c>
      <c r="AU86" s="352"/>
      <c r="AV86" s="1266">
        <f>21/34</f>
        <v>0.61764705882352944</v>
      </c>
      <c r="AW86" s="351">
        <f>140*0.6</f>
        <v>84</v>
      </c>
      <c r="AX86" s="351">
        <f>+AW86/4</f>
        <v>21</v>
      </c>
      <c r="AY86" s="351"/>
      <c r="AZ86" s="352"/>
      <c r="BA86" s="351"/>
      <c r="BB86" s="351"/>
      <c r="BC86" s="351"/>
      <c r="BD86" s="351"/>
      <c r="BE86" s="352"/>
      <c r="BF86" s="351"/>
      <c r="BG86" s="351"/>
      <c r="BH86" s="351"/>
      <c r="BI86" s="351"/>
      <c r="BJ86" s="352"/>
      <c r="BK86" s="353"/>
      <c r="BL86" s="352"/>
      <c r="BM86" s="353"/>
      <c r="BN86" s="353"/>
      <c r="BO86" s="353"/>
      <c r="BP86" s="353"/>
      <c r="BQ86" s="119"/>
      <c r="BR86" s="120"/>
      <c r="BS86" s="120"/>
      <c r="BZ86" s="113"/>
      <c r="CA86" s="113"/>
      <c r="CB86" s="113"/>
    </row>
    <row r="87" spans="1:80" ht="13.5" hidden="1" customHeight="1" outlineLevel="1">
      <c r="A87" s="128"/>
      <c r="B87" s="340" t="s">
        <v>125</v>
      </c>
      <c r="C87" s="349"/>
      <c r="D87" s="349"/>
      <c r="E87" s="349"/>
      <c r="F87" s="349"/>
      <c r="G87" s="354"/>
      <c r="H87" s="349"/>
      <c r="I87" s="349"/>
      <c r="J87" s="349"/>
      <c r="K87" s="349"/>
      <c r="L87" s="354"/>
      <c r="M87" s="355"/>
      <c r="N87" s="355"/>
      <c r="O87" s="355"/>
      <c r="P87" s="355"/>
      <c r="Q87" s="356"/>
      <c r="R87" s="355"/>
      <c r="S87" s="355"/>
      <c r="T87" s="355"/>
      <c r="U87" s="355"/>
      <c r="V87" s="354"/>
      <c r="W87" s="355"/>
      <c r="X87" s="355">
        <v>0</v>
      </c>
      <c r="Y87" s="355"/>
      <c r="Z87" s="355"/>
      <c r="AA87" s="354"/>
      <c r="AB87" s="355">
        <f>+AB81/AB88</f>
        <v>0</v>
      </c>
      <c r="AC87" s="355">
        <f>+AC81/AC88</f>
        <v>0</v>
      </c>
      <c r="AD87" s="355">
        <f>+AD81/AD88</f>
        <v>0</v>
      </c>
      <c r="AE87" s="355">
        <f>+AE81/AE88</f>
        <v>0</v>
      </c>
      <c r="AF87" s="354"/>
      <c r="AG87" s="355">
        <f>+AG81/AG88</f>
        <v>0</v>
      </c>
      <c r="AH87" s="355">
        <f>+AH81/AH88</f>
        <v>0</v>
      </c>
      <c r="AI87" s="355">
        <f>+AI81/AI88</f>
        <v>3.52035203520352</v>
      </c>
      <c r="AJ87" s="355">
        <f>+AJ81/AJ88</f>
        <v>1.1001100110011</v>
      </c>
      <c r="AK87" s="354"/>
      <c r="AL87" s="355">
        <f>+AL81/AL88</f>
        <v>0</v>
      </c>
      <c r="AM87" s="355">
        <f>+AM81/AM88</f>
        <v>0</v>
      </c>
      <c r="AN87" s="355">
        <f>+AN81/AN88</f>
        <v>0</v>
      </c>
      <c r="AO87" s="355">
        <f>+AO81/AO88</f>
        <v>1.6162745762711865E-2</v>
      </c>
      <c r="AP87" s="354"/>
      <c r="AQ87" s="355">
        <f>AQ86/AQ88</f>
        <v>3.922518159806295</v>
      </c>
      <c r="AR87" s="355">
        <f>AR86/AR88</f>
        <v>3.8252139429421885</v>
      </c>
      <c r="AS87" s="1253">
        <f>AS86/AS88</f>
        <v>3.8252139429421885</v>
      </c>
      <c r="AT87" s="355">
        <f>AT86/AT88</f>
        <v>3.8252139429421885</v>
      </c>
      <c r="AU87" s="354"/>
      <c r="AV87" s="355"/>
      <c r="AW87" s="355"/>
      <c r="AX87" s="355"/>
      <c r="AY87" s="355"/>
      <c r="AZ87" s="354"/>
      <c r="BA87" s="355"/>
      <c r="BB87" s="355"/>
      <c r="BC87" s="355"/>
      <c r="BD87" s="355"/>
      <c r="BE87" s="354"/>
      <c r="BF87" s="355"/>
      <c r="BG87" s="355"/>
      <c r="BH87" s="355"/>
      <c r="BI87" s="355"/>
      <c r="BJ87" s="354"/>
      <c r="BK87" s="357"/>
      <c r="BL87" s="354"/>
      <c r="BM87" s="357"/>
      <c r="BN87" s="357"/>
      <c r="BO87" s="357"/>
      <c r="BP87" s="357"/>
      <c r="BQ87" s="119"/>
      <c r="BR87" s="120"/>
      <c r="BS87" s="120"/>
      <c r="BZ87" s="113"/>
      <c r="CA87" s="113"/>
      <c r="CB87" s="113"/>
    </row>
    <row r="88" spans="1:80" ht="13.5" hidden="1" customHeight="1" outlineLevel="1">
      <c r="A88" s="113"/>
      <c r="B88" s="340" t="s">
        <v>126</v>
      </c>
      <c r="C88" s="358"/>
      <c r="D88" s="358"/>
      <c r="E88" s="358"/>
      <c r="F88" s="358"/>
      <c r="G88" s="155"/>
      <c r="H88" s="358"/>
      <c r="I88" s="358"/>
      <c r="J88" s="358"/>
      <c r="K88" s="358"/>
      <c r="L88" s="155"/>
      <c r="M88" s="358"/>
      <c r="N88" s="358"/>
      <c r="O88" s="358"/>
      <c r="P88" s="358"/>
      <c r="Q88" s="155"/>
      <c r="R88" s="358"/>
      <c r="S88" s="358"/>
      <c r="T88" s="358"/>
      <c r="U88" s="358"/>
      <c r="V88" s="155"/>
      <c r="W88" s="359"/>
      <c r="X88" s="360">
        <v>22.918749999999999</v>
      </c>
      <c r="Y88" s="359"/>
      <c r="Z88" s="359"/>
      <c r="AA88" s="161"/>
      <c r="AB88" s="359">
        <v>30.75</v>
      </c>
      <c r="AC88" s="359">
        <f>+AB88</f>
        <v>30.75</v>
      </c>
      <c r="AD88" s="359">
        <f>+AC88</f>
        <v>30.75</v>
      </c>
      <c r="AE88" s="359">
        <f>+AD88</f>
        <v>30.75</v>
      </c>
      <c r="AF88" s="161"/>
      <c r="AG88" s="359">
        <f>+AE88</f>
        <v>30.75</v>
      </c>
      <c r="AH88" s="359">
        <f>+AG88</f>
        <v>30.75</v>
      </c>
      <c r="AI88" s="359">
        <v>45.45</v>
      </c>
      <c r="AJ88" s="359">
        <f>+AI88</f>
        <v>45.45</v>
      </c>
      <c r="AK88" s="161"/>
      <c r="AL88" s="359">
        <v>46</v>
      </c>
      <c r="AM88" s="359">
        <v>59</v>
      </c>
      <c r="AN88" s="359">
        <v>59</v>
      </c>
      <c r="AO88" s="359">
        <f>+AN88</f>
        <v>59</v>
      </c>
      <c r="AP88" s="161"/>
      <c r="AQ88" s="1244">
        <f>+AO88*1.05</f>
        <v>61.95</v>
      </c>
      <c r="AR88" s="1244">
        <f>((65.74*138)+(63.34*1644))/(1644+138)</f>
        <v>63.525858585858586</v>
      </c>
      <c r="AS88" s="1254">
        <f>+AR88</f>
        <v>63.525858585858586</v>
      </c>
      <c r="AT88" s="359">
        <f>+AS88</f>
        <v>63.525858585858586</v>
      </c>
      <c r="AU88" s="161"/>
      <c r="AV88" s="359"/>
      <c r="AW88" s="359">
        <v>727</v>
      </c>
      <c r="AX88" s="359">
        <v>364</v>
      </c>
      <c r="AY88" s="359"/>
      <c r="AZ88" s="161"/>
      <c r="BA88" s="359"/>
      <c r="BB88" s="359"/>
      <c r="BC88" s="359"/>
      <c r="BD88" s="359"/>
      <c r="BE88" s="161"/>
      <c r="BF88" s="359"/>
      <c r="BG88" s="359"/>
      <c r="BH88" s="359"/>
      <c r="BI88" s="359"/>
      <c r="BJ88" s="161"/>
      <c r="BK88" s="162"/>
      <c r="BL88" s="161"/>
      <c r="BM88" s="162"/>
      <c r="BN88" s="162"/>
      <c r="BO88" s="162"/>
      <c r="BP88" s="162"/>
      <c r="BQ88" s="361"/>
      <c r="BR88" s="362"/>
      <c r="BS88" s="120"/>
      <c r="BZ88" s="113"/>
      <c r="CA88" s="113"/>
      <c r="CB88" s="113"/>
    </row>
    <row r="89" spans="1:80" ht="13.5" customHeight="1" collapsed="1">
      <c r="A89" s="113"/>
      <c r="B89" s="363"/>
      <c r="C89" s="364"/>
      <c r="D89" s="364"/>
      <c r="E89" s="364"/>
      <c r="F89" s="365"/>
      <c r="G89" s="366"/>
      <c r="H89" s="365"/>
      <c r="I89" s="365"/>
      <c r="J89" s="364"/>
      <c r="K89" s="364"/>
      <c r="L89" s="367"/>
      <c r="M89" s="364"/>
      <c r="N89" s="364"/>
      <c r="O89" s="368" t="s">
        <v>127</v>
      </c>
      <c r="P89" s="364"/>
      <c r="Q89" s="366"/>
      <c r="R89" s="369"/>
      <c r="S89" s="364"/>
      <c r="T89" s="364"/>
      <c r="U89" s="364"/>
      <c r="V89" s="370"/>
      <c r="W89" s="371"/>
      <c r="X89" s="371"/>
      <c r="Y89" s="371"/>
      <c r="Z89" s="371"/>
      <c r="AA89" s="370"/>
      <c r="AB89" s="371"/>
      <c r="AC89" s="371"/>
      <c r="AD89" s="371"/>
      <c r="AE89" s="371"/>
      <c r="AF89" s="370"/>
      <c r="AG89" s="371"/>
      <c r="AH89" s="371"/>
      <c r="AI89" s="371"/>
      <c r="AJ89" s="371"/>
      <c r="AK89" s="370"/>
      <c r="AL89" s="371"/>
      <c r="AM89" s="371"/>
      <c r="AN89" s="371"/>
      <c r="AO89" s="371"/>
      <c r="AP89" s="370"/>
      <c r="AQ89" s="371"/>
      <c r="AR89" s="371"/>
      <c r="AS89" s="371"/>
      <c r="AT89" s="371"/>
      <c r="AU89" s="370"/>
      <c r="AV89" s="371"/>
      <c r="AW89" s="1264"/>
      <c r="AX89" s="1264"/>
      <c r="AY89" s="371"/>
      <c r="AZ89" s="370"/>
      <c r="BA89" s="371"/>
      <c r="BB89" s="371"/>
      <c r="BC89" s="371"/>
      <c r="BD89" s="371"/>
      <c r="BE89" s="370"/>
      <c r="BF89" s="371"/>
      <c r="BG89" s="371"/>
      <c r="BH89" s="371"/>
      <c r="BI89" s="371"/>
      <c r="BJ89" s="370"/>
      <c r="BK89" s="372"/>
      <c r="BL89" s="370"/>
      <c r="BM89" s="372"/>
      <c r="BN89" s="372"/>
      <c r="BO89" s="1236"/>
      <c r="BP89" s="372"/>
      <c r="BQ89" s="373"/>
      <c r="BR89" s="120"/>
      <c r="BS89" s="120"/>
      <c r="BZ89" s="113"/>
      <c r="CA89" s="113"/>
      <c r="CB89" s="113"/>
    </row>
    <row r="90" spans="1:80" ht="13.5" hidden="1" customHeight="1" outlineLevel="1">
      <c r="A90" s="113"/>
      <c r="B90" s="374" t="s">
        <v>128</v>
      </c>
      <c r="C90" s="364"/>
      <c r="D90" s="364"/>
      <c r="E90" s="364"/>
      <c r="F90" s="365"/>
      <c r="G90" s="366"/>
      <c r="H90" s="365"/>
      <c r="I90" s="365"/>
      <c r="J90" s="364"/>
      <c r="K90" s="364"/>
      <c r="L90" s="367"/>
      <c r="M90" s="364"/>
      <c r="N90" s="364"/>
      <c r="O90" s="368"/>
      <c r="P90" s="364"/>
      <c r="Q90" s="366"/>
      <c r="R90" s="369"/>
      <c r="S90" s="364"/>
      <c r="T90" s="364"/>
      <c r="U90" s="364"/>
      <c r="V90" s="370"/>
      <c r="W90" s="371"/>
      <c r="X90" s="371"/>
      <c r="Y90" s="371"/>
      <c r="Z90" s="371"/>
      <c r="AA90" s="370"/>
      <c r="AB90" s="371"/>
      <c r="AC90" s="371"/>
      <c r="AD90" s="371"/>
      <c r="AE90" s="371"/>
      <c r="AF90" s="370"/>
      <c r="AG90" s="371"/>
      <c r="AH90" s="371"/>
      <c r="AI90" s="371"/>
      <c r="AJ90" s="371"/>
      <c r="AK90" s="370"/>
      <c r="AL90" s="371"/>
      <c r="AM90" s="371"/>
      <c r="AN90" s="371"/>
      <c r="AO90" s="371"/>
      <c r="AP90" s="370"/>
      <c r="AQ90" s="371"/>
      <c r="AR90" s="371"/>
      <c r="AS90" s="371"/>
      <c r="AT90" s="371"/>
      <c r="AU90" s="370"/>
      <c r="AV90" s="371"/>
      <c r="AW90" s="371"/>
      <c r="AX90" s="371"/>
      <c r="AY90" s="371"/>
      <c r="AZ90" s="370"/>
      <c r="BA90" s="371"/>
      <c r="BB90" s="371"/>
      <c r="BC90" s="371"/>
      <c r="BD90" s="371"/>
      <c r="BE90" s="370"/>
      <c r="BF90" s="371"/>
      <c r="BG90" s="371"/>
      <c r="BH90" s="371"/>
      <c r="BI90" s="371"/>
      <c r="BJ90" s="370"/>
      <c r="BK90" s="372"/>
      <c r="BL90" s="370"/>
      <c r="BM90" s="372"/>
      <c r="BN90" s="372"/>
      <c r="BO90" s="372"/>
      <c r="BP90" s="372"/>
      <c r="BQ90" s="373"/>
      <c r="BR90" s="120"/>
      <c r="BS90" s="120"/>
      <c r="BZ90" s="113"/>
      <c r="CA90" s="113"/>
      <c r="CB90" s="113"/>
    </row>
    <row r="91" spans="1:80" ht="13.5" hidden="1" customHeight="1" outlineLevel="1">
      <c r="A91" s="113"/>
      <c r="B91" s="375" t="s">
        <v>129</v>
      </c>
      <c r="C91" s="376"/>
      <c r="D91" s="376"/>
      <c r="E91" s="376"/>
      <c r="F91" s="376"/>
      <c r="G91" s="377">
        <v>0</v>
      </c>
      <c r="H91" s="376"/>
      <c r="I91" s="376"/>
      <c r="J91" s="376"/>
      <c r="K91" s="376"/>
      <c r="L91" s="314">
        <f>SUM(H91:K91)</f>
        <v>0</v>
      </c>
      <c r="M91" s="376"/>
      <c r="N91" s="376"/>
      <c r="O91" s="376"/>
      <c r="P91" s="376"/>
      <c r="Q91" s="314">
        <f>SUM(M91:P91)</f>
        <v>0</v>
      </c>
      <c r="R91" s="376"/>
      <c r="S91" s="376"/>
      <c r="T91" s="376"/>
      <c r="U91" s="376"/>
      <c r="V91" s="314">
        <f>SUM(R91:U91)</f>
        <v>0</v>
      </c>
      <c r="W91" s="376"/>
      <c r="X91" s="376"/>
      <c r="Y91" s="376"/>
      <c r="Z91" s="378">
        <f>2.45*0.666666666666667</f>
        <v>1.6333333333333342</v>
      </c>
      <c r="AA91" s="314">
        <f>SUM(W91:Z91)</f>
        <v>1.6333333333333342</v>
      </c>
      <c r="AB91" s="378">
        <v>2.4500000000000002</v>
      </c>
      <c r="AC91" s="378">
        <f>AB91</f>
        <v>2.4500000000000002</v>
      </c>
      <c r="AD91" s="378">
        <f>AC91</f>
        <v>2.4500000000000002</v>
      </c>
      <c r="AE91" s="378">
        <f>AD91</f>
        <v>2.4500000000000002</v>
      </c>
      <c r="AF91" s="314">
        <f>SUM(AB91:AE91)</f>
        <v>9.8000000000000007</v>
      </c>
      <c r="AG91" s="378">
        <f>AE91</f>
        <v>2.4500000000000002</v>
      </c>
      <c r="AH91" s="378">
        <f>AG91</f>
        <v>2.4500000000000002</v>
      </c>
      <c r="AI91" s="378">
        <f>AH91</f>
        <v>2.4500000000000002</v>
      </c>
      <c r="AJ91" s="378">
        <f>AI91</f>
        <v>2.4500000000000002</v>
      </c>
      <c r="AK91" s="314">
        <f>SUM(AG91:AJ91)</f>
        <v>9.8000000000000007</v>
      </c>
      <c r="AL91" s="378">
        <f>AJ91</f>
        <v>2.4500000000000002</v>
      </c>
      <c r="AM91" s="378">
        <f>AL91</f>
        <v>2.4500000000000002</v>
      </c>
      <c r="AN91" s="378">
        <f>AM91</f>
        <v>2.4500000000000002</v>
      </c>
      <c r="AO91" s="378">
        <f>AN91</f>
        <v>2.4500000000000002</v>
      </c>
      <c r="AP91" s="314">
        <f>SUM(AL91:AO91)</f>
        <v>9.8000000000000007</v>
      </c>
      <c r="AQ91" s="378">
        <f>AO91</f>
        <v>2.4500000000000002</v>
      </c>
      <c r="AR91" s="378">
        <f>AQ91</f>
        <v>2.4500000000000002</v>
      </c>
      <c r="AS91" s="378">
        <f>AR91</f>
        <v>2.4500000000000002</v>
      </c>
      <c r="AT91" s="378">
        <f>AS91</f>
        <v>2.4500000000000002</v>
      </c>
      <c r="AU91" s="314">
        <f>SUM(AQ91:AT91)</f>
        <v>9.8000000000000007</v>
      </c>
      <c r="AV91" s="378">
        <f>AT91</f>
        <v>2.4500000000000002</v>
      </c>
      <c r="AW91" s="378"/>
      <c r="AX91" s="378"/>
      <c r="AY91" s="378">
        <f>AX91</f>
        <v>0</v>
      </c>
      <c r="AZ91" s="314">
        <f>SUM(AV91:AY91)</f>
        <v>2.4500000000000002</v>
      </c>
      <c r="BA91" s="378">
        <f>AY91</f>
        <v>0</v>
      </c>
      <c r="BB91" s="378">
        <f>BA91</f>
        <v>0</v>
      </c>
      <c r="BC91" s="378">
        <f>BB91</f>
        <v>0</v>
      </c>
      <c r="BD91" s="378">
        <f>BC91</f>
        <v>0</v>
      </c>
      <c r="BE91" s="314">
        <f>SUM(BA91:BD91)</f>
        <v>0</v>
      </c>
      <c r="BF91" s="378">
        <f>BD91</f>
        <v>0</v>
      </c>
      <c r="BG91" s="378">
        <f>BF91</f>
        <v>0</v>
      </c>
      <c r="BH91" s="378">
        <f>BG91</f>
        <v>0</v>
      </c>
      <c r="BI91" s="378">
        <f>BH91</f>
        <v>0</v>
      </c>
      <c r="BJ91" s="314">
        <f>SUM(BF91:BI91)</f>
        <v>0</v>
      </c>
      <c r="BK91" s="372"/>
      <c r="BL91" s="314"/>
      <c r="BM91" s="372"/>
      <c r="BN91" s="372"/>
      <c r="BO91" s="372"/>
      <c r="BP91" s="372"/>
      <c r="BQ91" s="373"/>
      <c r="BR91" s="120"/>
      <c r="BS91" s="120"/>
      <c r="BZ91" s="113"/>
      <c r="CA91" s="113"/>
      <c r="CB91" s="113"/>
    </row>
    <row r="92" spans="1:80" ht="13.5" hidden="1" customHeight="1" outlineLevel="1">
      <c r="A92" s="113"/>
      <c r="B92" s="379" t="s">
        <v>130</v>
      </c>
      <c r="C92" s="380">
        <f t="shared" ref="C92:AZ92" si="102">C69-C91</f>
        <v>23.000999999999994</v>
      </c>
      <c r="D92" s="381">
        <f t="shared" si="102"/>
        <v>33.517500000000013</v>
      </c>
      <c r="E92" s="381">
        <f t="shared" si="102"/>
        <v>36.83850000000001</v>
      </c>
      <c r="F92" s="381">
        <f t="shared" si="102"/>
        <v>37.453499999999998</v>
      </c>
      <c r="G92" s="382">
        <f t="shared" si="102"/>
        <v>130.81049999999993</v>
      </c>
      <c r="H92" s="381">
        <f t="shared" si="102"/>
        <v>30.196500000000007</v>
      </c>
      <c r="I92" s="381">
        <f t="shared" si="102"/>
        <v>37.883999999999993</v>
      </c>
      <c r="J92" s="381">
        <f t="shared" si="102"/>
        <v>39.790500000000009</v>
      </c>
      <c r="K92" s="381">
        <f t="shared" si="102"/>
        <v>44.956500000000013</v>
      </c>
      <c r="L92" s="382">
        <f t="shared" si="102"/>
        <v>152.8274999999999</v>
      </c>
      <c r="M92" s="381">
        <f t="shared" si="102"/>
        <v>32.490450000000024</v>
      </c>
      <c r="N92" s="381">
        <f t="shared" si="102"/>
        <v>45.983550000000022</v>
      </c>
      <c r="O92" s="381">
        <f t="shared" si="102"/>
        <v>47.158200000000008</v>
      </c>
      <c r="P92" s="381">
        <f t="shared" si="102"/>
        <v>58.540620000000018</v>
      </c>
      <c r="Q92" s="382">
        <f t="shared" si="102"/>
        <v>184.17281999999992</v>
      </c>
      <c r="R92" s="381">
        <f t="shared" si="102"/>
        <v>42.364000000000019</v>
      </c>
      <c r="S92" s="381">
        <f t="shared" si="102"/>
        <v>67.95600000000006</v>
      </c>
      <c r="T92" s="381">
        <f t="shared" si="102"/>
        <v>68.118999999999943</v>
      </c>
      <c r="U92" s="381">
        <f t="shared" si="102"/>
        <v>81.569999999999965</v>
      </c>
      <c r="V92" s="382">
        <f t="shared" si="102"/>
        <v>260.00899999999996</v>
      </c>
      <c r="W92" s="381">
        <f t="shared" si="102"/>
        <v>67.40100000000001</v>
      </c>
      <c r="X92" s="381">
        <f t="shared" si="102"/>
        <v>82.713999999999984</v>
      </c>
      <c r="Y92" s="381">
        <f t="shared" si="102"/>
        <v>79.968000000000018</v>
      </c>
      <c r="Z92" s="381">
        <f t="shared" si="102"/>
        <v>88.801666666666662</v>
      </c>
      <c r="AA92" s="382">
        <f t="shared" si="102"/>
        <v>318.88466666666659</v>
      </c>
      <c r="AB92" s="381">
        <f t="shared" si="102"/>
        <v>75.171999999999983</v>
      </c>
      <c r="AC92" s="381">
        <f>AC69-AC91</f>
        <v>90.587999999999951</v>
      </c>
      <c r="AD92" s="381">
        <f t="shared" si="102"/>
        <v>94.601999999999975</v>
      </c>
      <c r="AE92" s="381">
        <f t="shared" si="102"/>
        <v>102.82099999999998</v>
      </c>
      <c r="AF92" s="382">
        <f t="shared" si="102"/>
        <v>363.18299999999999</v>
      </c>
      <c r="AG92" s="381">
        <f t="shared" si="102"/>
        <v>86.957999999999956</v>
      </c>
      <c r="AH92" s="381">
        <f t="shared" si="102"/>
        <v>110.32099999999994</v>
      </c>
      <c r="AI92" s="381">
        <f t="shared" si="102"/>
        <v>116.092</v>
      </c>
      <c r="AJ92" s="381">
        <f t="shared" si="102"/>
        <v>125.956</v>
      </c>
      <c r="AK92" s="382">
        <f t="shared" si="102"/>
        <v>440.82799999999992</v>
      </c>
      <c r="AL92" s="381">
        <f t="shared" si="102"/>
        <v>107.95299999999999</v>
      </c>
      <c r="AM92" s="381">
        <f t="shared" si="102"/>
        <v>135.98799999999997</v>
      </c>
      <c r="AN92" s="381">
        <f t="shared" si="102"/>
        <v>138.41399999999999</v>
      </c>
      <c r="AO92" s="381">
        <f t="shared" si="102"/>
        <v>145.292</v>
      </c>
      <c r="AP92" s="382">
        <f t="shared" si="102"/>
        <v>527.64700000000005</v>
      </c>
      <c r="AQ92" s="381">
        <f t="shared" si="102"/>
        <v>132.23600000000008</v>
      </c>
      <c r="AR92" s="381">
        <f t="shared" si="102"/>
        <v>162.27399999999989</v>
      </c>
      <c r="AS92" s="381">
        <f t="shared" si="102"/>
        <v>165.52300000000002</v>
      </c>
      <c r="AT92" s="381">
        <f t="shared" si="102"/>
        <v>171.29500000000013</v>
      </c>
      <c r="AU92" s="382">
        <f t="shared" si="102"/>
        <v>631.32800000000009</v>
      </c>
      <c r="AV92" s="381">
        <f t="shared" si="102"/>
        <v>238.27807413609878</v>
      </c>
      <c r="AW92" s="381"/>
      <c r="AX92" s="381"/>
      <c r="AY92" s="381">
        <f t="shared" si="102"/>
        <v>331.15740053001002</v>
      </c>
      <c r="AZ92" s="382">
        <f t="shared" si="102"/>
        <v>1178.1573254978905</v>
      </c>
      <c r="BA92" s="381">
        <f t="shared" ref="BA92:BJ92" si="103">BA69-BA91</f>
        <v>307.39836350763881</v>
      </c>
      <c r="BB92" s="381">
        <f t="shared" si="103"/>
        <v>341.69311131707627</v>
      </c>
      <c r="BC92" s="381">
        <f t="shared" si="103"/>
        <v>366.87643051141151</v>
      </c>
      <c r="BD92" s="381">
        <f t="shared" si="103"/>
        <v>387.25927520050107</v>
      </c>
      <c r="BE92" s="382">
        <f t="shared" si="103"/>
        <v>1403.2271805366286</v>
      </c>
      <c r="BF92" s="381">
        <f t="shared" si="103"/>
        <v>359.0247498224727</v>
      </c>
      <c r="BG92" s="381">
        <f t="shared" si="103"/>
        <v>396.71955704111627</v>
      </c>
      <c r="BH92" s="381">
        <f t="shared" si="103"/>
        <v>423.80426377389324</v>
      </c>
      <c r="BI92" s="381">
        <f t="shared" si="103"/>
        <v>446.29785761887877</v>
      </c>
      <c r="BJ92" s="382">
        <f t="shared" si="103"/>
        <v>1625.8464282563609</v>
      </c>
      <c r="BK92" s="372"/>
      <c r="BL92" s="382"/>
      <c r="BM92" s="372"/>
      <c r="BN92" s="372"/>
      <c r="BO92" s="372"/>
      <c r="BP92" s="372"/>
      <c r="BQ92" s="373"/>
      <c r="BR92" s="120"/>
      <c r="BS92" s="120"/>
      <c r="BZ92" s="113"/>
      <c r="CA92" s="113"/>
      <c r="CB92" s="113"/>
    </row>
    <row r="93" spans="1:80" ht="13.5" hidden="1" customHeight="1" outlineLevel="1" thickBot="1">
      <c r="A93" s="113"/>
      <c r="B93" s="383" t="s">
        <v>131</v>
      </c>
      <c r="C93" s="384"/>
      <c r="D93" s="384"/>
      <c r="E93" s="384"/>
      <c r="F93" s="384"/>
      <c r="G93" s="385"/>
      <c r="H93" s="384"/>
      <c r="I93" s="384"/>
      <c r="J93" s="384"/>
      <c r="K93" s="384"/>
      <c r="L93" s="385">
        <f t="shared" ref="L93:AZ93" si="104">L92/L76</f>
        <v>0.72016906489212951</v>
      </c>
      <c r="M93" s="384">
        <f t="shared" si="104"/>
        <v>0.15310475532495474</v>
      </c>
      <c r="N93" s="384">
        <f t="shared" si="104"/>
        <v>0.2166882936900788</v>
      </c>
      <c r="O93" s="384">
        <f t="shared" si="104"/>
        <v>0.22222359716671444</v>
      </c>
      <c r="P93" s="384">
        <f t="shared" si="104"/>
        <v>0.27586097766177903</v>
      </c>
      <c r="Q93" s="385">
        <f t="shared" si="104"/>
        <v>0.86787762384352629</v>
      </c>
      <c r="R93" s="384">
        <f t="shared" si="104"/>
        <v>0.19954354813731873</v>
      </c>
      <c r="S93" s="384">
        <f t="shared" si="104"/>
        <v>0.31753266595807011</v>
      </c>
      <c r="T93" s="384">
        <f t="shared" si="104"/>
        <v>0.31676429469736617</v>
      </c>
      <c r="U93" s="384">
        <f t="shared" si="104"/>
        <v>0.3816591092517142</v>
      </c>
      <c r="V93" s="385">
        <f t="shared" si="104"/>
        <v>1.2162908331391524</v>
      </c>
      <c r="W93" s="384">
        <f t="shared" si="104"/>
        <v>0.31409961389108892</v>
      </c>
      <c r="X93" s="384">
        <f t="shared" si="104"/>
        <v>0.39785092200702982</v>
      </c>
      <c r="Y93" s="384">
        <f t="shared" si="104"/>
        <v>0.39782894682576958</v>
      </c>
      <c r="Z93" s="384">
        <f t="shared" si="104"/>
        <v>0.44277304524214273</v>
      </c>
      <c r="AA93" s="385">
        <f t="shared" si="104"/>
        <v>1.5478790420113351</v>
      </c>
      <c r="AB93" s="384">
        <f t="shared" si="104"/>
        <v>0.37784372299776636</v>
      </c>
      <c r="AC93" s="384">
        <f t="shared" si="104"/>
        <v>0.45635093574359364</v>
      </c>
      <c r="AD93" s="384">
        <f t="shared" si="104"/>
        <v>0.47372295778870149</v>
      </c>
      <c r="AE93" s="384">
        <f t="shared" si="104"/>
        <v>0.51556817474640759</v>
      </c>
      <c r="AF93" s="385">
        <f t="shared" si="104"/>
        <v>1.8236964757816183</v>
      </c>
      <c r="AG93" s="384">
        <f t="shared" si="104"/>
        <v>0.43324086497152975</v>
      </c>
      <c r="AH93" s="384">
        <f t="shared" si="104"/>
        <v>0.54659960431244325</v>
      </c>
      <c r="AI93" s="384">
        <f t="shared" si="104"/>
        <v>0.57500030312182193</v>
      </c>
      <c r="AJ93" s="384">
        <f t="shared" si="104"/>
        <v>0.63447652850405811</v>
      </c>
      <c r="AK93" s="385">
        <f t="shared" si="104"/>
        <v>2.1960005596108112</v>
      </c>
      <c r="AL93" s="384">
        <f t="shared" si="104"/>
        <v>0.54860347654921504</v>
      </c>
      <c r="AM93" s="384">
        <f t="shared" si="104"/>
        <v>0.68939082783621941</v>
      </c>
      <c r="AN93" s="384">
        <f t="shared" si="104"/>
        <v>0.70139089228313878</v>
      </c>
      <c r="AO93" s="384">
        <f t="shared" si="104"/>
        <v>0.73660971580975398</v>
      </c>
      <c r="AP93" s="385">
        <f t="shared" si="104"/>
        <v>2.6762972560862286</v>
      </c>
      <c r="AQ93" s="384">
        <f t="shared" si="104"/>
        <v>0.66956062248742654</v>
      </c>
      <c r="AR93" s="384">
        <f t="shared" si="104"/>
        <v>0.82141823679285675</v>
      </c>
      <c r="AS93" s="384">
        <f t="shared" si="104"/>
        <v>0.88740639759843631</v>
      </c>
      <c r="AT93" s="384">
        <f t="shared" si="104"/>
        <v>0.95896325846438901</v>
      </c>
      <c r="AU93" s="385">
        <f t="shared" si="104"/>
        <v>3.3219057276258437</v>
      </c>
      <c r="AV93" s="384">
        <f t="shared" si="104"/>
        <v>0.75018631121474011</v>
      </c>
      <c r="AW93" s="384"/>
      <c r="AX93" s="384"/>
      <c r="AY93" s="384">
        <f t="shared" si="104"/>
        <v>1.0416204965711808</v>
      </c>
      <c r="AZ93" s="385">
        <f t="shared" si="104"/>
        <v>3.7075182088720684</v>
      </c>
      <c r="BA93" s="384">
        <f t="shared" ref="BA93:BJ93" si="105">BA92/BA76</f>
        <v>0.96673692594449656</v>
      </c>
      <c r="BB93" s="384">
        <f t="shared" si="105"/>
        <v>1.0742526157779251</v>
      </c>
      <c r="BC93" s="384">
        <f t="shared" si="105"/>
        <v>1.1530642084099207</v>
      </c>
      <c r="BD93" s="384">
        <f t="shared" si="105"/>
        <v>1.2167434976632641</v>
      </c>
      <c r="BE93" s="385">
        <f t="shared" si="105"/>
        <v>4.4109275158973205</v>
      </c>
      <c r="BF93" s="384">
        <f t="shared" si="105"/>
        <v>1.1276781430626039</v>
      </c>
      <c r="BG93" s="384">
        <f t="shared" si="105"/>
        <v>1.2456843170955019</v>
      </c>
      <c r="BH93" s="384">
        <f t="shared" si="105"/>
        <v>1.3303115531125436</v>
      </c>
      <c r="BI93" s="384">
        <f t="shared" si="105"/>
        <v>1.4004788048169223</v>
      </c>
      <c r="BJ93" s="385">
        <f t="shared" si="105"/>
        <v>5.1042945697029261</v>
      </c>
      <c r="BK93" s="372"/>
      <c r="BL93" s="385"/>
      <c r="BM93" s="372"/>
      <c r="BN93" s="372"/>
      <c r="BO93" s="372"/>
      <c r="BP93" s="372"/>
      <c r="BQ93" s="373"/>
      <c r="BR93" s="120"/>
      <c r="BS93" s="120"/>
      <c r="BZ93" s="113"/>
      <c r="CA93" s="113"/>
      <c r="CB93" s="113"/>
    </row>
    <row r="94" spans="1:80" ht="13.5" customHeight="1" collapsed="1">
      <c r="A94" s="372"/>
      <c r="B94" s="386"/>
      <c r="C94" s="372"/>
      <c r="D94" s="372"/>
      <c r="E94" s="372"/>
      <c r="F94" s="372"/>
      <c r="G94" s="370"/>
      <c r="H94" s="372"/>
      <c r="I94" s="372"/>
      <c r="J94" s="372"/>
      <c r="K94" s="372"/>
      <c r="L94" s="370"/>
      <c r="M94" s="372"/>
      <c r="N94" s="372"/>
      <c r="O94" s="372"/>
      <c r="P94" s="372"/>
      <c r="Q94" s="370"/>
      <c r="R94" s="372"/>
      <c r="S94" s="372"/>
      <c r="T94" s="372"/>
      <c r="U94" s="372"/>
      <c r="V94" s="370"/>
      <c r="W94" s="372"/>
      <c r="X94" s="372"/>
      <c r="Y94" s="372"/>
      <c r="Z94" s="372"/>
      <c r="AA94" s="370"/>
      <c r="AB94" s="372"/>
      <c r="AC94" s="372"/>
      <c r="AD94" s="372"/>
      <c r="AE94" s="372"/>
      <c r="AF94" s="370"/>
      <c r="AG94" s="372"/>
      <c r="AH94" s="372"/>
      <c r="AI94" s="372"/>
      <c r="AJ94" s="372"/>
      <c r="AK94" s="370"/>
      <c r="AL94" s="372"/>
      <c r="AM94" s="372"/>
      <c r="AN94" s="372"/>
      <c r="AO94" s="372"/>
      <c r="AP94" s="370"/>
      <c r="AQ94" s="372"/>
      <c r="AR94" s="372"/>
      <c r="AS94" s="372"/>
      <c r="AT94" s="372"/>
      <c r="AU94" s="370"/>
      <c r="AV94" s="372"/>
      <c r="AW94" s="1265"/>
      <c r="AX94" s="372"/>
      <c r="AY94" s="372"/>
      <c r="AZ94" s="370"/>
      <c r="BA94" s="372"/>
      <c r="BB94" s="372"/>
      <c r="BC94" s="372"/>
      <c r="BD94" s="372"/>
      <c r="BE94" s="370"/>
      <c r="BF94" s="372"/>
      <c r="BG94" s="372"/>
      <c r="BH94" s="372"/>
      <c r="BI94" s="372"/>
      <c r="BJ94" s="370"/>
      <c r="BK94" s="372"/>
      <c r="BL94" s="370"/>
      <c r="BM94" s="372"/>
      <c r="BN94" s="372"/>
      <c r="BO94" s="372"/>
      <c r="BP94" s="372"/>
      <c r="BQ94" s="373"/>
      <c r="BR94" s="120"/>
      <c r="BS94" s="120"/>
      <c r="BZ94" s="113"/>
      <c r="CA94" s="113"/>
      <c r="CB94" s="113"/>
    </row>
    <row r="95" spans="1:80" ht="13.5" customHeight="1">
      <c r="A95" s="372"/>
      <c r="B95" s="387"/>
      <c r="C95" s="372"/>
      <c r="D95" s="372"/>
      <c r="E95" s="372"/>
      <c r="F95" s="372"/>
      <c r="G95" s="370"/>
      <c r="H95" s="372"/>
      <c r="I95" s="372"/>
      <c r="J95" s="372"/>
      <c r="K95" s="372"/>
      <c r="L95" s="370"/>
      <c r="M95" s="372"/>
      <c r="N95" s="372"/>
      <c r="O95" s="372"/>
      <c r="P95" s="372"/>
      <c r="Q95" s="370"/>
      <c r="R95" s="372"/>
      <c r="S95" s="372"/>
      <c r="T95" s="372"/>
      <c r="U95" s="372"/>
      <c r="V95" s="370"/>
      <c r="W95" s="372"/>
      <c r="X95" s="372"/>
      <c r="Y95" s="372"/>
      <c r="Z95" s="372"/>
      <c r="AA95" s="370"/>
      <c r="AB95" s="372"/>
      <c r="AC95" s="372"/>
      <c r="AD95" s="372"/>
      <c r="AE95" s="372"/>
      <c r="AF95" s="370"/>
      <c r="AG95" s="372"/>
      <c r="AH95" s="372"/>
      <c r="AI95" s="372"/>
      <c r="AJ95" s="372"/>
      <c r="AK95" s="370"/>
      <c r="AL95" s="372"/>
      <c r="AM95" s="372"/>
      <c r="AN95" s="372"/>
      <c r="AO95" s="372"/>
      <c r="AP95" s="370"/>
      <c r="AQ95" s="372"/>
      <c r="AR95" s="372"/>
      <c r="AS95" s="372"/>
      <c r="AT95" s="372"/>
      <c r="AU95" s="370"/>
      <c r="AV95" s="372"/>
      <c r="AW95" s="372"/>
      <c r="AX95" s="372"/>
      <c r="AY95" s="372"/>
      <c r="AZ95" s="370"/>
      <c r="BA95" s="372"/>
      <c r="BB95" s="372"/>
      <c r="BC95" s="372"/>
      <c r="BD95" s="372"/>
      <c r="BE95" s="370"/>
      <c r="BF95" s="372"/>
      <c r="BG95" s="372"/>
      <c r="BH95" s="372"/>
      <c r="BI95" s="372"/>
      <c r="BJ95" s="370"/>
      <c r="BK95" s="372"/>
      <c r="BL95" s="370"/>
      <c r="BM95" s="372"/>
      <c r="BN95" s="372"/>
      <c r="BO95" s="372"/>
      <c r="BP95" s="372"/>
      <c r="BQ95" s="373"/>
      <c r="BR95" s="120"/>
      <c r="BS95" s="120"/>
      <c r="BZ95" s="113"/>
      <c r="CA95" s="113"/>
      <c r="CB95" s="113"/>
    </row>
    <row r="96" spans="1:80" ht="13.5" hidden="1" customHeight="1" outlineLevel="1">
      <c r="A96" s="372"/>
      <c r="B96" s="388" t="s">
        <v>132</v>
      </c>
      <c r="C96" s="372"/>
      <c r="D96" s="372"/>
      <c r="E96" s="372"/>
      <c r="F96" s="372"/>
      <c r="G96" s="370"/>
      <c r="H96" s="372"/>
      <c r="I96" s="372"/>
      <c r="J96" s="372"/>
      <c r="K96" s="372"/>
      <c r="L96" s="370"/>
      <c r="M96" s="372"/>
      <c r="N96" s="372"/>
      <c r="O96" s="372"/>
      <c r="P96" s="372"/>
      <c r="Q96" s="370"/>
      <c r="R96" s="372"/>
      <c r="S96" s="372"/>
      <c r="T96" s="372"/>
      <c r="U96" s="372"/>
      <c r="V96" s="370"/>
      <c r="W96" s="372"/>
      <c r="X96" s="372"/>
      <c r="Y96" s="372"/>
      <c r="Z96" s="372"/>
      <c r="AA96" s="370"/>
      <c r="AB96" s="372"/>
      <c r="AC96" s="372"/>
      <c r="AD96" s="372"/>
      <c r="AE96" s="372"/>
      <c r="AF96" s="169">
        <f t="shared" ref="AF96:AZ96" si="106">+AF69</f>
        <v>372.983</v>
      </c>
      <c r="AG96" s="168">
        <f t="shared" si="106"/>
        <v>89.407999999999959</v>
      </c>
      <c r="AH96" s="168">
        <f t="shared" si="106"/>
        <v>112.77099999999994</v>
      </c>
      <c r="AI96" s="168">
        <f t="shared" si="106"/>
        <v>118.542</v>
      </c>
      <c r="AJ96" s="168">
        <f t="shared" si="106"/>
        <v>128.40600000000001</v>
      </c>
      <c r="AK96" s="169">
        <f t="shared" si="106"/>
        <v>450.62799999999993</v>
      </c>
      <c r="AL96" s="168">
        <f t="shared" si="106"/>
        <v>110.40299999999999</v>
      </c>
      <c r="AM96" s="168">
        <f t="shared" si="106"/>
        <v>138.43799999999996</v>
      </c>
      <c r="AN96" s="168">
        <f t="shared" si="106"/>
        <v>140.86399999999998</v>
      </c>
      <c r="AO96" s="168">
        <f t="shared" si="106"/>
        <v>147.74199999999999</v>
      </c>
      <c r="AP96" s="169">
        <f t="shared" si="106"/>
        <v>537.447</v>
      </c>
      <c r="AQ96" s="168">
        <f t="shared" si="106"/>
        <v>134.68600000000006</v>
      </c>
      <c r="AR96" s="168">
        <f>+AR69</f>
        <v>164.72399999999988</v>
      </c>
      <c r="AS96" s="168">
        <f t="shared" si="106"/>
        <v>167.97300000000001</v>
      </c>
      <c r="AT96" s="168">
        <f t="shared" si="106"/>
        <v>173.74500000000012</v>
      </c>
      <c r="AU96" s="169">
        <f t="shared" si="106"/>
        <v>641.12800000000004</v>
      </c>
      <c r="AV96" s="168">
        <f t="shared" si="106"/>
        <v>240.72807413609877</v>
      </c>
      <c r="AW96" s="168">
        <f t="shared" si="106"/>
        <v>293.85429776584192</v>
      </c>
      <c r="AX96" s="168">
        <f t="shared" si="106"/>
        <v>314.86755306593977</v>
      </c>
      <c r="AY96" s="168">
        <f t="shared" si="106"/>
        <v>331.15740053001002</v>
      </c>
      <c r="AZ96" s="169">
        <f t="shared" si="106"/>
        <v>1180.6073254978905</v>
      </c>
      <c r="BA96" s="168">
        <f t="shared" ref="BA96:BJ96" si="107">+BA69</f>
        <v>307.39836350763881</v>
      </c>
      <c r="BB96" s="168">
        <f t="shared" si="107"/>
        <v>341.69311131707627</v>
      </c>
      <c r="BC96" s="168">
        <f t="shared" si="107"/>
        <v>366.87643051141151</v>
      </c>
      <c r="BD96" s="168">
        <f t="shared" si="107"/>
        <v>387.25927520050107</v>
      </c>
      <c r="BE96" s="169">
        <f t="shared" si="107"/>
        <v>1403.2271805366286</v>
      </c>
      <c r="BF96" s="168">
        <f t="shared" si="107"/>
        <v>359.0247498224727</v>
      </c>
      <c r="BG96" s="168">
        <f t="shared" si="107"/>
        <v>396.71955704111627</v>
      </c>
      <c r="BH96" s="168">
        <f t="shared" si="107"/>
        <v>423.80426377389324</v>
      </c>
      <c r="BI96" s="168">
        <f t="shared" si="107"/>
        <v>446.29785761887877</v>
      </c>
      <c r="BJ96" s="169">
        <f t="shared" si="107"/>
        <v>1625.8464282563609</v>
      </c>
      <c r="BK96" s="372"/>
      <c r="BL96" s="169"/>
      <c r="BM96" s="372"/>
      <c r="BN96" s="372"/>
      <c r="BO96" s="372"/>
      <c r="BP96" s="372"/>
      <c r="BQ96" s="373"/>
      <c r="BR96" s="120"/>
      <c r="BS96" s="120"/>
      <c r="BZ96" s="113"/>
      <c r="CA96" s="113"/>
      <c r="CB96" s="113"/>
    </row>
    <row r="97" spans="1:80" ht="13.5" hidden="1" customHeight="1" outlineLevel="1">
      <c r="A97" s="372"/>
      <c r="B97" s="388" t="s">
        <v>133</v>
      </c>
      <c r="C97" s="372"/>
      <c r="D97" s="372"/>
      <c r="E97" s="372"/>
      <c r="F97" s="372"/>
      <c r="G97" s="370"/>
      <c r="H97" s="372"/>
      <c r="I97" s="372"/>
      <c r="J97" s="372"/>
      <c r="K97" s="372"/>
      <c r="L97" s="370"/>
      <c r="M97" s="372"/>
      <c r="N97" s="372"/>
      <c r="O97" s="372"/>
      <c r="P97" s="372"/>
      <c r="Q97" s="370"/>
      <c r="R97" s="372"/>
      <c r="S97" s="372"/>
      <c r="T97" s="372"/>
      <c r="U97" s="372"/>
      <c r="V97" s="370"/>
      <c r="W97" s="372"/>
      <c r="X97" s="372"/>
      <c r="Y97" s="372"/>
      <c r="Z97" s="372"/>
      <c r="AA97" s="370"/>
      <c r="AB97" s="372"/>
      <c r="AC97" s="372"/>
      <c r="AD97" s="372"/>
      <c r="AE97" s="372"/>
      <c r="AF97" s="389">
        <f t="shared" ref="AF97:AZ97" si="108">+AF104*(1-AF62)</f>
        <v>26.778600582256917</v>
      </c>
      <c r="AG97" s="168">
        <f t="shared" si="108"/>
        <v>7.4364082029159677</v>
      </c>
      <c r="AH97" s="168">
        <f t="shared" si="108"/>
        <v>3.2620800000000005</v>
      </c>
      <c r="AI97" s="168">
        <f t="shared" si="108"/>
        <v>4.5593226305268848</v>
      </c>
      <c r="AJ97" s="168">
        <f t="shared" si="108"/>
        <v>4.2491781536570947</v>
      </c>
      <c r="AK97" s="389">
        <f t="shared" si="108"/>
        <v>19.514899890735332</v>
      </c>
      <c r="AL97" s="168">
        <f t="shared" si="108"/>
        <v>5.334162563723015</v>
      </c>
      <c r="AM97" s="168">
        <f t="shared" si="108"/>
        <v>5.071111299770779</v>
      </c>
      <c r="AN97" s="168">
        <f t="shared" si="108"/>
        <v>6.1375786963017314</v>
      </c>
      <c r="AO97" s="168">
        <f t="shared" si="108"/>
        <v>6.3865599999999993</v>
      </c>
      <c r="AP97" s="389">
        <f t="shared" si="108"/>
        <v>22.929156761588029</v>
      </c>
      <c r="AQ97" s="168">
        <f t="shared" si="108"/>
        <v>6.9769157563508939</v>
      </c>
      <c r="AR97" s="168">
        <f>+AR104*(1-AR62)</f>
        <v>7.1736314773093</v>
      </c>
      <c r="AS97" s="168">
        <f>+AS104*(1-AS62)</f>
        <v>8.9701808501768134</v>
      </c>
      <c r="AT97" s="168">
        <f t="shared" si="108"/>
        <v>8.4259894845205778</v>
      </c>
      <c r="AU97" s="389">
        <f t="shared" si="108"/>
        <v>31.546499260580283</v>
      </c>
      <c r="AV97" s="168">
        <f t="shared" si="108"/>
        <v>12.16239823520274</v>
      </c>
      <c r="AW97" s="168">
        <f t="shared" si="108"/>
        <v>14.201514262912063</v>
      </c>
      <c r="AX97" s="168">
        <f t="shared" si="108"/>
        <v>14.866857724677887</v>
      </c>
      <c r="AY97" s="168">
        <f t="shared" si="108"/>
        <v>15.323122840891358</v>
      </c>
      <c r="AZ97" s="389">
        <f t="shared" si="108"/>
        <v>56.553893063684043</v>
      </c>
      <c r="BA97" s="168">
        <f t="shared" ref="BA97:BJ97" si="109">+BA104*(1-BA62)</f>
        <v>14.513130632934899</v>
      </c>
      <c r="BB97" s="168">
        <f t="shared" si="109"/>
        <v>15.635553753963677</v>
      </c>
      <c r="BC97" s="168">
        <f t="shared" si="109"/>
        <v>16.357119780140259</v>
      </c>
      <c r="BD97" s="168">
        <f t="shared" si="109"/>
        <v>16.87167065088807</v>
      </c>
      <c r="BE97" s="389">
        <f t="shared" si="109"/>
        <v>63.37747481792691</v>
      </c>
      <c r="BF97" s="168">
        <f t="shared" si="109"/>
        <v>15.916203414582718</v>
      </c>
      <c r="BG97" s="168">
        <f t="shared" si="109"/>
        <v>17.135018348636169</v>
      </c>
      <c r="BH97" s="168">
        <f t="shared" si="109"/>
        <v>17.906920055376055</v>
      </c>
      <c r="BI97" s="168">
        <f t="shared" si="109"/>
        <v>18.485430504097305</v>
      </c>
      <c r="BJ97" s="389">
        <f t="shared" si="109"/>
        <v>69.443572322692248</v>
      </c>
      <c r="BK97" s="372"/>
      <c r="BL97" s="389"/>
      <c r="BM97" s="372"/>
      <c r="BN97" s="372"/>
      <c r="BO97" s="372"/>
      <c r="BP97" s="372"/>
      <c r="BQ97" s="373"/>
      <c r="BR97" s="120"/>
      <c r="BS97" s="120"/>
      <c r="BZ97" s="113"/>
      <c r="CA97" s="113"/>
      <c r="CB97" s="113"/>
    </row>
    <row r="98" spans="1:80" ht="13.5" hidden="1" customHeight="1" outlineLevel="1">
      <c r="A98" s="372"/>
      <c r="B98" s="388" t="s">
        <v>134</v>
      </c>
      <c r="C98" s="372"/>
      <c r="D98" s="372"/>
      <c r="E98" s="372"/>
      <c r="F98" s="372"/>
      <c r="G98" s="370"/>
      <c r="H98" s="372"/>
      <c r="I98" s="372"/>
      <c r="J98" s="372"/>
      <c r="K98" s="372"/>
      <c r="L98" s="370"/>
      <c r="M98" s="372"/>
      <c r="N98" s="372"/>
      <c r="O98" s="372"/>
      <c r="P98" s="372"/>
      <c r="Q98" s="370"/>
      <c r="R98" s="372"/>
      <c r="S98" s="372"/>
      <c r="T98" s="372"/>
      <c r="U98" s="372"/>
      <c r="V98" s="370"/>
      <c r="W98" s="372"/>
      <c r="X98" s="372"/>
      <c r="Y98" s="372"/>
      <c r="Z98" s="372"/>
      <c r="AA98" s="370"/>
      <c r="AB98" s="372"/>
      <c r="AC98" s="372"/>
      <c r="AD98" s="372"/>
      <c r="AE98" s="372"/>
      <c r="AF98" s="389">
        <f t="shared" ref="AF98:AZ98" si="110">+AF96-AF97</f>
        <v>346.2043994177431</v>
      </c>
      <c r="AG98" s="168">
        <f t="shared" si="110"/>
        <v>81.971591797083988</v>
      </c>
      <c r="AH98" s="168">
        <f t="shared" si="110"/>
        <v>109.50891999999995</v>
      </c>
      <c r="AI98" s="168">
        <f t="shared" si="110"/>
        <v>113.98267736947312</v>
      </c>
      <c r="AJ98" s="168">
        <f t="shared" si="110"/>
        <v>124.15682184634291</v>
      </c>
      <c r="AK98" s="389">
        <f t="shared" si="110"/>
        <v>431.11310010926462</v>
      </c>
      <c r="AL98" s="168">
        <f t="shared" si="110"/>
        <v>105.06883743627698</v>
      </c>
      <c r="AM98" s="168">
        <f t="shared" si="110"/>
        <v>133.36688870022917</v>
      </c>
      <c r="AN98" s="168">
        <f t="shared" si="110"/>
        <v>134.72642130369823</v>
      </c>
      <c r="AO98" s="168">
        <f t="shared" si="110"/>
        <v>141.35543999999999</v>
      </c>
      <c r="AP98" s="389">
        <f t="shared" si="110"/>
        <v>514.51784323841196</v>
      </c>
      <c r="AQ98" s="168">
        <f t="shared" si="110"/>
        <v>127.70908424364917</v>
      </c>
      <c r="AR98" s="168">
        <f>+AR96-AR97</f>
        <v>157.55036852269058</v>
      </c>
      <c r="AS98" s="168">
        <f t="shared" si="110"/>
        <v>159.00281914982321</v>
      </c>
      <c r="AT98" s="168">
        <f t="shared" si="110"/>
        <v>165.31901051547953</v>
      </c>
      <c r="AU98" s="389">
        <f t="shared" si="110"/>
        <v>609.58150073941977</v>
      </c>
      <c r="AV98" s="168">
        <f t="shared" si="110"/>
        <v>228.56567590089603</v>
      </c>
      <c r="AW98" s="168">
        <f t="shared" si="110"/>
        <v>279.65278350292988</v>
      </c>
      <c r="AX98" s="168">
        <f t="shared" si="110"/>
        <v>300.00069534126186</v>
      </c>
      <c r="AY98" s="168">
        <f t="shared" si="110"/>
        <v>315.83427768911866</v>
      </c>
      <c r="AZ98" s="389">
        <f t="shared" si="110"/>
        <v>1124.0534324342066</v>
      </c>
      <c r="BA98" s="168">
        <f t="shared" ref="BA98:BJ98" si="111">+BA96-BA97</f>
        <v>292.88523287470389</v>
      </c>
      <c r="BB98" s="168">
        <f t="shared" si="111"/>
        <v>326.0575575631126</v>
      </c>
      <c r="BC98" s="168">
        <f t="shared" si="111"/>
        <v>350.51931073127128</v>
      </c>
      <c r="BD98" s="168">
        <f t="shared" si="111"/>
        <v>370.387604549613</v>
      </c>
      <c r="BE98" s="389">
        <f t="shared" si="111"/>
        <v>1339.8497057187017</v>
      </c>
      <c r="BF98" s="168">
        <f t="shared" si="111"/>
        <v>343.10854640789</v>
      </c>
      <c r="BG98" s="168">
        <f t="shared" si="111"/>
        <v>379.58453869248012</v>
      </c>
      <c r="BH98" s="168">
        <f t="shared" si="111"/>
        <v>405.89734371851716</v>
      </c>
      <c r="BI98" s="168">
        <f t="shared" si="111"/>
        <v>427.81242711478149</v>
      </c>
      <c r="BJ98" s="389">
        <f t="shared" si="111"/>
        <v>1556.4028559336687</v>
      </c>
      <c r="BK98" s="372"/>
      <c r="BL98" s="389"/>
      <c r="BM98" s="372"/>
      <c r="BN98" s="372"/>
      <c r="BO98" s="372"/>
      <c r="BP98" s="1274"/>
      <c r="BQ98" s="373"/>
      <c r="BR98" s="120"/>
      <c r="BS98" s="120"/>
      <c r="BZ98" s="113"/>
      <c r="CA98" s="113"/>
      <c r="CB98" s="113"/>
    </row>
    <row r="99" spans="1:80" ht="13.5" hidden="1" customHeight="1" outlineLevel="1">
      <c r="A99" s="372"/>
      <c r="B99" s="388" t="s">
        <v>135</v>
      </c>
      <c r="C99" s="372"/>
      <c r="D99" s="372"/>
      <c r="E99" s="372"/>
      <c r="F99" s="372"/>
      <c r="G99" s="370"/>
      <c r="H99" s="372"/>
      <c r="I99" s="372"/>
      <c r="J99" s="372"/>
      <c r="K99" s="372"/>
      <c r="L99" s="370"/>
      <c r="M99" s="372"/>
      <c r="N99" s="372"/>
      <c r="O99" s="372"/>
      <c r="P99" s="372"/>
      <c r="Q99" s="370"/>
      <c r="R99" s="372"/>
      <c r="S99" s="372"/>
      <c r="T99" s="372"/>
      <c r="U99" s="372"/>
      <c r="V99" s="370"/>
      <c r="W99" s="372"/>
      <c r="X99" s="372"/>
      <c r="Y99" s="372"/>
      <c r="Z99" s="372"/>
      <c r="AA99" s="370"/>
      <c r="AB99" s="372"/>
      <c r="AC99" s="372"/>
      <c r="AD99" s="372"/>
      <c r="AE99" s="372"/>
      <c r="AF99" s="390">
        <f t="shared" ref="AF99:AZ99" si="112">+AF98/AF76</f>
        <v>1.7384396932627073</v>
      </c>
      <c r="AG99" s="391">
        <f t="shared" si="112"/>
        <v>0.4083976555723664</v>
      </c>
      <c r="AH99" s="391">
        <f t="shared" si="112"/>
        <v>0.54257604935309689</v>
      </c>
      <c r="AI99" s="391">
        <f t="shared" si="112"/>
        <v>0.56455288941601389</v>
      </c>
      <c r="AJ99" s="391">
        <f t="shared" si="112"/>
        <v>0.62541355167808155</v>
      </c>
      <c r="AK99" s="390">
        <f t="shared" si="112"/>
        <v>2.14760543589676</v>
      </c>
      <c r="AL99" s="391">
        <f t="shared" si="112"/>
        <v>0.53394652760484529</v>
      </c>
      <c r="AM99" s="391">
        <f t="shared" si="112"/>
        <v>0.6761031106199954</v>
      </c>
      <c r="AN99" s="391">
        <f t="shared" si="112"/>
        <v>0.68270467476060948</v>
      </c>
      <c r="AO99" s="391">
        <f t="shared" si="112"/>
        <v>0.71665191811361073</v>
      </c>
      <c r="AP99" s="390">
        <f t="shared" si="112"/>
        <v>2.6097043896134462</v>
      </c>
      <c r="AQ99" s="391">
        <f t="shared" si="112"/>
        <v>0.64663914473726436</v>
      </c>
      <c r="AR99" s="391">
        <f>+AR98/AR76</f>
        <v>0.79750758542941802</v>
      </c>
      <c r="AS99" s="391">
        <f t="shared" si="112"/>
        <v>0.85245022715719421</v>
      </c>
      <c r="AT99" s="391">
        <f t="shared" si="112"/>
        <v>0.92550779071212075</v>
      </c>
      <c r="AU99" s="390">
        <f t="shared" si="112"/>
        <v>3.2074805469756384</v>
      </c>
      <c r="AV99" s="391">
        <f t="shared" si="112"/>
        <v>0.71960813808012902</v>
      </c>
      <c r="AW99" s="391">
        <f t="shared" si="112"/>
        <v>0.88017188131006741</v>
      </c>
      <c r="AX99" s="391">
        <f t="shared" si="112"/>
        <v>0.94391728257208984</v>
      </c>
      <c r="AY99" s="391">
        <f t="shared" si="112"/>
        <v>0.99342323811642352</v>
      </c>
      <c r="AZ99" s="390">
        <f t="shared" si="112"/>
        <v>3.5372598194674909</v>
      </c>
      <c r="BA99" s="391">
        <f t="shared" ref="BA99:BJ99" si="113">+BA98/BA76</f>
        <v>0.92109459026704665</v>
      </c>
      <c r="BB99" s="391">
        <f t="shared" si="113"/>
        <v>1.0250958316256529</v>
      </c>
      <c r="BC99" s="391">
        <f t="shared" si="113"/>
        <v>1.1016550477155083</v>
      </c>
      <c r="BD99" s="391">
        <f t="shared" si="113"/>
        <v>1.1637338039675982</v>
      </c>
      <c r="BE99" s="390">
        <f t="shared" si="113"/>
        <v>4.2117057138683895</v>
      </c>
      <c r="BF99" s="391">
        <f t="shared" si="113"/>
        <v>1.0776861725367886</v>
      </c>
      <c r="BG99" s="391">
        <f t="shared" si="113"/>
        <v>1.191881011331507</v>
      </c>
      <c r="BH99" s="391">
        <f t="shared" si="113"/>
        <v>1.2741021548912959</v>
      </c>
      <c r="BI99" s="391">
        <f t="shared" si="113"/>
        <v>1.3424716842875377</v>
      </c>
      <c r="BJ99" s="390">
        <f t="shared" si="113"/>
        <v>4.8862786224725152</v>
      </c>
      <c r="BK99" s="372"/>
      <c r="BL99" s="390"/>
      <c r="BM99" s="372"/>
      <c r="BN99" s="372"/>
      <c r="BO99" s="372"/>
      <c r="BP99" s="1274"/>
      <c r="BQ99" s="373"/>
      <c r="BR99" s="120"/>
      <c r="BS99" s="120"/>
      <c r="BZ99" s="113"/>
      <c r="CA99" s="113"/>
      <c r="CB99" s="113"/>
    </row>
    <row r="100" spans="1:80" ht="13.5" hidden="1" customHeight="1" outlineLevel="1">
      <c r="A100" s="372"/>
      <c r="B100" s="386"/>
      <c r="C100" s="372"/>
      <c r="D100" s="372"/>
      <c r="E100" s="372"/>
      <c r="F100" s="372"/>
      <c r="G100" s="370"/>
      <c r="H100" s="372"/>
      <c r="I100" s="372"/>
      <c r="J100" s="372"/>
      <c r="K100" s="372"/>
      <c r="L100" s="370"/>
      <c r="M100" s="372"/>
      <c r="N100" s="372"/>
      <c r="O100" s="372"/>
      <c r="P100" s="372"/>
      <c r="Q100" s="370"/>
      <c r="R100" s="372"/>
      <c r="S100" s="372"/>
      <c r="T100" s="372"/>
      <c r="U100" s="372"/>
      <c r="V100" s="370"/>
      <c r="W100" s="372"/>
      <c r="X100" s="372"/>
      <c r="Y100" s="372"/>
      <c r="Z100" s="372"/>
      <c r="AA100" s="370"/>
      <c r="AB100" s="372"/>
      <c r="AC100" s="372"/>
      <c r="AD100" s="372"/>
      <c r="AE100" s="372"/>
      <c r="AF100" s="370"/>
      <c r="AG100" s="372"/>
      <c r="AH100" s="372"/>
      <c r="AI100" s="372"/>
      <c r="AJ100" s="372"/>
      <c r="AK100" s="370"/>
      <c r="AL100" s="372"/>
      <c r="AM100" s="372"/>
      <c r="AN100" s="372"/>
      <c r="AO100" s="372"/>
      <c r="AP100" s="370"/>
      <c r="AQ100" s="372"/>
      <c r="AR100" s="372"/>
      <c r="AS100" s="372"/>
      <c r="AT100" s="372"/>
      <c r="AU100" s="370"/>
      <c r="AV100" s="372"/>
      <c r="AW100" s="372"/>
      <c r="AX100" s="372"/>
      <c r="AY100" s="372"/>
      <c r="AZ100" s="370"/>
      <c r="BA100" s="372"/>
      <c r="BB100" s="372"/>
      <c r="BC100" s="372"/>
      <c r="BD100" s="372"/>
      <c r="BE100" s="370"/>
      <c r="BF100" s="372"/>
      <c r="BG100" s="372"/>
      <c r="BH100" s="372"/>
      <c r="BI100" s="372"/>
      <c r="BJ100" s="370"/>
      <c r="BK100" s="372"/>
      <c r="BL100" s="370"/>
      <c r="BM100" s="372"/>
      <c r="BN100" s="372"/>
      <c r="BO100" s="372"/>
      <c r="BP100" s="1276"/>
      <c r="BQ100" s="373"/>
      <c r="BR100" s="120"/>
      <c r="BS100" s="120"/>
      <c r="BZ100" s="113"/>
      <c r="CA100" s="113"/>
      <c r="CB100" s="113"/>
    </row>
    <row r="101" spans="1:80" ht="13.5" hidden="1" customHeight="1" outlineLevel="1">
      <c r="A101" s="113"/>
      <c r="B101" s="374" t="s">
        <v>136</v>
      </c>
      <c r="C101" s="364"/>
      <c r="D101" s="364"/>
      <c r="E101" s="364"/>
      <c r="F101" s="114"/>
      <c r="G101" s="366"/>
      <c r="H101" s="114"/>
      <c r="I101" s="114"/>
      <c r="J101" s="392"/>
      <c r="K101" s="364"/>
      <c r="L101" s="366"/>
      <c r="M101" s="364"/>
      <c r="N101" s="364"/>
      <c r="O101" s="392"/>
      <c r="P101" s="393"/>
      <c r="Q101" s="394"/>
      <c r="R101" s="395"/>
      <c r="S101" s="364"/>
      <c r="T101" s="364"/>
      <c r="U101" s="364"/>
      <c r="V101" s="396"/>
      <c r="W101" s="364"/>
      <c r="X101" s="364"/>
      <c r="Y101" s="364"/>
      <c r="Z101" s="364"/>
      <c r="AA101" s="396"/>
      <c r="AB101" s="364"/>
      <c r="AC101" s="364"/>
      <c r="AD101" s="364"/>
      <c r="AE101" s="364"/>
      <c r="AF101" s="396"/>
      <c r="AG101" s="364"/>
      <c r="AH101" s="364"/>
      <c r="AI101" s="364"/>
      <c r="AJ101" s="364"/>
      <c r="AK101" s="396"/>
      <c r="AL101" s="364"/>
      <c r="AM101" s="364"/>
      <c r="AN101" s="364"/>
      <c r="AO101" s="364"/>
      <c r="AP101" s="396"/>
      <c r="AQ101" s="364"/>
      <c r="AR101" s="364"/>
      <c r="AS101" s="364"/>
      <c r="AT101" s="364"/>
      <c r="AU101" s="396"/>
      <c r="AV101" s="364"/>
      <c r="AW101" s="364"/>
      <c r="AX101" s="364"/>
      <c r="AY101" s="364"/>
      <c r="AZ101" s="396"/>
      <c r="BA101" s="1201"/>
      <c r="BB101" s="1201"/>
      <c r="BC101" s="1201"/>
      <c r="BD101" s="1201"/>
      <c r="BE101" s="396"/>
      <c r="BF101" s="1256"/>
      <c r="BG101" s="1256"/>
      <c r="BH101" s="1256"/>
      <c r="BI101" s="1256"/>
      <c r="BJ101" s="396"/>
      <c r="BK101" s="397"/>
      <c r="BL101" s="396"/>
      <c r="BM101" s="397"/>
      <c r="BN101" s="397"/>
      <c r="BO101" s="397"/>
      <c r="BP101" s="397"/>
      <c r="BQ101" s="398"/>
      <c r="BR101" s="120"/>
      <c r="BS101" s="120"/>
      <c r="BZ101" s="113"/>
      <c r="CA101" s="113"/>
      <c r="CB101" s="113"/>
    </row>
    <row r="102" spans="1:80" ht="13.5" hidden="1" customHeight="1" outlineLevel="1">
      <c r="A102" s="113"/>
      <c r="B102" s="363" t="s">
        <v>137</v>
      </c>
      <c r="C102" s="399"/>
      <c r="D102" s="399"/>
      <c r="E102" s="399"/>
      <c r="F102" s="399"/>
      <c r="G102" s="400">
        <v>24.1</v>
      </c>
      <c r="H102" s="401">
        <v>10.7</v>
      </c>
      <c r="I102" s="401">
        <v>10.5</v>
      </c>
      <c r="J102" s="401">
        <v>11.9</v>
      </c>
      <c r="K102" s="401">
        <v>11.4</v>
      </c>
      <c r="L102" s="400">
        <f>+SUM(H102:K102)</f>
        <v>44.5</v>
      </c>
      <c r="M102" s="401">
        <v>12.9</v>
      </c>
      <c r="N102" s="401">
        <v>14.3</v>
      </c>
      <c r="O102" s="401">
        <v>3.7</v>
      </c>
      <c r="P102" s="401">
        <v>2.7709999999999999</v>
      </c>
      <c r="Q102" s="400">
        <f>+SUM(M102:P102)</f>
        <v>33.670999999999999</v>
      </c>
      <c r="R102" s="401">
        <f>0.452+1.607</f>
        <v>2.0590000000000002</v>
      </c>
      <c r="S102" s="401">
        <v>0</v>
      </c>
      <c r="T102" s="401">
        <v>0</v>
      </c>
      <c r="U102" s="401">
        <v>0</v>
      </c>
      <c r="V102" s="400">
        <f>+SUM(R102:U102)</f>
        <v>2.0590000000000002</v>
      </c>
      <c r="W102" s="402">
        <f>2.011+1.21</f>
        <v>3.2210000000000001</v>
      </c>
      <c r="X102" s="402">
        <f>1.942+0.857</f>
        <v>2.7989999999999999</v>
      </c>
      <c r="Y102" s="402">
        <f>2.264+0.951</f>
        <v>3.2149999999999999</v>
      </c>
      <c r="Z102" s="401">
        <f>3.534+2.306</f>
        <v>5.84</v>
      </c>
      <c r="AA102" s="400">
        <f>+SUM(W102:Z102)</f>
        <v>15.074999999999999</v>
      </c>
      <c r="AB102" s="402">
        <f>6.438+1.163</f>
        <v>7.601</v>
      </c>
      <c r="AC102" s="402">
        <f>3.281+11.784</f>
        <v>15.065000000000001</v>
      </c>
      <c r="AD102" s="402">
        <f>2.704+4.804</f>
        <v>7.5080000000000009</v>
      </c>
      <c r="AE102" s="401">
        <f>4.273+4.035</f>
        <v>8.3079999999999998</v>
      </c>
      <c r="AF102" s="400">
        <f>+SUM(AB102:AE102)</f>
        <v>38.481999999999999</v>
      </c>
      <c r="AG102" s="402">
        <f>6.325+8.349</f>
        <v>14.673999999999999</v>
      </c>
      <c r="AH102" s="403">
        <v>0</v>
      </c>
      <c r="AI102" s="401">
        <v>0</v>
      </c>
      <c r="AJ102" s="401">
        <f>4.462+8.743</f>
        <v>13.205</v>
      </c>
      <c r="AK102" s="400">
        <f t="shared" ref="AK102:AK109" si="114">+SUM(AG102:AJ102)</f>
        <v>27.878999999999998</v>
      </c>
      <c r="AL102" s="401">
        <v>0</v>
      </c>
      <c r="AM102" s="404">
        <v>0</v>
      </c>
      <c r="AN102" s="404">
        <v>0</v>
      </c>
      <c r="AO102" s="404">
        <v>0</v>
      </c>
      <c r="AP102" s="400">
        <f t="shared" ref="AP102:AP109" si="115">+SUM(AL102:AO102)</f>
        <v>0</v>
      </c>
      <c r="AQ102" s="404">
        <v>0</v>
      </c>
      <c r="AR102" s="404">
        <v>0</v>
      </c>
      <c r="AS102" s="404">
        <v>0</v>
      </c>
      <c r="AT102" s="404">
        <v>0</v>
      </c>
      <c r="AU102" s="400">
        <f t="shared" ref="AU102:AU109" si="116">+SUM(AQ102:AT102)</f>
        <v>0</v>
      </c>
      <c r="AV102" s="404">
        <v>0</v>
      </c>
      <c r="AW102" s="404">
        <v>0</v>
      </c>
      <c r="AX102" s="404">
        <v>0</v>
      </c>
      <c r="AY102" s="404">
        <v>0</v>
      </c>
      <c r="AZ102" s="400">
        <f t="shared" ref="AZ102:AZ109" si="117">+SUM(AV102:AY102)</f>
        <v>0</v>
      </c>
      <c r="BA102" s="404">
        <v>0</v>
      </c>
      <c r="BB102" s="404">
        <v>0</v>
      </c>
      <c r="BC102" s="404">
        <v>0</v>
      </c>
      <c r="BD102" s="404">
        <v>0</v>
      </c>
      <c r="BE102" s="400">
        <f t="shared" ref="BE102:BE109" si="118">+SUM(BA102:BD102)</f>
        <v>0</v>
      </c>
      <c r="BF102" s="404">
        <v>0</v>
      </c>
      <c r="BG102" s="404">
        <v>0</v>
      </c>
      <c r="BH102" s="404">
        <v>0</v>
      </c>
      <c r="BI102" s="404">
        <v>0</v>
      </c>
      <c r="BJ102" s="400">
        <f t="shared" ref="BJ102:BJ109" si="119">+SUM(BF102:BI102)</f>
        <v>0</v>
      </c>
      <c r="BK102" s="405"/>
      <c r="BL102" s="400"/>
      <c r="BM102" s="405"/>
      <c r="BN102" s="405"/>
      <c r="BO102" s="405"/>
      <c r="BP102" s="405"/>
      <c r="BQ102" s="119"/>
      <c r="BR102" s="120"/>
      <c r="BS102" s="120"/>
      <c r="BZ102" s="113"/>
      <c r="CA102" s="113"/>
      <c r="CB102" s="113"/>
    </row>
    <row r="103" spans="1:80" ht="13.5" hidden="1" customHeight="1" outlineLevel="1">
      <c r="A103" s="113"/>
      <c r="B103" s="363" t="s">
        <v>138</v>
      </c>
      <c r="C103" s="399"/>
      <c r="D103" s="399"/>
      <c r="E103" s="399"/>
      <c r="F103" s="399"/>
      <c r="G103" s="400">
        <v>0</v>
      </c>
      <c r="H103" s="401">
        <v>0</v>
      </c>
      <c r="I103" s="401">
        <v>0</v>
      </c>
      <c r="J103" s="401">
        <v>0</v>
      </c>
      <c r="K103" s="401">
        <v>0</v>
      </c>
      <c r="L103" s="400">
        <f t="shared" ref="L103:L109" si="120">+SUM(H103:K103)</f>
        <v>0</v>
      </c>
      <c r="M103" s="401">
        <v>0</v>
      </c>
      <c r="N103" s="401">
        <v>13.7</v>
      </c>
      <c r="O103" s="401">
        <v>0</v>
      </c>
      <c r="P103" s="401">
        <v>0</v>
      </c>
      <c r="Q103" s="400">
        <f t="shared" ref="Q103:Q109" si="121">+SUM(M103:P103)</f>
        <v>13.7</v>
      </c>
      <c r="R103" s="401">
        <v>91.835999999999999</v>
      </c>
      <c r="S103" s="401">
        <v>0.83599999999999997</v>
      </c>
      <c r="T103" s="401">
        <v>0</v>
      </c>
      <c r="U103" s="401">
        <v>0</v>
      </c>
      <c r="V103" s="400">
        <f t="shared" ref="V103:V109" si="122">+SUM(R103:U103)</f>
        <v>92.671999999999997</v>
      </c>
      <c r="W103" s="402">
        <v>0</v>
      </c>
      <c r="X103" s="402">
        <v>0</v>
      </c>
      <c r="Y103" s="402">
        <v>0</v>
      </c>
      <c r="Z103" s="401">
        <v>0</v>
      </c>
      <c r="AA103" s="400">
        <f t="shared" ref="AA103:AA109" si="123">+SUM(W103:Z103)</f>
        <v>0</v>
      </c>
      <c r="AB103" s="402">
        <v>0</v>
      </c>
      <c r="AC103" s="402">
        <v>0</v>
      </c>
      <c r="AD103" s="402">
        <v>0</v>
      </c>
      <c r="AE103" s="401">
        <v>0</v>
      </c>
      <c r="AF103" s="400">
        <f t="shared" ref="AF103:AF109" si="124">+SUM(AB103:AE103)</f>
        <v>0</v>
      </c>
      <c r="AG103" s="402">
        <v>0</v>
      </c>
      <c r="AH103" s="403">
        <v>0</v>
      </c>
      <c r="AI103" s="401">
        <v>0</v>
      </c>
      <c r="AJ103" s="401">
        <v>0</v>
      </c>
      <c r="AK103" s="400">
        <f t="shared" si="114"/>
        <v>0</v>
      </c>
      <c r="AL103" s="401">
        <v>0</v>
      </c>
      <c r="AM103" s="404">
        <v>0</v>
      </c>
      <c r="AN103" s="404">
        <v>0</v>
      </c>
      <c r="AO103" s="404">
        <v>0</v>
      </c>
      <c r="AP103" s="400">
        <f t="shared" si="115"/>
        <v>0</v>
      </c>
      <c r="AQ103" s="404">
        <v>0</v>
      </c>
      <c r="AR103" s="404">
        <v>0</v>
      </c>
      <c r="AS103" s="404">
        <v>0</v>
      </c>
      <c r="AT103" s="404">
        <v>0</v>
      </c>
      <c r="AU103" s="400">
        <f t="shared" si="116"/>
        <v>0</v>
      </c>
      <c r="AV103" s="404">
        <v>0</v>
      </c>
      <c r="AW103" s="404">
        <v>0</v>
      </c>
      <c r="AX103" s="404">
        <v>0</v>
      </c>
      <c r="AY103" s="404">
        <v>0</v>
      </c>
      <c r="AZ103" s="400">
        <f t="shared" si="117"/>
        <v>0</v>
      </c>
      <c r="BA103" s="404">
        <v>0</v>
      </c>
      <c r="BB103" s="404">
        <v>0</v>
      </c>
      <c r="BC103" s="404">
        <v>0</v>
      </c>
      <c r="BD103" s="404">
        <v>0</v>
      </c>
      <c r="BE103" s="400">
        <f t="shared" si="118"/>
        <v>0</v>
      </c>
      <c r="BF103" s="404">
        <v>0</v>
      </c>
      <c r="BG103" s="404">
        <v>0</v>
      </c>
      <c r="BH103" s="404">
        <v>0</v>
      </c>
      <c r="BI103" s="404">
        <v>0</v>
      </c>
      <c r="BJ103" s="400">
        <f t="shared" si="119"/>
        <v>0</v>
      </c>
      <c r="BK103" s="405"/>
      <c r="BL103" s="400"/>
      <c r="BM103" s="1275"/>
      <c r="BN103" s="1275"/>
      <c r="BO103" s="405"/>
      <c r="BP103" s="405"/>
      <c r="BQ103" s="119"/>
      <c r="BR103" s="120"/>
      <c r="BS103" s="120"/>
      <c r="BZ103" s="113"/>
      <c r="CA103" s="113"/>
      <c r="CB103" s="113"/>
    </row>
    <row r="104" spans="1:80" ht="13.5" hidden="1" customHeight="1" outlineLevel="1">
      <c r="A104" s="113"/>
      <c r="B104" s="363" t="s">
        <v>139</v>
      </c>
      <c r="C104" s="399"/>
      <c r="D104" s="399"/>
      <c r="E104" s="399"/>
      <c r="F104" s="399"/>
      <c r="G104" s="400">
        <v>1.7</v>
      </c>
      <c r="H104" s="401">
        <v>0.4</v>
      </c>
      <c r="I104" s="401">
        <v>0.8</v>
      </c>
      <c r="J104" s="401">
        <v>1.5</v>
      </c>
      <c r="K104" s="401">
        <v>0.1</v>
      </c>
      <c r="L104" s="400">
        <f t="shared" si="120"/>
        <v>2.8000000000000003</v>
      </c>
      <c r="M104" s="401">
        <v>0.7</v>
      </c>
      <c r="N104" s="401">
        <v>0.7</v>
      </c>
      <c r="O104" s="401">
        <v>0.8</v>
      </c>
      <c r="P104" s="401">
        <v>0.77200000000000002</v>
      </c>
      <c r="Q104" s="400">
        <f t="shared" si="121"/>
        <v>2.9720000000000004</v>
      </c>
      <c r="R104" s="401">
        <v>8.6630000000000003</v>
      </c>
      <c r="S104" s="401">
        <v>8.8290000000000006</v>
      </c>
      <c r="T104" s="401">
        <v>9.3960000000000008</v>
      </c>
      <c r="U104" s="401">
        <v>6.5549999999999997</v>
      </c>
      <c r="V104" s="400">
        <f>+SUM(R104:U104)</f>
        <v>33.442999999999998</v>
      </c>
      <c r="W104" s="402">
        <v>6.74</v>
      </c>
      <c r="X104" s="402">
        <v>7.19</v>
      </c>
      <c r="Y104" s="402">
        <v>7.4219999999999997</v>
      </c>
      <c r="Z104" s="401">
        <v>8.3770000000000007</v>
      </c>
      <c r="AA104" s="400">
        <f>SUM(W104:Z104)</f>
        <v>29.728999999999999</v>
      </c>
      <c r="AB104" s="402">
        <v>8.9390000000000001</v>
      </c>
      <c r="AC104" s="402">
        <v>11.105</v>
      </c>
      <c r="AD104" s="402">
        <v>10.753</v>
      </c>
      <c r="AE104" s="401">
        <v>11.374000000000001</v>
      </c>
      <c r="AF104" s="400">
        <f>SUM(AB104:AE104)</f>
        <v>42.170999999999999</v>
      </c>
      <c r="AG104" s="402">
        <v>11.622999999999999</v>
      </c>
      <c r="AH104" s="403">
        <v>5.0970000000000004</v>
      </c>
      <c r="AI104" s="401">
        <v>7.1319999999999997</v>
      </c>
      <c r="AJ104" s="401">
        <v>6.64</v>
      </c>
      <c r="AK104" s="400">
        <f t="shared" si="114"/>
        <v>30.491999999999997</v>
      </c>
      <c r="AL104" s="406">
        <v>8.3520000000000003</v>
      </c>
      <c r="AM104" s="407">
        <v>7.94</v>
      </c>
      <c r="AN104" s="407">
        <v>9.6</v>
      </c>
      <c r="AO104" s="407">
        <v>9.9789999999999992</v>
      </c>
      <c r="AP104" s="400">
        <f t="shared" si="115"/>
        <v>35.871000000000002</v>
      </c>
      <c r="AQ104" s="407">
        <v>10.58</v>
      </c>
      <c r="AR104" s="407">
        <v>10.881</v>
      </c>
      <c r="AS104" s="407">
        <v>13.606999999999999</v>
      </c>
      <c r="AT104" s="407">
        <v>12.787000000000001</v>
      </c>
      <c r="AU104" s="400">
        <f t="shared" si="116"/>
        <v>47.854999999999997</v>
      </c>
      <c r="AV104" s="407">
        <f>0.018*AV15</f>
        <v>15.015306463213259</v>
      </c>
      <c r="AW104" s="407">
        <f t="shared" ref="AW104:AY104" si="125">0.018*AW15</f>
        <v>17.532733657916125</v>
      </c>
      <c r="AX104" s="407">
        <f t="shared" si="125"/>
        <v>18.354145339108502</v>
      </c>
      <c r="AY104" s="407">
        <f t="shared" si="125"/>
        <v>18.917435606038712</v>
      </c>
      <c r="AZ104" s="400">
        <f t="shared" si="117"/>
        <v>69.819621066276596</v>
      </c>
      <c r="BA104" s="407">
        <f>0.018*BA15</f>
        <v>17.75306499441578</v>
      </c>
      <c r="BB104" s="407">
        <f t="shared" ref="BB104:BD104" si="126">0.018*BB15</f>
        <v>19.126059637876057</v>
      </c>
      <c r="BC104" s="407">
        <f t="shared" si="126"/>
        <v>20.008709211180744</v>
      </c>
      <c r="BD104" s="407">
        <f t="shared" si="126"/>
        <v>20.638129236560331</v>
      </c>
      <c r="BE104" s="400">
        <f t="shared" si="118"/>
        <v>77.525963080032909</v>
      </c>
      <c r="BF104" s="407">
        <f>0.018*BF15</f>
        <v>19.410004164125265</v>
      </c>
      <c r="BG104" s="407">
        <f t="shared" ref="BG104:BI104" si="127">0.018*BG15</f>
        <v>20.896363839800205</v>
      </c>
      <c r="BH104" s="407">
        <f t="shared" si="127"/>
        <v>21.837707384604943</v>
      </c>
      <c r="BI104" s="407">
        <f t="shared" si="127"/>
        <v>22.543207931825982</v>
      </c>
      <c r="BJ104" s="400">
        <f t="shared" si="119"/>
        <v>84.687283320356386</v>
      </c>
      <c r="BK104" s="405"/>
      <c r="BL104" s="400">
        <v>45.789000000000001</v>
      </c>
      <c r="BM104" s="405"/>
      <c r="BN104" s="405"/>
      <c r="BO104" s="1275"/>
      <c r="BP104" s="405"/>
      <c r="BQ104" s="408"/>
      <c r="BR104" s="409"/>
      <c r="BS104" s="120"/>
      <c r="BZ104" s="113"/>
      <c r="CA104" s="113"/>
      <c r="CB104" s="113"/>
    </row>
    <row r="105" spans="1:80" ht="13.5" hidden="1" customHeight="1" outlineLevel="1">
      <c r="A105" s="113"/>
      <c r="B105" s="363" t="s">
        <v>140</v>
      </c>
      <c r="C105" s="399"/>
      <c r="D105" s="399"/>
      <c r="E105" s="399"/>
      <c r="F105" s="399"/>
      <c r="G105" s="400">
        <v>0</v>
      </c>
      <c r="H105" s="401">
        <v>0</v>
      </c>
      <c r="I105" s="401">
        <v>1.1000000000000001</v>
      </c>
      <c r="J105" s="401">
        <v>1.5</v>
      </c>
      <c r="K105" s="401">
        <v>1.9</v>
      </c>
      <c r="L105" s="400">
        <f t="shared" si="120"/>
        <v>4.5</v>
      </c>
      <c r="M105" s="401">
        <v>0.1</v>
      </c>
      <c r="N105" s="401">
        <v>0.4</v>
      </c>
      <c r="O105" s="401">
        <v>0.4</v>
      </c>
      <c r="P105" s="401">
        <v>2.847</v>
      </c>
      <c r="Q105" s="400">
        <f t="shared" si="121"/>
        <v>3.7469999999999999</v>
      </c>
      <c r="R105" s="401">
        <v>0</v>
      </c>
      <c r="S105" s="401">
        <f>1.347+0.633</f>
        <v>1.98</v>
      </c>
      <c r="T105" s="401">
        <f>0.553+1.701</f>
        <v>2.254</v>
      </c>
      <c r="U105" s="401">
        <v>4.7160000000000002</v>
      </c>
      <c r="V105" s="400">
        <f t="shared" si="122"/>
        <v>8.9499999999999993</v>
      </c>
      <c r="W105" s="402">
        <v>0</v>
      </c>
      <c r="X105" s="402">
        <v>0</v>
      </c>
      <c r="Y105" s="402">
        <v>0</v>
      </c>
      <c r="Z105" s="401">
        <v>0</v>
      </c>
      <c r="AA105" s="400">
        <f t="shared" si="123"/>
        <v>0</v>
      </c>
      <c r="AB105" s="402">
        <v>0</v>
      </c>
      <c r="AC105" s="402">
        <v>0</v>
      </c>
      <c r="AD105" s="402">
        <v>0</v>
      </c>
      <c r="AE105" s="401">
        <v>0</v>
      </c>
      <c r="AF105" s="400">
        <f t="shared" si="124"/>
        <v>0</v>
      </c>
      <c r="AG105" s="402">
        <v>0</v>
      </c>
      <c r="AH105" s="403">
        <f>11.908+11.437</f>
        <v>23.344999999999999</v>
      </c>
      <c r="AI105" s="401">
        <f>5.11+6.249</f>
        <v>11.359</v>
      </c>
      <c r="AJ105" s="404">
        <v>0</v>
      </c>
      <c r="AK105" s="400">
        <f t="shared" si="114"/>
        <v>34.704000000000001</v>
      </c>
      <c r="AL105" s="401">
        <f>2.488+4.675</f>
        <v>7.1630000000000003</v>
      </c>
      <c r="AM105" s="404">
        <v>12.407999999999999</v>
      </c>
      <c r="AN105" s="404">
        <v>2.7610000000000001</v>
      </c>
      <c r="AO105" s="404">
        <v>15.226000000000001</v>
      </c>
      <c r="AP105" s="400">
        <f t="shared" si="115"/>
        <v>37.558</v>
      </c>
      <c r="AQ105" s="404">
        <v>49.533999999999999</v>
      </c>
      <c r="AR105" s="404">
        <v>13.236000000000001</v>
      </c>
      <c r="AS105" s="404">
        <v>5.1159999999999997</v>
      </c>
      <c r="AT105" s="404">
        <v>0</v>
      </c>
      <c r="AU105" s="400">
        <f t="shared" si="116"/>
        <v>67.885999999999996</v>
      </c>
      <c r="AV105" s="404">
        <v>0</v>
      </c>
      <c r="AW105" s="404">
        <v>0</v>
      </c>
      <c r="AX105" s="404">
        <v>0</v>
      </c>
      <c r="AY105" s="404">
        <v>0</v>
      </c>
      <c r="AZ105" s="400">
        <f t="shared" si="117"/>
        <v>0</v>
      </c>
      <c r="BA105" s="404">
        <v>0</v>
      </c>
      <c r="BB105" s="404">
        <v>0</v>
      </c>
      <c r="BC105" s="404">
        <v>0</v>
      </c>
      <c r="BD105" s="404">
        <v>0</v>
      </c>
      <c r="BE105" s="400">
        <f t="shared" si="118"/>
        <v>0</v>
      </c>
      <c r="BF105" s="404">
        <v>0</v>
      </c>
      <c r="BG105" s="404">
        <v>0</v>
      </c>
      <c r="BH105" s="404">
        <v>0</v>
      </c>
      <c r="BI105" s="404">
        <v>0</v>
      </c>
      <c r="BJ105" s="400">
        <f t="shared" si="119"/>
        <v>0</v>
      </c>
      <c r="BK105" s="405"/>
      <c r="BL105" s="400">
        <v>122.33499999999999</v>
      </c>
      <c r="BM105" s="405"/>
      <c r="BN105" s="405"/>
      <c r="BO105" s="405"/>
      <c r="BP105" s="405"/>
      <c r="BQ105" s="410"/>
      <c r="BR105" s="409"/>
      <c r="BS105" s="120"/>
      <c r="BZ105" s="113"/>
      <c r="CA105" s="113"/>
      <c r="CB105" s="113"/>
    </row>
    <row r="106" spans="1:80" ht="13.5" hidden="1" customHeight="1" outlineLevel="1">
      <c r="A106" s="113"/>
      <c r="B106" s="363" t="s">
        <v>141</v>
      </c>
      <c r="C106" s="399"/>
      <c r="D106" s="399"/>
      <c r="E106" s="399"/>
      <c r="F106" s="399"/>
      <c r="G106" s="400">
        <v>9.1</v>
      </c>
      <c r="H106" s="401">
        <v>0</v>
      </c>
      <c r="I106" s="401">
        <v>3</v>
      </c>
      <c r="J106" s="401">
        <v>0</v>
      </c>
      <c r="K106" s="401">
        <v>1.3</v>
      </c>
      <c r="L106" s="400">
        <f t="shared" si="120"/>
        <v>4.3</v>
      </c>
      <c r="M106" s="401">
        <v>0</v>
      </c>
      <c r="N106" s="401">
        <v>0.1</v>
      </c>
      <c r="O106" s="401">
        <v>0</v>
      </c>
      <c r="P106" s="401">
        <v>0.7</v>
      </c>
      <c r="Q106" s="400">
        <f t="shared" si="121"/>
        <v>0.79999999999999993</v>
      </c>
      <c r="R106" s="401">
        <v>0</v>
      </c>
      <c r="S106" s="401">
        <v>0</v>
      </c>
      <c r="T106" s="401">
        <v>0</v>
      </c>
      <c r="U106" s="401">
        <v>0</v>
      </c>
      <c r="V106" s="400">
        <f t="shared" si="122"/>
        <v>0</v>
      </c>
      <c r="W106" s="402">
        <v>0</v>
      </c>
      <c r="X106" s="402">
        <v>0</v>
      </c>
      <c r="Y106" s="402">
        <v>0</v>
      </c>
      <c r="Z106" s="401">
        <v>0</v>
      </c>
      <c r="AA106" s="400">
        <f t="shared" si="123"/>
        <v>0</v>
      </c>
      <c r="AB106" s="402">
        <v>0</v>
      </c>
      <c r="AC106" s="402">
        <v>0</v>
      </c>
      <c r="AD106" s="402">
        <v>0</v>
      </c>
      <c r="AE106" s="401">
        <v>0</v>
      </c>
      <c r="AF106" s="400">
        <f t="shared" si="124"/>
        <v>0</v>
      </c>
      <c r="AG106" s="402">
        <v>0</v>
      </c>
      <c r="AH106" s="403">
        <v>0</v>
      </c>
      <c r="AI106" s="401">
        <v>0</v>
      </c>
      <c r="AJ106" s="404">
        <v>0</v>
      </c>
      <c r="AK106" s="400">
        <f t="shared" si="114"/>
        <v>0</v>
      </c>
      <c r="AL106" s="401">
        <v>0</v>
      </c>
      <c r="AM106" s="404">
        <v>0</v>
      </c>
      <c r="AN106" s="404">
        <v>0</v>
      </c>
      <c r="AO106" s="404">
        <v>0</v>
      </c>
      <c r="AP106" s="400">
        <f t="shared" si="115"/>
        <v>0</v>
      </c>
      <c r="AQ106" s="404">
        <v>0</v>
      </c>
      <c r="AR106" s="404">
        <v>0</v>
      </c>
      <c r="AS106" s="404">
        <v>0</v>
      </c>
      <c r="AT106" s="404">
        <v>0</v>
      </c>
      <c r="AU106" s="400">
        <f t="shared" si="116"/>
        <v>0</v>
      </c>
      <c r="AV106" s="404">
        <v>0</v>
      </c>
      <c r="AW106" s="404">
        <v>0</v>
      </c>
      <c r="AX106" s="404">
        <v>0</v>
      </c>
      <c r="AY106" s="404">
        <v>0</v>
      </c>
      <c r="AZ106" s="400">
        <f t="shared" si="117"/>
        <v>0</v>
      </c>
      <c r="BA106" s="404">
        <v>0</v>
      </c>
      <c r="BB106" s="404">
        <v>0</v>
      </c>
      <c r="BC106" s="404">
        <v>0</v>
      </c>
      <c r="BD106" s="404">
        <v>0</v>
      </c>
      <c r="BE106" s="400">
        <f t="shared" si="118"/>
        <v>0</v>
      </c>
      <c r="BF106" s="404">
        <v>0</v>
      </c>
      <c r="BG106" s="404">
        <v>0</v>
      </c>
      <c r="BH106" s="404">
        <v>0</v>
      </c>
      <c r="BI106" s="404">
        <v>0</v>
      </c>
      <c r="BJ106" s="400">
        <f t="shared" si="119"/>
        <v>0</v>
      </c>
      <c r="BK106" s="405"/>
      <c r="BL106" s="400"/>
      <c r="BM106" s="405"/>
      <c r="BN106" s="405"/>
      <c r="BO106" s="405"/>
      <c r="BP106" s="405"/>
      <c r="BQ106" s="410"/>
      <c r="BR106" s="120"/>
      <c r="BS106" s="120"/>
      <c r="BZ106" s="113"/>
      <c r="CA106" s="113"/>
      <c r="CB106" s="113"/>
    </row>
    <row r="107" spans="1:80" ht="13.5" hidden="1" customHeight="1" outlineLevel="1">
      <c r="A107" s="113"/>
      <c r="B107" s="363" t="s">
        <v>142</v>
      </c>
      <c r="C107" s="399"/>
      <c r="D107" s="399"/>
      <c r="E107" s="399"/>
      <c r="F107" s="399"/>
      <c r="G107" s="400">
        <v>16.3</v>
      </c>
      <c r="H107" s="401">
        <v>0</v>
      </c>
      <c r="I107" s="401">
        <v>0</v>
      </c>
      <c r="J107" s="401">
        <v>0</v>
      </c>
      <c r="K107" s="401">
        <v>0</v>
      </c>
      <c r="L107" s="400">
        <f t="shared" si="120"/>
        <v>0</v>
      </c>
      <c r="M107" s="401">
        <v>0</v>
      </c>
      <c r="N107" s="401">
        <v>0</v>
      </c>
      <c r="O107" s="401">
        <v>0</v>
      </c>
      <c r="P107" s="401">
        <v>0</v>
      </c>
      <c r="Q107" s="400">
        <f t="shared" si="121"/>
        <v>0</v>
      </c>
      <c r="R107" s="401">
        <v>0</v>
      </c>
      <c r="S107" s="401">
        <v>0</v>
      </c>
      <c r="T107" s="401">
        <v>0</v>
      </c>
      <c r="U107" s="401">
        <v>0</v>
      </c>
      <c r="V107" s="400">
        <f t="shared" si="122"/>
        <v>0</v>
      </c>
      <c r="W107" s="402">
        <v>0</v>
      </c>
      <c r="X107" s="402">
        <v>0</v>
      </c>
      <c r="Y107" s="402">
        <v>0</v>
      </c>
      <c r="Z107" s="401">
        <v>0</v>
      </c>
      <c r="AA107" s="400">
        <f t="shared" si="123"/>
        <v>0</v>
      </c>
      <c r="AB107" s="402">
        <v>0</v>
      </c>
      <c r="AC107" s="402">
        <v>0</v>
      </c>
      <c r="AD107" s="402">
        <v>0</v>
      </c>
      <c r="AE107" s="401">
        <v>0</v>
      </c>
      <c r="AF107" s="400">
        <f t="shared" si="124"/>
        <v>0</v>
      </c>
      <c r="AG107" s="402">
        <v>0</v>
      </c>
      <c r="AH107" s="403">
        <v>0</v>
      </c>
      <c r="AI107" s="401">
        <v>0</v>
      </c>
      <c r="AJ107" s="404">
        <v>0</v>
      </c>
      <c r="AK107" s="400">
        <f t="shared" si="114"/>
        <v>0</v>
      </c>
      <c r="AL107" s="401">
        <v>0</v>
      </c>
      <c r="AM107" s="404">
        <v>0</v>
      </c>
      <c r="AN107" s="404">
        <v>0</v>
      </c>
      <c r="AO107" s="404">
        <v>0</v>
      </c>
      <c r="AP107" s="400">
        <f t="shared" si="115"/>
        <v>0</v>
      </c>
      <c r="AQ107" s="404">
        <v>0</v>
      </c>
      <c r="AR107" s="404">
        <v>0</v>
      </c>
      <c r="AS107" s="404">
        <v>0</v>
      </c>
      <c r="AT107" s="404">
        <v>0</v>
      </c>
      <c r="AU107" s="400">
        <f t="shared" si="116"/>
        <v>0</v>
      </c>
      <c r="AV107" s="404">
        <v>0</v>
      </c>
      <c r="AW107" s="404">
        <v>0</v>
      </c>
      <c r="AX107" s="404">
        <v>0</v>
      </c>
      <c r="AY107" s="404">
        <v>0</v>
      </c>
      <c r="AZ107" s="400">
        <f t="shared" si="117"/>
        <v>0</v>
      </c>
      <c r="BA107" s="404">
        <v>0</v>
      </c>
      <c r="BB107" s="404">
        <v>0</v>
      </c>
      <c r="BC107" s="404">
        <v>0</v>
      </c>
      <c r="BD107" s="404">
        <v>0</v>
      </c>
      <c r="BE107" s="400">
        <f t="shared" si="118"/>
        <v>0</v>
      </c>
      <c r="BF107" s="404">
        <v>0</v>
      </c>
      <c r="BG107" s="404">
        <v>0</v>
      </c>
      <c r="BH107" s="404">
        <v>0</v>
      </c>
      <c r="BI107" s="404">
        <v>0</v>
      </c>
      <c r="BJ107" s="400">
        <f t="shared" si="119"/>
        <v>0</v>
      </c>
      <c r="BK107" s="405"/>
      <c r="BL107" s="400"/>
      <c r="BM107" s="405"/>
      <c r="BN107" s="405"/>
      <c r="BO107" s="405"/>
      <c r="BP107" s="405"/>
      <c r="BQ107" s="119"/>
      <c r="BR107" s="120"/>
      <c r="BS107" s="120"/>
      <c r="BZ107" s="113"/>
      <c r="CA107" s="113"/>
      <c r="CB107" s="113"/>
    </row>
    <row r="108" spans="1:80" ht="13.5" hidden="1" customHeight="1" outlineLevel="1">
      <c r="A108" s="113"/>
      <c r="B108" s="363" t="s">
        <v>143</v>
      </c>
      <c r="C108" s="399"/>
      <c r="D108" s="399"/>
      <c r="E108" s="399"/>
      <c r="F108" s="399"/>
      <c r="G108" s="400">
        <v>76.099999999999994</v>
      </c>
      <c r="H108" s="401">
        <v>16.899999999999999</v>
      </c>
      <c r="I108" s="401">
        <v>19.899999999999999</v>
      </c>
      <c r="J108" s="401">
        <v>19.100000000000001</v>
      </c>
      <c r="K108" s="401">
        <f>7.6+1.8</f>
        <v>9.4</v>
      </c>
      <c r="L108" s="400">
        <f t="shared" si="120"/>
        <v>65.3</v>
      </c>
      <c r="M108" s="401">
        <v>0</v>
      </c>
      <c r="N108" s="401">
        <v>0</v>
      </c>
      <c r="O108" s="401">
        <v>0</v>
      </c>
      <c r="P108" s="401">
        <v>0</v>
      </c>
      <c r="Q108" s="400">
        <f t="shared" si="121"/>
        <v>0</v>
      </c>
      <c r="R108" s="401">
        <v>0</v>
      </c>
      <c r="S108" s="401">
        <v>0</v>
      </c>
      <c r="T108" s="401">
        <v>0</v>
      </c>
      <c r="U108" s="401">
        <v>0</v>
      </c>
      <c r="V108" s="400">
        <f t="shared" si="122"/>
        <v>0</v>
      </c>
      <c r="W108" s="402">
        <v>0</v>
      </c>
      <c r="X108" s="402">
        <v>0</v>
      </c>
      <c r="Y108" s="402">
        <v>0</v>
      </c>
      <c r="Z108" s="401">
        <v>0</v>
      </c>
      <c r="AA108" s="400">
        <f t="shared" si="123"/>
        <v>0</v>
      </c>
      <c r="AB108" s="402">
        <v>0</v>
      </c>
      <c r="AC108" s="402">
        <v>0</v>
      </c>
      <c r="AD108" s="402">
        <v>0</v>
      </c>
      <c r="AE108" s="401">
        <v>0</v>
      </c>
      <c r="AF108" s="400">
        <f t="shared" si="124"/>
        <v>0</v>
      </c>
      <c r="AG108" s="402">
        <v>0</v>
      </c>
      <c r="AH108" s="403">
        <v>0</v>
      </c>
      <c r="AI108" s="401">
        <v>0</v>
      </c>
      <c r="AJ108" s="404">
        <v>0</v>
      </c>
      <c r="AK108" s="400">
        <f t="shared" si="114"/>
        <v>0</v>
      </c>
      <c r="AL108" s="401">
        <v>0</v>
      </c>
      <c r="AM108" s="404">
        <v>0</v>
      </c>
      <c r="AN108" s="404">
        <v>0</v>
      </c>
      <c r="AO108" s="404">
        <v>0</v>
      </c>
      <c r="AP108" s="400">
        <f t="shared" si="115"/>
        <v>0</v>
      </c>
      <c r="AQ108" s="404">
        <v>0</v>
      </c>
      <c r="AR108" s="404">
        <v>0</v>
      </c>
      <c r="AS108" s="404">
        <v>0</v>
      </c>
      <c r="AT108" s="404">
        <v>0</v>
      </c>
      <c r="AU108" s="400">
        <f t="shared" si="116"/>
        <v>0</v>
      </c>
      <c r="AV108" s="404">
        <v>0</v>
      </c>
      <c r="AW108" s="404">
        <v>0</v>
      </c>
      <c r="AX108" s="404">
        <v>0</v>
      </c>
      <c r="AY108" s="404">
        <v>0</v>
      </c>
      <c r="AZ108" s="400">
        <f t="shared" si="117"/>
        <v>0</v>
      </c>
      <c r="BA108" s="404">
        <v>0</v>
      </c>
      <c r="BB108" s="404">
        <v>0</v>
      </c>
      <c r="BC108" s="404">
        <v>0</v>
      </c>
      <c r="BD108" s="404">
        <v>0</v>
      </c>
      <c r="BE108" s="400">
        <f t="shared" si="118"/>
        <v>0</v>
      </c>
      <c r="BF108" s="404">
        <v>0</v>
      </c>
      <c r="BG108" s="404">
        <v>0</v>
      </c>
      <c r="BH108" s="404">
        <v>0</v>
      </c>
      <c r="BI108" s="404">
        <v>0</v>
      </c>
      <c r="BJ108" s="400">
        <f t="shared" si="119"/>
        <v>0</v>
      </c>
      <c r="BK108" s="405"/>
      <c r="BL108" s="400"/>
      <c r="BM108" s="405"/>
      <c r="BN108" s="405"/>
      <c r="BO108" s="405"/>
      <c r="BP108" s="405"/>
      <c r="BQ108" s="119"/>
      <c r="BR108" s="120"/>
      <c r="BS108" s="120"/>
      <c r="BZ108" s="113"/>
      <c r="CA108" s="113"/>
      <c r="CB108" s="113"/>
    </row>
    <row r="109" spans="1:80" ht="13.5" hidden="1" customHeight="1" outlineLevel="1">
      <c r="A109" s="113"/>
      <c r="B109" s="363" t="s">
        <v>144</v>
      </c>
      <c r="C109" s="399"/>
      <c r="D109" s="399"/>
      <c r="E109" s="399"/>
      <c r="F109" s="399"/>
      <c r="G109" s="400">
        <v>-23.2</v>
      </c>
      <c r="H109" s="401">
        <v>-4.8</v>
      </c>
      <c r="I109" s="401">
        <v>-3.8</v>
      </c>
      <c r="J109" s="401">
        <v>-3.3</v>
      </c>
      <c r="K109" s="401">
        <v>-3.1</v>
      </c>
      <c r="L109" s="400">
        <f t="shared" si="120"/>
        <v>-14.999999999999998</v>
      </c>
      <c r="M109" s="401">
        <v>0</v>
      </c>
      <c r="N109" s="401">
        <v>0</v>
      </c>
      <c r="O109" s="401">
        <v>0</v>
      </c>
      <c r="P109" s="401">
        <v>0</v>
      </c>
      <c r="Q109" s="400">
        <f t="shared" si="121"/>
        <v>0</v>
      </c>
      <c r="R109" s="401">
        <v>0</v>
      </c>
      <c r="S109" s="401">
        <v>0</v>
      </c>
      <c r="T109" s="401">
        <v>0</v>
      </c>
      <c r="U109" s="401">
        <v>0</v>
      </c>
      <c r="V109" s="400">
        <f t="shared" si="122"/>
        <v>0</v>
      </c>
      <c r="W109" s="402">
        <v>0</v>
      </c>
      <c r="X109" s="402">
        <v>0</v>
      </c>
      <c r="Y109" s="402">
        <v>0</v>
      </c>
      <c r="Z109" s="401">
        <v>0</v>
      </c>
      <c r="AA109" s="400">
        <f t="shared" si="123"/>
        <v>0</v>
      </c>
      <c r="AB109" s="402">
        <v>0</v>
      </c>
      <c r="AC109" s="402">
        <v>0</v>
      </c>
      <c r="AD109" s="402">
        <v>0</v>
      </c>
      <c r="AE109" s="401">
        <v>0</v>
      </c>
      <c r="AF109" s="400">
        <f t="shared" si="124"/>
        <v>0</v>
      </c>
      <c r="AG109" s="402">
        <v>0</v>
      </c>
      <c r="AH109" s="404">
        <v>0</v>
      </c>
      <c r="AI109" s="401">
        <v>0</v>
      </c>
      <c r="AJ109" s="404">
        <v>0</v>
      </c>
      <c r="AK109" s="400">
        <f t="shared" si="114"/>
        <v>0</v>
      </c>
      <c r="AL109" s="401">
        <v>0</v>
      </c>
      <c r="AM109" s="404">
        <v>0</v>
      </c>
      <c r="AN109" s="404">
        <v>0</v>
      </c>
      <c r="AO109" s="404">
        <v>0</v>
      </c>
      <c r="AP109" s="400">
        <f t="shared" si="115"/>
        <v>0</v>
      </c>
      <c r="AQ109" s="404">
        <v>0</v>
      </c>
      <c r="AR109" s="404">
        <v>0</v>
      </c>
      <c r="AS109" s="404">
        <v>0</v>
      </c>
      <c r="AT109" s="404">
        <v>0</v>
      </c>
      <c r="AU109" s="400">
        <f t="shared" si="116"/>
        <v>0</v>
      </c>
      <c r="AV109" s="404">
        <v>0</v>
      </c>
      <c r="AW109" s="404">
        <v>0</v>
      </c>
      <c r="AX109" s="404">
        <v>0</v>
      </c>
      <c r="AY109" s="404">
        <v>0</v>
      </c>
      <c r="AZ109" s="400">
        <f t="shared" si="117"/>
        <v>0</v>
      </c>
      <c r="BA109" s="404">
        <v>0</v>
      </c>
      <c r="BB109" s="404">
        <v>0</v>
      </c>
      <c r="BC109" s="404">
        <v>0</v>
      </c>
      <c r="BD109" s="404">
        <v>0</v>
      </c>
      <c r="BE109" s="400">
        <f t="shared" si="118"/>
        <v>0</v>
      </c>
      <c r="BF109" s="404">
        <v>0</v>
      </c>
      <c r="BG109" s="404">
        <v>0</v>
      </c>
      <c r="BH109" s="404">
        <v>0</v>
      </c>
      <c r="BI109" s="404">
        <v>0</v>
      </c>
      <c r="BJ109" s="400">
        <f t="shared" si="119"/>
        <v>0</v>
      </c>
      <c r="BK109" s="405"/>
      <c r="BL109" s="400"/>
      <c r="BM109" s="405"/>
      <c r="BN109" s="405"/>
      <c r="BO109" s="405"/>
      <c r="BP109" s="405"/>
      <c r="BQ109" s="119"/>
      <c r="BR109" s="120"/>
      <c r="BS109" s="120"/>
      <c r="BZ109" s="113"/>
      <c r="CA109" s="113"/>
      <c r="CB109" s="113"/>
    </row>
    <row r="110" spans="1:80" ht="13.5" hidden="1" customHeight="1" outlineLevel="1" thickBot="1">
      <c r="A110" s="113"/>
      <c r="B110" s="411" t="s">
        <v>145</v>
      </c>
      <c r="C110" s="412"/>
      <c r="D110" s="412"/>
      <c r="E110" s="412"/>
      <c r="F110" s="412"/>
      <c r="G110" s="297">
        <f t="shared" ref="G110:AZ110" si="128">+G38-SUM(G102:G109)</f>
        <v>247.39999999999995</v>
      </c>
      <c r="H110" s="412">
        <f t="shared" si="128"/>
        <v>60.600000000000009</v>
      </c>
      <c r="I110" s="412">
        <f t="shared" si="128"/>
        <v>64.799999999999983</v>
      </c>
      <c r="J110" s="412">
        <f t="shared" si="128"/>
        <v>68.7</v>
      </c>
      <c r="K110" s="412">
        <f t="shared" si="128"/>
        <v>86.800000000000011</v>
      </c>
      <c r="L110" s="297">
        <f t="shared" si="128"/>
        <v>280.89999999999992</v>
      </c>
      <c r="M110" s="412">
        <f t="shared" si="128"/>
        <v>73.830000000000027</v>
      </c>
      <c r="N110" s="412">
        <f t="shared" si="128"/>
        <v>80.270000000000039</v>
      </c>
      <c r="O110" s="412">
        <f t="shared" si="128"/>
        <v>106.47999999999999</v>
      </c>
      <c r="P110" s="412">
        <f t="shared" si="128"/>
        <v>123.39800000000002</v>
      </c>
      <c r="Q110" s="297">
        <f t="shared" si="128"/>
        <v>383.97800000000001</v>
      </c>
      <c r="R110" s="412">
        <f t="shared" si="128"/>
        <v>0.38200000000001921</v>
      </c>
      <c r="S110" s="412">
        <f t="shared" si="128"/>
        <v>119.40300000000006</v>
      </c>
      <c r="T110" s="412">
        <f t="shared" si="128"/>
        <v>120.20799999999994</v>
      </c>
      <c r="U110" s="412">
        <f t="shared" si="128"/>
        <v>132.72799999999995</v>
      </c>
      <c r="V110" s="297">
        <f t="shared" si="128"/>
        <v>372.721</v>
      </c>
      <c r="W110" s="412">
        <f t="shared" si="128"/>
        <v>115.26600000000001</v>
      </c>
      <c r="X110" s="412">
        <f t="shared" si="128"/>
        <v>141.34099999999998</v>
      </c>
      <c r="Y110" s="412">
        <f t="shared" si="128"/>
        <v>138.82600000000002</v>
      </c>
      <c r="Z110" s="412">
        <f t="shared" si="128"/>
        <v>142.82199999999997</v>
      </c>
      <c r="AA110" s="297">
        <f t="shared" si="128"/>
        <v>538.25499999999988</v>
      </c>
      <c r="AB110" s="412">
        <f t="shared" si="128"/>
        <v>117.113</v>
      </c>
      <c r="AC110" s="412">
        <f t="shared" si="128"/>
        <v>135.52599999999995</v>
      </c>
      <c r="AD110" s="412">
        <f t="shared" si="128"/>
        <v>163.203</v>
      </c>
      <c r="AE110" s="412">
        <f t="shared" si="128"/>
        <v>173.91799999999995</v>
      </c>
      <c r="AF110" s="297">
        <f t="shared" si="128"/>
        <v>589.76</v>
      </c>
      <c r="AG110" s="412">
        <f t="shared" si="128"/>
        <v>141.82799999999997</v>
      </c>
      <c r="AH110" s="412">
        <f t="shared" si="128"/>
        <v>177.10999999999993</v>
      </c>
      <c r="AI110" s="412">
        <f t="shared" si="128"/>
        <v>189.91399999999999</v>
      </c>
      <c r="AJ110" s="412">
        <f t="shared" si="128"/>
        <v>202.5</v>
      </c>
      <c r="AK110" s="297">
        <f t="shared" si="128"/>
        <v>711.35199999999986</v>
      </c>
      <c r="AL110" s="412">
        <f t="shared" si="128"/>
        <v>177.88499999999999</v>
      </c>
      <c r="AM110" s="412">
        <f>+AM38-SUM(AM102:AM109)</f>
        <v>212.91799999999995</v>
      </c>
      <c r="AN110" s="412">
        <f t="shared" si="128"/>
        <v>224.52099999999996</v>
      </c>
      <c r="AO110" s="412">
        <f t="shared" si="128"/>
        <v>223.24399999999997</v>
      </c>
      <c r="AP110" s="297">
        <f t="shared" si="128"/>
        <v>838.56799999999998</v>
      </c>
      <c r="AQ110" s="412">
        <f t="shared" si="128"/>
        <v>149.84800000000004</v>
      </c>
      <c r="AR110" s="412">
        <f>+AR38-SUM(AR102:AR109)</f>
        <v>232.09999999999988</v>
      </c>
      <c r="AS110" s="412">
        <f t="shared" si="128"/>
        <v>251.36399999999998</v>
      </c>
      <c r="AT110" s="412">
        <f t="shared" si="128"/>
        <v>268.98800000000011</v>
      </c>
      <c r="AU110" s="297">
        <f t="shared" si="128"/>
        <v>902.30000000000007</v>
      </c>
      <c r="AV110" s="412">
        <f t="shared" si="128"/>
        <v>379.55358004233506</v>
      </c>
      <c r="AW110" s="412">
        <f t="shared" si="128"/>
        <v>449.71461832554866</v>
      </c>
      <c r="AX110" s="412">
        <f t="shared" si="128"/>
        <v>477.92155113556407</v>
      </c>
      <c r="AY110" s="412">
        <f t="shared" si="128"/>
        <v>499.94578432181191</v>
      </c>
      <c r="AZ110" s="297">
        <f t="shared" si="128"/>
        <v>1807.1355338252597</v>
      </c>
      <c r="BA110" s="412">
        <f t="shared" ref="BA110:BJ110" si="129">+BA38-SUM(BA102:BA109)</f>
        <v>468.48365957486089</v>
      </c>
      <c r="BB110" s="412">
        <f t="shared" si="129"/>
        <v>511.83460708693866</v>
      </c>
      <c r="BC110" s="412">
        <f t="shared" si="129"/>
        <v>543.23645508355719</v>
      </c>
      <c r="BD110" s="412">
        <f t="shared" si="129"/>
        <v>568.35114792016429</v>
      </c>
      <c r="BE110" s="297">
        <f t="shared" si="129"/>
        <v>2091.905869665522</v>
      </c>
      <c r="BF110" s="412">
        <f t="shared" si="129"/>
        <v>530.54011381942405</v>
      </c>
      <c r="BG110" s="412">
        <f t="shared" si="129"/>
        <v>578.945369272687</v>
      </c>
      <c r="BH110" s="412">
        <f t="shared" si="129"/>
        <v>613.51825691081785</v>
      </c>
      <c r="BI110" s="412">
        <f t="shared" si="129"/>
        <v>642.10570592484339</v>
      </c>
      <c r="BJ110" s="297">
        <f t="shared" si="129"/>
        <v>2365.109445927772</v>
      </c>
      <c r="BK110" s="413"/>
      <c r="BL110" s="297"/>
      <c r="BM110" s="413"/>
      <c r="BN110" s="413"/>
      <c r="BO110" s="413"/>
      <c r="BP110" s="413"/>
      <c r="BQ110" s="414"/>
      <c r="BR110" s="120"/>
      <c r="BS110" s="120"/>
      <c r="BZ110" s="113"/>
      <c r="CA110" s="113"/>
      <c r="CB110" s="113"/>
    </row>
    <row r="111" spans="1:80" ht="13.5" hidden="1" customHeight="1" outlineLevel="1" thickTop="1">
      <c r="A111" s="113"/>
      <c r="B111" s="375" t="s">
        <v>146</v>
      </c>
      <c r="C111" s="376"/>
      <c r="D111" s="376"/>
      <c r="E111" s="376"/>
      <c r="F111" s="376"/>
      <c r="G111" s="400">
        <v>52.2</v>
      </c>
      <c r="H111" s="401">
        <v>25.2</v>
      </c>
      <c r="I111" s="401">
        <v>25.6</v>
      </c>
      <c r="J111" s="401">
        <v>27.4</v>
      </c>
      <c r="K111" s="401">
        <v>32.700000000000003</v>
      </c>
      <c r="L111" s="415">
        <f>SUM(H111:K111)</f>
        <v>110.89999999999999</v>
      </c>
      <c r="M111" s="401">
        <v>36.700000000000003</v>
      </c>
      <c r="N111" s="401">
        <v>39</v>
      </c>
      <c r="O111" s="401">
        <v>40.1</v>
      </c>
      <c r="P111" s="401">
        <v>39.558999999999997</v>
      </c>
      <c r="Q111" s="415">
        <f>SUM(M111:P111)</f>
        <v>155.35900000000001</v>
      </c>
      <c r="R111" s="401">
        <v>38.895000000000003</v>
      </c>
      <c r="S111" s="401">
        <v>39.667000000000002</v>
      </c>
      <c r="T111" s="401">
        <v>40.618000000000002</v>
      </c>
      <c r="U111" s="401">
        <v>41.356999999999999</v>
      </c>
      <c r="V111" s="415">
        <f>SUM(R111:U111)</f>
        <v>160.53700000000001</v>
      </c>
      <c r="W111" s="401">
        <v>43.295999999999999</v>
      </c>
      <c r="X111" s="402">
        <v>44.527999999999999</v>
      </c>
      <c r="Y111" s="402">
        <v>48.603999999999999</v>
      </c>
      <c r="Z111" s="401">
        <v>49.024999999999999</v>
      </c>
      <c r="AA111" s="415">
        <f>SUM(W111:Z111)</f>
        <v>185.453</v>
      </c>
      <c r="AB111" s="401">
        <v>49.845999999999997</v>
      </c>
      <c r="AC111" s="401">
        <v>89.040999999999997</v>
      </c>
      <c r="AD111" s="401">
        <v>65.289000000000001</v>
      </c>
      <c r="AE111" s="401">
        <v>70.893000000000001</v>
      </c>
      <c r="AF111" s="415">
        <f>SUM(AB111:AE111)</f>
        <v>275.06899999999996</v>
      </c>
      <c r="AG111" s="401">
        <v>67.802000000000007</v>
      </c>
      <c r="AH111" s="401">
        <v>67.659000000000006</v>
      </c>
      <c r="AI111" s="401">
        <v>70.638000000000005</v>
      </c>
      <c r="AJ111" s="401">
        <v>70.843000000000004</v>
      </c>
      <c r="AK111" s="415">
        <f>SUM(AG111:AJ111)</f>
        <v>276.94200000000001</v>
      </c>
      <c r="AL111" s="401">
        <v>68.23</v>
      </c>
      <c r="AM111" s="406">
        <v>65.233999999999995</v>
      </c>
      <c r="AN111" s="406">
        <v>66.085999999999999</v>
      </c>
      <c r="AO111" s="406">
        <v>70.504000000000005</v>
      </c>
      <c r="AP111" s="415">
        <f>SUM(AL111:AO111)</f>
        <v>270.05400000000003</v>
      </c>
      <c r="AQ111" s="401">
        <v>76.085999999999999</v>
      </c>
      <c r="AR111" s="406">
        <v>78.378</v>
      </c>
      <c r="AS111" s="401">
        <v>82.5</v>
      </c>
      <c r="AT111" s="401">
        <f>+$AP$111/$AP$15*AT15</f>
        <v>80.663270985703733</v>
      </c>
      <c r="AU111" s="415">
        <f>SUM(AQ111:AT111)</f>
        <v>317.62727098570372</v>
      </c>
      <c r="AV111" s="401">
        <f>+$AP$111/$AP$15*AV15</f>
        <v>118.26924368337474</v>
      </c>
      <c r="AW111" s="401">
        <f>+$AP$111/$AP$15*AW15</f>
        <v>138.0979572081304</v>
      </c>
      <c r="AX111" s="401">
        <f t="shared" ref="AX111:AY111" si="130">+$AP$111/$AP$15*AX15</f>
        <v>144.5678709941273</v>
      </c>
      <c r="AY111" s="401">
        <f t="shared" si="130"/>
        <v>149.00467113585319</v>
      </c>
      <c r="AZ111" s="415">
        <f>SUM(AV111:AY111)</f>
        <v>549.93974302148558</v>
      </c>
      <c r="BA111" s="401">
        <f>+$AP$111/$AP$15*BA15</f>
        <v>139.8334143292623</v>
      </c>
      <c r="BB111" s="401">
        <f>+$AP$111/$AP$15*BB15</f>
        <v>150.64791474996312</v>
      </c>
      <c r="BC111" s="401">
        <f t="shared" ref="BC111:BD111" si="131">+$AP$111/$AP$15*BC15</f>
        <v>157.60017361513846</v>
      </c>
      <c r="BD111" s="401">
        <f t="shared" si="131"/>
        <v>162.55785000643897</v>
      </c>
      <c r="BE111" s="415">
        <f>SUM(BA111:BD111)</f>
        <v>610.63935270080287</v>
      </c>
      <c r="BF111" s="401">
        <f>+$AP$111/$AP$15*BF15</f>
        <v>152.88442616914742</v>
      </c>
      <c r="BG111" s="401">
        <f>+$AP$111/$AP$15*BG15</f>
        <v>164.59185519260555</v>
      </c>
      <c r="BH111" s="401">
        <f t="shared" ref="BH111:BI111" si="132">+$AP$111/$AP$15*BH15</f>
        <v>172.00642174594503</v>
      </c>
      <c r="BI111" s="401">
        <f t="shared" si="132"/>
        <v>177.56335235821462</v>
      </c>
      <c r="BJ111" s="415">
        <f>SUM(BF111:BI111)</f>
        <v>667.04605546591256</v>
      </c>
      <c r="BK111" s="320"/>
      <c r="BL111" s="320"/>
      <c r="BM111" s="320"/>
      <c r="BN111" s="320"/>
      <c r="BO111" s="320"/>
      <c r="BP111" s="320"/>
      <c r="BQ111" s="119"/>
      <c r="BR111" s="120"/>
      <c r="BS111" s="120"/>
      <c r="BZ111" s="113"/>
      <c r="CA111" s="113"/>
      <c r="CB111" s="113"/>
    </row>
    <row r="112" spans="1:80" ht="13.5" hidden="1" customHeight="1" outlineLevel="1">
      <c r="A112" s="113"/>
      <c r="B112" s="375" t="s">
        <v>147</v>
      </c>
      <c r="C112" s="376"/>
      <c r="D112" s="376"/>
      <c r="E112" s="376"/>
      <c r="F112" s="376"/>
      <c r="G112" s="400">
        <v>68.8</v>
      </c>
      <c r="H112" s="401">
        <v>28.7</v>
      </c>
      <c r="I112" s="401">
        <v>29</v>
      </c>
      <c r="J112" s="401">
        <v>29.2</v>
      </c>
      <c r="K112" s="401">
        <v>29.2</v>
      </c>
      <c r="L112" s="415">
        <f>SUM(H112:K112)</f>
        <v>116.10000000000001</v>
      </c>
      <c r="M112" s="401">
        <v>30.6</v>
      </c>
      <c r="N112" s="401">
        <v>29</v>
      </c>
      <c r="O112" s="401">
        <v>26.2</v>
      </c>
      <c r="P112" s="401">
        <v>25.76</v>
      </c>
      <c r="Q112" s="415">
        <f>SUM(M112:P112)</f>
        <v>111.56</v>
      </c>
      <c r="R112" s="401">
        <v>24.45</v>
      </c>
      <c r="S112" s="401">
        <v>10.169</v>
      </c>
      <c r="T112" s="401">
        <v>10.055999999999999</v>
      </c>
      <c r="U112" s="401">
        <v>9.8970000000000002</v>
      </c>
      <c r="V112" s="415">
        <f>SUM(R112:U112)</f>
        <v>54.571999999999996</v>
      </c>
      <c r="W112" s="401">
        <v>9.6940000000000008</v>
      </c>
      <c r="X112" s="401">
        <f>-X54+20</f>
        <v>29.899000000000001</v>
      </c>
      <c r="Y112" s="401">
        <v>10.724</v>
      </c>
      <c r="Z112" s="401">
        <f>-Z54</f>
        <v>10.585000000000001</v>
      </c>
      <c r="AA112" s="415">
        <f>SUM(W112:Z112)</f>
        <v>60.902000000000008</v>
      </c>
      <c r="AB112" s="401">
        <v>10.554</v>
      </c>
      <c r="AC112" s="401">
        <f>-AC54+27.656</f>
        <v>41.152000000000001</v>
      </c>
      <c r="AD112" s="401">
        <v>28.039000000000001</v>
      </c>
      <c r="AE112" s="401">
        <f>-AE54</f>
        <v>27.611999999999998</v>
      </c>
      <c r="AF112" s="415">
        <f>SUM(AB112:AE112)</f>
        <v>107.357</v>
      </c>
      <c r="AG112" s="401">
        <v>26.010999999999999</v>
      </c>
      <c r="AH112" s="401">
        <v>25.713999999999999</v>
      </c>
      <c r="AI112" s="401">
        <v>27.044</v>
      </c>
      <c r="AJ112" s="401">
        <f>-AJ54</f>
        <v>26.966999999999999</v>
      </c>
      <c r="AK112" s="415">
        <f>SUM(AG112:AJ112)</f>
        <v>105.73599999999999</v>
      </c>
      <c r="AL112" s="401">
        <f>-AL54</f>
        <v>27.728999999999999</v>
      </c>
      <c r="AM112" s="401">
        <f>-AM54</f>
        <v>26.117999999999999</v>
      </c>
      <c r="AN112" s="401">
        <f>-AN54</f>
        <v>27.474</v>
      </c>
      <c r="AO112" s="401">
        <f>-AO54</f>
        <v>28.213000000000001</v>
      </c>
      <c r="AP112" s="415">
        <f>SUM(AL112:AO112)</f>
        <v>109.53399999999999</v>
      </c>
      <c r="AQ112" s="401">
        <f>-AQ54</f>
        <v>29.17</v>
      </c>
      <c r="AR112" s="401">
        <f>-AR54</f>
        <v>29.75</v>
      </c>
      <c r="AS112" s="401">
        <f>-AS54</f>
        <v>38.521000000000001</v>
      </c>
      <c r="AT112" s="401">
        <f>-AT54</f>
        <v>43.22</v>
      </c>
      <c r="AU112" s="415">
        <f>SUM(AQ112:AT112)</f>
        <v>140.661</v>
      </c>
      <c r="AV112" s="401">
        <f>-AV54</f>
        <v>87.846852250000012</v>
      </c>
      <c r="AW112" s="401">
        <f>-AW54</f>
        <v>88.993461999999994</v>
      </c>
      <c r="AX112" s="401">
        <f>-AX54</f>
        <v>90.140071750000004</v>
      </c>
      <c r="AY112" s="401">
        <f>-AY54</f>
        <v>91.2866815</v>
      </c>
      <c r="AZ112" s="415">
        <f>SUM(AV112:AY112)</f>
        <v>358.2670675</v>
      </c>
      <c r="BA112" s="401">
        <f>-BA54</f>
        <v>89.053969000000009</v>
      </c>
      <c r="BB112" s="401">
        <f>-BB54</f>
        <v>88.203969000000015</v>
      </c>
      <c r="BC112" s="401">
        <f>-BC54</f>
        <v>87.353968999999992</v>
      </c>
      <c r="BD112" s="401">
        <f>-BD54</f>
        <v>86.503968999999998</v>
      </c>
      <c r="BE112" s="415">
        <f>SUM(BA112:BD112)</f>
        <v>351.11587600000001</v>
      </c>
      <c r="BF112" s="401">
        <f>-BF54</f>
        <v>86.503968999999998</v>
      </c>
      <c r="BG112" s="401">
        <f>-BG54</f>
        <v>86.503968999999998</v>
      </c>
      <c r="BH112" s="401">
        <f>-BH54</f>
        <v>86.503968999999998</v>
      </c>
      <c r="BI112" s="401">
        <f>-BI54</f>
        <v>86.503968999999998</v>
      </c>
      <c r="BJ112" s="415">
        <f>SUM(BF112:BI112)</f>
        <v>346.01587599999999</v>
      </c>
      <c r="BK112" s="320"/>
      <c r="BL112" s="320"/>
      <c r="BM112" s="320"/>
      <c r="BN112" s="320"/>
      <c r="BO112" s="320"/>
      <c r="BP112" s="320"/>
      <c r="BQ112" s="119"/>
      <c r="BR112" s="120"/>
      <c r="BS112" s="120"/>
      <c r="BZ112" s="113"/>
      <c r="CA112" s="113"/>
      <c r="CB112" s="113"/>
    </row>
    <row r="113" spans="1:80" ht="13.5" hidden="1" customHeight="1" outlineLevel="1">
      <c r="A113" s="113"/>
      <c r="B113" s="375" t="s">
        <v>148</v>
      </c>
      <c r="C113" s="376"/>
      <c r="D113" s="376"/>
      <c r="E113" s="376"/>
      <c r="F113" s="376"/>
      <c r="G113" s="377"/>
      <c r="H113" s="376"/>
      <c r="I113" s="376"/>
      <c r="J113" s="376"/>
      <c r="K113" s="376"/>
      <c r="L113" s="314"/>
      <c r="M113" s="376"/>
      <c r="N113" s="376"/>
      <c r="O113" s="376"/>
      <c r="P113" s="376"/>
      <c r="Q113" s="314"/>
      <c r="R113" s="376"/>
      <c r="S113" s="376"/>
      <c r="T113" s="376"/>
      <c r="U113" s="376"/>
      <c r="V113" s="314"/>
      <c r="W113" s="376"/>
      <c r="X113" s="376"/>
      <c r="Y113" s="376"/>
      <c r="Z113" s="376"/>
      <c r="AA113" s="314"/>
      <c r="AB113" s="376"/>
      <c r="AC113" s="376"/>
      <c r="AD113" s="376">
        <v>6.5940000000000003</v>
      </c>
      <c r="AE113" s="376">
        <v>34.427</v>
      </c>
      <c r="AF113" s="314"/>
      <c r="AG113" s="376">
        <v>-8.766</v>
      </c>
      <c r="AH113" s="376">
        <v>-6.7249999999999996</v>
      </c>
      <c r="AI113" s="376">
        <v>-8.3079999999999998</v>
      </c>
      <c r="AJ113" s="376">
        <v>-7.4690000000000003</v>
      </c>
      <c r="AK113" s="314"/>
      <c r="AL113" s="376">
        <v>-5.6520000000000001</v>
      </c>
      <c r="AM113" s="376">
        <v>-4.6639999999999997</v>
      </c>
      <c r="AN113" s="376">
        <v>-4.633</v>
      </c>
      <c r="AO113" s="376">
        <v>-21.306999999999999</v>
      </c>
      <c r="AP113" s="415">
        <f>SUM(AL113:AO113)</f>
        <v>-36.256</v>
      </c>
      <c r="AQ113" s="376">
        <v>-4.1239999999999997</v>
      </c>
      <c r="AR113" s="376">
        <v>-3.411</v>
      </c>
      <c r="AS113" s="376">
        <v>21.207000000000001</v>
      </c>
      <c r="AT113" s="376"/>
      <c r="AU113" s="415">
        <f>SUM(AQ113:AT113)</f>
        <v>13.672000000000001</v>
      </c>
      <c r="AV113" s="376"/>
      <c r="AW113" s="376"/>
      <c r="AX113" s="376"/>
      <c r="AY113" s="376"/>
      <c r="AZ113" s="314"/>
      <c r="BA113" s="376"/>
      <c r="BB113" s="376"/>
      <c r="BC113" s="376"/>
      <c r="BD113" s="376"/>
      <c r="BE113" s="314"/>
      <c r="BF113" s="376"/>
      <c r="BG113" s="376"/>
      <c r="BH113" s="376"/>
      <c r="BI113" s="376"/>
      <c r="BJ113" s="314"/>
      <c r="BK113" s="320"/>
      <c r="BL113" s="320"/>
      <c r="BM113" s="320"/>
      <c r="BN113" s="320"/>
      <c r="BO113" s="320"/>
      <c r="BP113" s="320"/>
      <c r="BQ113" s="119"/>
      <c r="BR113" s="120"/>
      <c r="BS113" s="120"/>
      <c r="BZ113" s="113"/>
      <c r="CA113" s="113"/>
      <c r="CB113" s="113"/>
    </row>
    <row r="114" spans="1:80" ht="13.5" hidden="1" customHeight="1" outlineLevel="1">
      <c r="A114" s="113"/>
      <c r="B114" s="375" t="s">
        <v>149</v>
      </c>
      <c r="C114" s="376"/>
      <c r="D114" s="376"/>
      <c r="E114" s="376"/>
      <c r="F114" s="376"/>
      <c r="G114" s="377"/>
      <c r="H114" s="376"/>
      <c r="I114" s="376"/>
      <c r="J114" s="376"/>
      <c r="K114" s="376"/>
      <c r="L114" s="314"/>
      <c r="M114" s="376"/>
      <c r="N114" s="376"/>
      <c r="O114" s="376"/>
      <c r="P114" s="376"/>
      <c r="Q114" s="314"/>
      <c r="R114" s="376">
        <f>+R110-R111-R112</f>
        <v>-62.96299999999998</v>
      </c>
      <c r="S114" s="376">
        <f>+S110-S111-S112</f>
        <v>69.567000000000064</v>
      </c>
      <c r="T114" s="376">
        <f>+T110-T111-T112</f>
        <v>69.533999999999949</v>
      </c>
      <c r="U114" s="376">
        <f>+U110-U111-U112</f>
        <v>81.473999999999947</v>
      </c>
      <c r="V114" s="314">
        <f>SUM(R114:U114)</f>
        <v>157.61199999999997</v>
      </c>
      <c r="W114" s="376">
        <f>+W110-W111-W112</f>
        <v>62.275999999999996</v>
      </c>
      <c r="X114" s="376">
        <f>+X110-X111-X112</f>
        <v>66.913999999999987</v>
      </c>
      <c r="Y114" s="376">
        <f>+Y110-Y111-Y112</f>
        <v>79.498000000000019</v>
      </c>
      <c r="Z114" s="376">
        <f>+Z110-Z111-Z112</f>
        <v>83.211999999999961</v>
      </c>
      <c r="AA114" s="314">
        <f>SUM(W114:Z114)</f>
        <v>291.89999999999998</v>
      </c>
      <c r="AB114" s="376">
        <f>+AB110-AB111-AB112</f>
        <v>56.712999999999994</v>
      </c>
      <c r="AC114" s="376">
        <f>+AC110-AC111-AC112</f>
        <v>5.3329999999999558</v>
      </c>
      <c r="AD114" s="376">
        <f>+AD110-AD111-AD112</f>
        <v>69.875</v>
      </c>
      <c r="AE114" s="376">
        <f>+AE110-AE111-AE112+AE113</f>
        <v>109.83999999999995</v>
      </c>
      <c r="AF114" s="314">
        <f>SUM(AB114:AE114)</f>
        <v>241.76099999999988</v>
      </c>
      <c r="AG114" s="376">
        <f>+AG110-AG111-AG112+AG113</f>
        <v>39.248999999999974</v>
      </c>
      <c r="AH114" s="376">
        <f>+AH110-AH111-AH112+AH113</f>
        <v>77.011999999999929</v>
      </c>
      <c r="AI114" s="376">
        <f>+AI110-AI111-AI112+AI113</f>
        <v>83.923999999999978</v>
      </c>
      <c r="AJ114" s="376">
        <f>+AJ110-AJ111-AJ112+AJ113</f>
        <v>97.220999999999989</v>
      </c>
      <c r="AK114" s="314">
        <f>SUM(AG114:AJ114)</f>
        <v>297.40599999999989</v>
      </c>
      <c r="AL114" s="376">
        <f>+AL110-AL111-AL112+AL113</f>
        <v>76.273999999999987</v>
      </c>
      <c r="AM114" s="376">
        <f>+AM110-AM111-AM112+AM113</f>
        <v>116.90199999999997</v>
      </c>
      <c r="AN114" s="376">
        <f>+AN110-AN111-AN112+AN113</f>
        <v>126.32799999999996</v>
      </c>
      <c r="AO114" s="376">
        <f>+AO110-AO111-AO112+AO113</f>
        <v>103.21999999999996</v>
      </c>
      <c r="AP114" s="314">
        <f>SUM(AL114:AO114)</f>
        <v>422.72399999999988</v>
      </c>
      <c r="AQ114" s="376">
        <f>+AQ110-AQ111-AQ112+AQ113</f>
        <v>40.468000000000039</v>
      </c>
      <c r="AR114" s="376">
        <f>+AR110-AR111-AR112+AR113</f>
        <v>120.56099999999986</v>
      </c>
      <c r="AS114" s="376">
        <f>+AS110-AS111-AS112+AS113</f>
        <v>151.54999999999995</v>
      </c>
      <c r="AT114" s="376">
        <f>+AT110-AT111-AT112</f>
        <v>145.1047290142964</v>
      </c>
      <c r="AU114" s="314">
        <f>SUM(AQ114:AT114)</f>
        <v>457.6837290142962</v>
      </c>
      <c r="AV114" s="376">
        <f>+AV110-AV111-AV112</f>
        <v>173.43748410896032</v>
      </c>
      <c r="AW114" s="376">
        <f>+AW110-AW111-AW112</f>
        <v>222.6231991174183</v>
      </c>
      <c r="AX114" s="376">
        <f>+AX110-AX111-AX112</f>
        <v>243.21360839143676</v>
      </c>
      <c r="AY114" s="376">
        <f>+AY110-AY111-AY112</f>
        <v>259.65443168595874</v>
      </c>
      <c r="AZ114" s="314">
        <f>SUM(AV114:AY114)</f>
        <v>898.92872330377418</v>
      </c>
      <c r="BA114" s="376">
        <f>+BA110-BA111-BA112</f>
        <v>239.59627624559863</v>
      </c>
      <c r="BB114" s="376">
        <f>+BB110-BB111-BB112</f>
        <v>272.98272333697548</v>
      </c>
      <c r="BC114" s="376">
        <f>+BC110-BC111-BC112</f>
        <v>298.2823124684187</v>
      </c>
      <c r="BD114" s="376">
        <f>+BD110-BD111-BD112</f>
        <v>319.28932891372534</v>
      </c>
      <c r="BE114" s="314">
        <f>SUM(BA114:BD114)</f>
        <v>1130.1506409647181</v>
      </c>
      <c r="BF114" s="376">
        <f>+BF110-BF111-BF112</f>
        <v>291.15171865027662</v>
      </c>
      <c r="BG114" s="376">
        <f>+BG110-BG111-BG112</f>
        <v>327.8495450800815</v>
      </c>
      <c r="BH114" s="376">
        <f>+BH110-BH111-BH112</f>
        <v>355.00786616487284</v>
      </c>
      <c r="BI114" s="376">
        <f>+BI110-BI111-BI112</f>
        <v>378.03838456662879</v>
      </c>
      <c r="BJ114" s="314">
        <f>SUM(BF114:BI114)</f>
        <v>1352.0475144618597</v>
      </c>
      <c r="BK114" s="320"/>
      <c r="BL114" s="320"/>
      <c r="BM114" s="320"/>
      <c r="BN114" s="320"/>
      <c r="BO114" s="320"/>
      <c r="BP114" s="320"/>
      <c r="BQ114" s="119"/>
      <c r="BR114" s="120"/>
      <c r="BS114" s="120"/>
      <c r="BZ114" s="113"/>
      <c r="CA114" s="113"/>
      <c r="CB114" s="113"/>
    </row>
    <row r="115" spans="1:80" ht="13.5" hidden="1" customHeight="1" outlineLevel="1">
      <c r="A115" s="113"/>
      <c r="B115" s="375" t="s">
        <v>150</v>
      </c>
      <c r="C115" s="376"/>
      <c r="D115" s="376"/>
      <c r="E115" s="376"/>
      <c r="F115" s="376"/>
      <c r="G115" s="377">
        <v>36.700000000000003</v>
      </c>
      <c r="H115" s="376">
        <v>1.3</v>
      </c>
      <c r="I115" s="376">
        <v>2</v>
      </c>
      <c r="J115" s="376">
        <v>2.2999999999999998</v>
      </c>
      <c r="K115" s="376">
        <v>-6.5</v>
      </c>
      <c r="L115" s="314">
        <f>SUM(H115:K115)</f>
        <v>-0.90000000000000036</v>
      </c>
      <c r="M115" s="376">
        <v>1.9</v>
      </c>
      <c r="N115" s="376">
        <v>0.7</v>
      </c>
      <c r="O115" s="376">
        <v>11.5</v>
      </c>
      <c r="P115" s="376">
        <v>18.2</v>
      </c>
      <c r="Q115" s="314">
        <f>SUM(M115:P115)</f>
        <v>32.299999999999997</v>
      </c>
      <c r="R115" s="376">
        <v>-20.035</v>
      </c>
      <c r="S115" s="376">
        <v>21.989000000000001</v>
      </c>
      <c r="T115" s="376">
        <v>20.895</v>
      </c>
      <c r="U115" s="376">
        <v>24.004999999999999</v>
      </c>
      <c r="V115" s="314">
        <f>SUM(R115:U115)</f>
        <v>46.853999999999999</v>
      </c>
      <c r="W115" s="376">
        <v>17.811</v>
      </c>
      <c r="X115" s="376">
        <v>20.946000000000002</v>
      </c>
      <c r="Y115" s="376">
        <v>24.893000000000001</v>
      </c>
      <c r="Z115" s="376">
        <v>20.11</v>
      </c>
      <c r="AA115" s="314">
        <f>SUM(W115:Z115)</f>
        <v>83.76</v>
      </c>
      <c r="AB115" s="376">
        <v>15.622</v>
      </c>
      <c r="AC115" s="376">
        <v>2.02</v>
      </c>
      <c r="AD115" s="376">
        <v>20.436</v>
      </c>
      <c r="AE115" s="376">
        <v>28.099</v>
      </c>
      <c r="AF115" s="314">
        <f>SUM(AB115:AE115)</f>
        <v>66.177000000000007</v>
      </c>
      <c r="AG115" s="376">
        <v>12.253</v>
      </c>
      <c r="AH115" s="376">
        <v>24.318999999999999</v>
      </c>
      <c r="AI115" s="376">
        <v>24.776</v>
      </c>
      <c r="AJ115" s="376">
        <v>26.829000000000001</v>
      </c>
      <c r="AK115" s="314">
        <f>SUM(AG115:AJ115)</f>
        <v>88.176999999999992</v>
      </c>
      <c r="AL115" s="376">
        <v>23.826000000000001</v>
      </c>
      <c r="AM115" s="376">
        <v>38.441000000000003</v>
      </c>
      <c r="AN115" s="376">
        <v>39.323999999999998</v>
      </c>
      <c r="AO115" s="376">
        <v>40.262</v>
      </c>
      <c r="AP115" s="314">
        <f>SUM(AL115:AO115)</f>
        <v>141.85300000000001</v>
      </c>
      <c r="AQ115" s="376">
        <v>5.1669999999999998</v>
      </c>
      <c r="AR115" s="376">
        <v>33.707000000000001</v>
      </c>
      <c r="AS115" s="376">
        <v>44.645000000000003</v>
      </c>
      <c r="AT115" s="376">
        <f>+AT114*AT116</f>
        <v>42.746292489892873</v>
      </c>
      <c r="AU115" s="314">
        <f>SUM(AQ115:AT115)</f>
        <v>126.26529248989289</v>
      </c>
      <c r="AV115" s="376">
        <f>+AV114*AV116</f>
        <v>51.092817407090315</v>
      </c>
      <c r="AW115" s="376">
        <f>+AW114*AW116</f>
        <v>65.582400030334171</v>
      </c>
      <c r="AX115" s="376">
        <f>+AX114*AX116</f>
        <v>71.64811314177301</v>
      </c>
      <c r="AY115" s="376">
        <f>+AY114*AY116</f>
        <v>76.491402854633009</v>
      </c>
      <c r="AZ115" s="314">
        <f>SUM(AV115:AY115)</f>
        <v>264.8147334338305</v>
      </c>
      <c r="BA115" s="376">
        <f>+BA114*BA116</f>
        <v>70.582485997919861</v>
      </c>
      <c r="BB115" s="376">
        <f>+BB114*BB116</f>
        <v>80.417774222232111</v>
      </c>
      <c r="BC115" s="376">
        <f>+BC114*BC116</f>
        <v>87.870761069960793</v>
      </c>
      <c r="BD115" s="376">
        <f>+BD114*BD116</f>
        <v>94.059202173231768</v>
      </c>
      <c r="BE115" s="314">
        <f>SUM(BA115:BD115)</f>
        <v>332.93022346334453</v>
      </c>
      <c r="BF115" s="376">
        <f>+BF114*BF116</f>
        <v>85.770164824424981</v>
      </c>
      <c r="BG115" s="376">
        <f>+BG114*BG116</f>
        <v>96.580949786210795</v>
      </c>
      <c r="BH115" s="376">
        <f>+BH114*BH116</f>
        <v>104.58149907575556</v>
      </c>
      <c r="BI115" s="376">
        <f>+BI114*BI116</f>
        <v>111.36604209156813</v>
      </c>
      <c r="BJ115" s="314">
        <f>SUM(BF115:BI115)</f>
        <v>398.29865577795948</v>
      </c>
      <c r="BK115" s="320"/>
      <c r="BL115" s="320"/>
      <c r="BM115" s="320"/>
      <c r="BN115" s="320"/>
      <c r="BO115" s="320"/>
      <c r="BP115" s="320"/>
      <c r="BQ115" s="119"/>
      <c r="BR115" s="120"/>
      <c r="BS115" s="120"/>
      <c r="BZ115" s="113"/>
      <c r="CA115" s="113"/>
      <c r="CB115" s="113"/>
    </row>
    <row r="116" spans="1:80" ht="13.5" hidden="1" customHeight="1" outlineLevel="1">
      <c r="A116" s="113"/>
      <c r="B116" s="375" t="s">
        <v>151</v>
      </c>
      <c r="C116" s="376"/>
      <c r="D116" s="376"/>
      <c r="E116" s="376"/>
      <c r="F116" s="376"/>
      <c r="G116" s="377"/>
      <c r="H116" s="376"/>
      <c r="I116" s="376"/>
      <c r="J116" s="376"/>
      <c r="K116" s="376"/>
      <c r="L116" s="314"/>
      <c r="M116" s="376"/>
      <c r="N116" s="376"/>
      <c r="O116" s="376"/>
      <c r="P116" s="376"/>
      <c r="Q116" s="314"/>
      <c r="R116" s="416">
        <f t="shared" ref="R116:AE116" si="133">+R115/R114</f>
        <v>0.31820275399838011</v>
      </c>
      <c r="S116" s="416">
        <f t="shared" si="133"/>
        <v>0.31608377535325627</v>
      </c>
      <c r="T116" s="416">
        <f t="shared" si="133"/>
        <v>0.30050047458797158</v>
      </c>
      <c r="U116" s="416">
        <f t="shared" si="133"/>
        <v>0.29463387092814902</v>
      </c>
      <c r="V116" s="417">
        <f t="shared" si="133"/>
        <v>0.29727431921427311</v>
      </c>
      <c r="W116" s="416">
        <f t="shared" si="133"/>
        <v>0.28600102768321667</v>
      </c>
      <c r="X116" s="416">
        <f t="shared" si="133"/>
        <v>0.31302866365782955</v>
      </c>
      <c r="Y116" s="416">
        <f t="shared" si="133"/>
        <v>0.31312737427356657</v>
      </c>
      <c r="Z116" s="416">
        <f t="shared" si="133"/>
        <v>0.24167187424890652</v>
      </c>
      <c r="AA116" s="417">
        <f t="shared" si="133"/>
        <v>0.28694758478931143</v>
      </c>
      <c r="AB116" s="416">
        <f t="shared" si="133"/>
        <v>0.27545712623208085</v>
      </c>
      <c r="AC116" s="416">
        <f t="shared" si="133"/>
        <v>0.37877367335458778</v>
      </c>
      <c r="AD116" s="416">
        <f t="shared" si="133"/>
        <v>0.29246511627906979</v>
      </c>
      <c r="AE116" s="416">
        <f t="shared" si="133"/>
        <v>0.25581755280407881</v>
      </c>
      <c r="AF116" s="417">
        <f>+AF115/AF114</f>
        <v>0.27372901336443861</v>
      </c>
      <c r="AG116" s="418">
        <f>+AE116</f>
        <v>0.25581755280407881</v>
      </c>
      <c r="AH116" s="418">
        <f>+AG116</f>
        <v>0.25581755280407881</v>
      </c>
      <c r="AI116" s="418">
        <f>+AH116</f>
        <v>0.25581755280407881</v>
      </c>
      <c r="AJ116" s="418">
        <f>+AI116</f>
        <v>0.25581755280407881</v>
      </c>
      <c r="AK116" s="417">
        <f t="shared" ref="AK116:AS116" si="134">+AK115/AK114</f>
        <v>0.29648695722345891</v>
      </c>
      <c r="AL116" s="418">
        <f t="shared" si="134"/>
        <v>0.31237381021055671</v>
      </c>
      <c r="AM116" s="418">
        <f t="shared" si="134"/>
        <v>0.32883098663838095</v>
      </c>
      <c r="AN116" s="418">
        <f t="shared" si="134"/>
        <v>0.31128490912545131</v>
      </c>
      <c r="AO116" s="418">
        <f t="shared" si="134"/>
        <v>0.39006006587870584</v>
      </c>
      <c r="AP116" s="417">
        <f t="shared" si="134"/>
        <v>0.33556883451140707</v>
      </c>
      <c r="AQ116" s="418">
        <f t="shared" si="134"/>
        <v>0.12768113076999096</v>
      </c>
      <c r="AR116" s="418">
        <f t="shared" si="134"/>
        <v>0.27958460862136214</v>
      </c>
      <c r="AS116" s="418">
        <f t="shared" si="134"/>
        <v>0.29458924447377116</v>
      </c>
      <c r="AT116" s="418">
        <f>+AS116</f>
        <v>0.29458924447377116</v>
      </c>
      <c r="AU116" s="417">
        <f>+AU115/AU114</f>
        <v>0.27587891918689744</v>
      </c>
      <c r="AV116" s="418">
        <f>+AT116</f>
        <v>0.29458924447377116</v>
      </c>
      <c r="AW116" s="418">
        <f>+AV116</f>
        <v>0.29458924447377116</v>
      </c>
      <c r="AX116" s="418">
        <f>+AW116</f>
        <v>0.29458924447377116</v>
      </c>
      <c r="AY116" s="418">
        <f>+AX116</f>
        <v>0.29458924447377116</v>
      </c>
      <c r="AZ116" s="417">
        <f>+AZ115/AZ114</f>
        <v>0.29458924447377111</v>
      </c>
      <c r="BA116" s="418">
        <f>+AY116</f>
        <v>0.29458924447377116</v>
      </c>
      <c r="BB116" s="418">
        <f>+BA116</f>
        <v>0.29458924447377116</v>
      </c>
      <c r="BC116" s="418">
        <f>+BB116</f>
        <v>0.29458924447377116</v>
      </c>
      <c r="BD116" s="418">
        <f>+BC116</f>
        <v>0.29458924447377116</v>
      </c>
      <c r="BE116" s="417">
        <f>+BE115/BE114</f>
        <v>0.29458924447377116</v>
      </c>
      <c r="BF116" s="418">
        <f>+BD116</f>
        <v>0.29458924447377116</v>
      </c>
      <c r="BG116" s="418">
        <f>+BF116</f>
        <v>0.29458924447377116</v>
      </c>
      <c r="BH116" s="418">
        <f>+BG116</f>
        <v>0.29458924447377116</v>
      </c>
      <c r="BI116" s="418">
        <f>+BH116</f>
        <v>0.29458924447377116</v>
      </c>
      <c r="BJ116" s="417">
        <f>+BJ115/BJ114</f>
        <v>0.29458924447377122</v>
      </c>
      <c r="BK116" s="320"/>
      <c r="BL116" s="320"/>
      <c r="BM116" s="320"/>
      <c r="BN116" s="320"/>
      <c r="BO116" s="320"/>
      <c r="BP116" s="320"/>
      <c r="BQ116" s="119"/>
      <c r="BR116" s="120"/>
      <c r="BS116" s="120"/>
      <c r="BZ116" s="113"/>
      <c r="CA116" s="113"/>
      <c r="CB116" s="113"/>
    </row>
    <row r="117" spans="1:80" ht="13.5" hidden="1" customHeight="1" outlineLevel="1">
      <c r="A117" s="113"/>
      <c r="B117" s="379" t="s">
        <v>152</v>
      </c>
      <c r="C117" s="380"/>
      <c r="D117" s="380"/>
      <c r="E117" s="380"/>
      <c r="F117" s="380"/>
      <c r="G117" s="419">
        <f t="shared" ref="G117:AZ117" si="135">+G110-G111-G112-G115</f>
        <v>89.699999999999932</v>
      </c>
      <c r="H117" s="380">
        <f t="shared" si="135"/>
        <v>5.4000000000000066</v>
      </c>
      <c r="I117" s="380">
        <f t="shared" si="135"/>
        <v>8.1999999999999815</v>
      </c>
      <c r="J117" s="380">
        <f t="shared" si="135"/>
        <v>9.8000000000000043</v>
      </c>
      <c r="K117" s="380">
        <f t="shared" si="135"/>
        <v>31.400000000000009</v>
      </c>
      <c r="L117" s="419">
        <f t="shared" si="135"/>
        <v>54.799999999999933</v>
      </c>
      <c r="M117" s="380">
        <f t="shared" si="135"/>
        <v>4.6300000000000221</v>
      </c>
      <c r="N117" s="380">
        <f t="shared" si="135"/>
        <v>11.570000000000039</v>
      </c>
      <c r="O117" s="380">
        <f t="shared" si="135"/>
        <v>28.679999999999993</v>
      </c>
      <c r="P117" s="380">
        <f t="shared" si="135"/>
        <v>39.879000000000019</v>
      </c>
      <c r="Q117" s="419">
        <f t="shared" si="135"/>
        <v>84.759</v>
      </c>
      <c r="R117" s="380">
        <f t="shared" si="135"/>
        <v>-42.927999999999983</v>
      </c>
      <c r="S117" s="380">
        <f t="shared" si="135"/>
        <v>47.57800000000006</v>
      </c>
      <c r="T117" s="380">
        <f t="shared" si="135"/>
        <v>48.638999999999953</v>
      </c>
      <c r="U117" s="380">
        <f t="shared" si="135"/>
        <v>57.468999999999951</v>
      </c>
      <c r="V117" s="419">
        <f t="shared" si="135"/>
        <v>110.758</v>
      </c>
      <c r="W117" s="380">
        <f t="shared" si="135"/>
        <v>44.464999999999996</v>
      </c>
      <c r="X117" s="380">
        <f t="shared" si="135"/>
        <v>45.967999999999989</v>
      </c>
      <c r="Y117" s="380">
        <f t="shared" si="135"/>
        <v>54.605000000000018</v>
      </c>
      <c r="Z117" s="380">
        <f t="shared" si="135"/>
        <v>63.101999999999961</v>
      </c>
      <c r="AA117" s="419">
        <f t="shared" si="135"/>
        <v>208.13999999999993</v>
      </c>
      <c r="AB117" s="380">
        <f t="shared" si="135"/>
        <v>41.090999999999994</v>
      </c>
      <c r="AC117" s="380">
        <f t="shared" si="135"/>
        <v>3.3129999999999558</v>
      </c>
      <c r="AD117" s="380">
        <f>+AD110-AD111-AD112-AD115-AD113</f>
        <v>42.844999999999999</v>
      </c>
      <c r="AE117" s="380">
        <f>+AE110-AE111-AE112-AE115+AE113</f>
        <v>81.740999999999957</v>
      </c>
      <c r="AF117" s="419">
        <f t="shared" si="135"/>
        <v>141.15700000000004</v>
      </c>
      <c r="AG117" s="380">
        <f>+AG110-AG111-AG112-AG115+AG113</f>
        <v>26.995999999999974</v>
      </c>
      <c r="AH117" s="380">
        <f>+AH110-AH111+AH113-AH112-AH115</f>
        <v>52.692999999999927</v>
      </c>
      <c r="AI117" s="380">
        <f>+AI110-AI111+AI113-AI112-AI115</f>
        <v>59.147999999999996</v>
      </c>
      <c r="AJ117" s="380">
        <f>+AJ110-AJ111-AJ112-AJ115+AJ113</f>
        <v>70.391999999999996</v>
      </c>
      <c r="AK117" s="419">
        <f t="shared" si="135"/>
        <v>240.49699999999987</v>
      </c>
      <c r="AL117" s="380">
        <f>+AL110-AL111-AL112-AL115+AL113</f>
        <v>52.447999999999986</v>
      </c>
      <c r="AM117" s="380">
        <f>+AM110-AM111+AM113-AM112-AM115</f>
        <v>78.460999999999984</v>
      </c>
      <c r="AN117" s="380">
        <f>+AN110-AN111+AN113-AN112-AN115</f>
        <v>87.003999999999934</v>
      </c>
      <c r="AO117" s="380">
        <f>+AO110-AO111+AO113-AO112-AO115</f>
        <v>62.95799999999997</v>
      </c>
      <c r="AP117" s="419">
        <f>+AP110-AP111+AP113-AP112-AP115</f>
        <v>280.87099999999992</v>
      </c>
      <c r="AQ117" s="380">
        <f>+AQ110-AQ111-AQ112-AQ115+AQ113</f>
        <v>35.301000000000037</v>
      </c>
      <c r="AR117" s="380">
        <f>+AR110-AR111+AR113-AR112-AR115</f>
        <v>86.853999999999871</v>
      </c>
      <c r="AS117" s="380">
        <f>+AS110-AS111+AS113-AS112-AS115</f>
        <v>106.90499999999994</v>
      </c>
      <c r="AT117" s="380">
        <f>+AT110-AT111+AT113-AT112-AT115</f>
        <v>102.35843652440352</v>
      </c>
      <c r="AU117" s="419">
        <f>+AU110-AU111+AU113-AU112-AU115</f>
        <v>331.41843652440349</v>
      </c>
      <c r="AV117" s="380">
        <f t="shared" si="135"/>
        <v>122.34466670187001</v>
      </c>
      <c r="AW117" s="380">
        <f t="shared" si="135"/>
        <v>157.04079908708411</v>
      </c>
      <c r="AX117" s="380">
        <f t="shared" si="135"/>
        <v>171.56549524966374</v>
      </c>
      <c r="AY117" s="380">
        <f t="shared" si="135"/>
        <v>183.16302883132573</v>
      </c>
      <c r="AZ117" s="419">
        <f t="shared" si="135"/>
        <v>634.11398986994368</v>
      </c>
      <c r="BA117" s="380">
        <f t="shared" ref="BA117:BJ117" si="136">+BA110-BA111-BA112-BA115</f>
        <v>169.01379024767877</v>
      </c>
      <c r="BB117" s="380">
        <f t="shared" si="136"/>
        <v>192.56494911474337</v>
      </c>
      <c r="BC117" s="380">
        <f t="shared" si="136"/>
        <v>210.4115513984579</v>
      </c>
      <c r="BD117" s="380">
        <f t="shared" si="136"/>
        <v>225.23012674049357</v>
      </c>
      <c r="BE117" s="419">
        <f t="shared" si="136"/>
        <v>797.22041750137453</v>
      </c>
      <c r="BF117" s="380">
        <f t="shared" si="136"/>
        <v>205.38155382585165</v>
      </c>
      <c r="BG117" s="380">
        <f t="shared" si="136"/>
        <v>231.2685952938707</v>
      </c>
      <c r="BH117" s="380">
        <f t="shared" si="136"/>
        <v>250.42636708911726</v>
      </c>
      <c r="BI117" s="380">
        <f t="shared" si="136"/>
        <v>266.67234247506065</v>
      </c>
      <c r="BJ117" s="419">
        <f t="shared" si="136"/>
        <v>953.74885868389993</v>
      </c>
      <c r="BK117" s="413"/>
      <c r="BL117" s="413"/>
      <c r="BM117" s="413"/>
      <c r="BN117" s="413"/>
      <c r="BO117" s="413"/>
      <c r="BP117" s="413"/>
      <c r="BQ117" s="420"/>
      <c r="BR117" s="120"/>
      <c r="BS117" s="120"/>
      <c r="BZ117" s="113"/>
      <c r="CA117" s="113"/>
      <c r="CB117" s="113"/>
    </row>
    <row r="118" spans="1:80" ht="13.5" hidden="1" customHeight="1" outlineLevel="1" thickBot="1">
      <c r="A118" s="113"/>
      <c r="B118" s="383" t="s">
        <v>153</v>
      </c>
      <c r="C118" s="384"/>
      <c r="D118" s="384"/>
      <c r="E118" s="384"/>
      <c r="F118" s="384"/>
      <c r="G118" s="385"/>
      <c r="H118" s="384"/>
      <c r="I118" s="384"/>
      <c r="J118" s="384"/>
      <c r="K118" s="384"/>
      <c r="L118" s="385">
        <f t="shared" ref="L118:AZ118" si="137">L117/L76</f>
        <v>0.2582340531389225</v>
      </c>
      <c r="M118" s="384">
        <f t="shared" si="137"/>
        <v>2.1817950110095224E-2</v>
      </c>
      <c r="N118" s="384">
        <f t="shared" si="137"/>
        <v>5.4521313774039175E-2</v>
      </c>
      <c r="O118" s="384">
        <f t="shared" si="137"/>
        <v>0.13514877087635591</v>
      </c>
      <c r="P118" s="384">
        <f t="shared" si="137"/>
        <v>0.18792182126144355</v>
      </c>
      <c r="Q118" s="385">
        <f t="shared" si="137"/>
        <v>0.39940985602193352</v>
      </c>
      <c r="R118" s="384">
        <f t="shared" si="137"/>
        <v>-0.20220010939568528</v>
      </c>
      <c r="S118" s="384">
        <f t="shared" si="137"/>
        <v>0.22231398523975904</v>
      </c>
      <c r="T118" s="384">
        <f t="shared" si="137"/>
        <v>0.22617916484072273</v>
      </c>
      <c r="U118" s="384">
        <f t="shared" si="137"/>
        <v>0.26889257508381459</v>
      </c>
      <c r="V118" s="385">
        <f t="shared" si="137"/>
        <v>0.51811260416687988</v>
      </c>
      <c r="W118" s="384">
        <f t="shared" si="137"/>
        <v>0.20721412637301026</v>
      </c>
      <c r="X118" s="384">
        <f t="shared" si="137"/>
        <v>0.22110418046303101</v>
      </c>
      <c r="Y118" s="384">
        <f t="shared" si="137"/>
        <v>0.27165178123025646</v>
      </c>
      <c r="Z118" s="384">
        <f t="shared" si="137"/>
        <v>0.31463221074157399</v>
      </c>
      <c r="AA118" s="385">
        <f t="shared" si="137"/>
        <v>1.0103199604169508</v>
      </c>
      <c r="AB118" s="384">
        <f t="shared" si="137"/>
        <v>0.20653935536770632</v>
      </c>
      <c r="AC118" s="384">
        <f t="shared" si="137"/>
        <v>1.6689745331815543E-2</v>
      </c>
      <c r="AD118" s="384">
        <f t="shared" si="137"/>
        <v>0.2145478967300577</v>
      </c>
      <c r="AE118" s="384">
        <f t="shared" si="137"/>
        <v>0.40986819980301775</v>
      </c>
      <c r="AF118" s="385">
        <f t="shared" si="137"/>
        <v>0.70880939755414207</v>
      </c>
      <c r="AG118" s="384">
        <f t="shared" si="137"/>
        <v>0.13449907300963007</v>
      </c>
      <c r="AH118" s="384">
        <f t="shared" si="137"/>
        <v>0.26107425558176184</v>
      </c>
      <c r="AI118" s="384">
        <f t="shared" si="137"/>
        <v>0.29295832554396101</v>
      </c>
      <c r="AJ118" s="384">
        <f t="shared" si="137"/>
        <v>0.35458471048983498</v>
      </c>
      <c r="AK118" s="385">
        <f t="shared" si="137"/>
        <v>1.1980444676488813</v>
      </c>
      <c r="AL118" s="384">
        <f t="shared" si="137"/>
        <v>0.26653409481953466</v>
      </c>
      <c r="AM118" s="384">
        <f t="shared" si="137"/>
        <v>0.39775784438963441</v>
      </c>
      <c r="AN118" s="384">
        <f t="shared" si="137"/>
        <v>0.44087890814659042</v>
      </c>
      <c r="AO118" s="384">
        <f t="shared" si="137"/>
        <v>0.31918807978381791</v>
      </c>
      <c r="AP118" s="385">
        <f t="shared" si="137"/>
        <v>1.4246158636630073</v>
      </c>
      <c r="AQ118" s="384">
        <f>AQ117/AQ76</f>
        <v>0.17874224518609649</v>
      </c>
      <c r="AR118" s="384">
        <f t="shared" si="137"/>
        <v>0.43964812316456564</v>
      </c>
      <c r="AS118" s="384">
        <f>AS117/AS76</f>
        <v>0.57314198591894039</v>
      </c>
      <c r="AT118" s="384">
        <f t="shared" si="137"/>
        <v>0.57303470516221866</v>
      </c>
      <c r="AU118" s="385">
        <f t="shared" si="137"/>
        <v>1.7438491600740311</v>
      </c>
      <c r="AV118" s="384">
        <f t="shared" si="137"/>
        <v>0.38518564724276477</v>
      </c>
      <c r="AW118" s="384">
        <f t="shared" si="137"/>
        <v>0.49426611758887423</v>
      </c>
      <c r="AX118" s="384">
        <f t="shared" si="137"/>
        <v>0.53981086902142184</v>
      </c>
      <c r="AY118" s="384">
        <f t="shared" si="137"/>
        <v>0.57611988963380467</v>
      </c>
      <c r="AZ118" s="385">
        <f t="shared" si="137"/>
        <v>1.9954798167127672</v>
      </c>
      <c r="BA118" s="384">
        <f t="shared" ref="BA118:BJ118" si="138">BA117/BA76</f>
        <v>0.53153136588578043</v>
      </c>
      <c r="BB118" s="384">
        <f t="shared" si="138"/>
        <v>0.60540699663592545</v>
      </c>
      <c r="BC118" s="384">
        <f t="shared" si="138"/>
        <v>0.66130721075585619</v>
      </c>
      <c r="BD118" s="384">
        <f t="shared" si="138"/>
        <v>0.70765843386832283</v>
      </c>
      <c r="BE118" s="385">
        <f t="shared" si="138"/>
        <v>2.5059958391393002</v>
      </c>
      <c r="BF118" s="384">
        <f t="shared" si="138"/>
        <v>0.64509282257607647</v>
      </c>
      <c r="BG118" s="384">
        <f t="shared" si="138"/>
        <v>0.72617459129806328</v>
      </c>
      <c r="BH118" s="384">
        <f t="shared" si="138"/>
        <v>0.78608243903934416</v>
      </c>
      <c r="BI118" s="384">
        <f t="shared" si="138"/>
        <v>0.83681549685172385</v>
      </c>
      <c r="BJ118" s="385">
        <f t="shared" si="138"/>
        <v>2.9942650398177588</v>
      </c>
      <c r="BK118" s="300"/>
      <c r="BL118" s="300"/>
      <c r="BM118" s="300"/>
      <c r="BN118" s="300"/>
      <c r="BO118" s="300"/>
      <c r="BP118" s="300"/>
      <c r="BQ118" s="119"/>
      <c r="BR118" s="120"/>
      <c r="BS118" s="120"/>
      <c r="BZ118" s="113"/>
      <c r="CA118" s="113"/>
      <c r="CB118" s="113"/>
    </row>
    <row r="119" spans="1:80" ht="13.5" hidden="1" customHeight="1" outlineLevel="1" thickTop="1">
      <c r="A119" s="113"/>
      <c r="B119" s="375"/>
      <c r="C119" s="376"/>
      <c r="D119" s="376"/>
      <c r="E119" s="376"/>
      <c r="F119" s="376"/>
      <c r="G119" s="377"/>
      <c r="H119" s="376"/>
      <c r="I119" s="376"/>
      <c r="J119" s="376"/>
      <c r="K119" s="376"/>
      <c r="L119" s="314"/>
      <c r="M119" s="376"/>
      <c r="N119" s="376"/>
      <c r="O119" s="376"/>
      <c r="P119" s="376"/>
      <c r="Q119" s="314"/>
      <c r="R119" s="376"/>
      <c r="S119" s="376"/>
      <c r="T119" s="376"/>
      <c r="U119" s="376"/>
      <c r="V119" s="314"/>
      <c r="W119" s="376"/>
      <c r="X119" s="376"/>
      <c r="Y119" s="376"/>
      <c r="Z119" s="376"/>
      <c r="AA119" s="314"/>
      <c r="AB119" s="376"/>
      <c r="AC119" s="376"/>
      <c r="AD119" s="376"/>
      <c r="AE119" s="376"/>
      <c r="AF119" s="314"/>
      <c r="AG119" s="376"/>
      <c r="AH119" s="376"/>
      <c r="AI119" s="376"/>
      <c r="AJ119" s="376"/>
      <c r="AK119" s="314"/>
      <c r="AL119" s="376"/>
      <c r="AM119" s="376"/>
      <c r="AN119" s="376"/>
      <c r="AO119" s="376"/>
      <c r="AP119" s="314"/>
      <c r="AQ119" s="376"/>
      <c r="AR119" s="376"/>
      <c r="AS119" s="376"/>
      <c r="AT119" s="376"/>
      <c r="AU119" s="314"/>
      <c r="AV119" s="376"/>
      <c r="AW119" s="376"/>
      <c r="AX119" s="376"/>
      <c r="AY119" s="376"/>
      <c r="AZ119" s="314"/>
      <c r="BA119" s="376"/>
      <c r="BB119" s="376"/>
      <c r="BC119" s="376"/>
      <c r="BD119" s="376"/>
      <c r="BE119" s="314"/>
      <c r="BF119" s="376"/>
      <c r="BG119" s="376"/>
      <c r="BH119" s="376"/>
      <c r="BI119" s="376"/>
      <c r="BJ119" s="314"/>
      <c r="BK119" s="300"/>
      <c r="BL119" s="300"/>
      <c r="BM119" s="300"/>
      <c r="BN119" s="300"/>
      <c r="BO119" s="300"/>
      <c r="BP119" s="300"/>
      <c r="BQ119" s="119"/>
      <c r="BR119" s="120"/>
      <c r="BS119" s="120"/>
      <c r="BZ119" s="113"/>
      <c r="CA119" s="113"/>
      <c r="CB119" s="113"/>
    </row>
    <row r="120" spans="1:80" ht="13.5" hidden="1" customHeight="1" outlineLevel="1">
      <c r="A120" s="113"/>
      <c r="B120" s="375" t="s">
        <v>154</v>
      </c>
      <c r="C120" s="376"/>
      <c r="D120" s="376"/>
      <c r="E120" s="376"/>
      <c r="F120" s="376"/>
      <c r="G120" s="314">
        <f>SUM(C120:F120)</f>
        <v>0</v>
      </c>
      <c r="H120" s="376"/>
      <c r="I120" s="376"/>
      <c r="J120" s="376"/>
      <c r="K120" s="376"/>
      <c r="L120" s="314">
        <f>SUM(H120:K120)</f>
        <v>0</v>
      </c>
      <c r="M120" s="376">
        <v>1.2</v>
      </c>
      <c r="N120" s="376">
        <v>6.2809999999999997</v>
      </c>
      <c r="O120" s="376">
        <v>17.035</v>
      </c>
      <c r="P120" s="376">
        <f>48.57-SUM(M120:O120)</f>
        <v>24.054000000000002</v>
      </c>
      <c r="Q120" s="314">
        <f>SUM(M120:P120)</f>
        <v>48.57</v>
      </c>
      <c r="R120" s="376">
        <v>-24.564</v>
      </c>
      <c r="S120" s="376">
        <v>24.622</v>
      </c>
      <c r="T120" s="376">
        <v>24.375</v>
      </c>
      <c r="U120" s="376">
        <f>53.148-SUM(R120:T120)</f>
        <v>28.715000000000003</v>
      </c>
      <c r="V120" s="314">
        <f>SUM(R120:U120)</f>
        <v>53.148000000000003</v>
      </c>
      <c r="W120" s="376">
        <v>18.346</v>
      </c>
      <c r="X120" s="376">
        <v>17.059999999999999</v>
      </c>
      <c r="Y120" s="376">
        <v>18.893999999999998</v>
      </c>
      <c r="Z120" s="376">
        <f>74.568-SUM(W120:Y120)</f>
        <v>20.268000000000001</v>
      </c>
      <c r="AA120" s="314">
        <f>SUM(W120:Z120)</f>
        <v>74.567999999999998</v>
      </c>
      <c r="AB120" s="376">
        <v>12.955</v>
      </c>
      <c r="AC120" s="399">
        <v>4.7220000000000004</v>
      </c>
      <c r="AD120" s="399">
        <v>4.7220000000000004</v>
      </c>
      <c r="AE120" s="421">
        <v>13.162000000000001</v>
      </c>
      <c r="AF120" s="314">
        <f>SUM(AB120:AE120)</f>
        <v>35.561</v>
      </c>
      <c r="AG120" s="399">
        <v>-6.8000000000000005E-2</v>
      </c>
      <c r="AH120" s="422">
        <v>16.157</v>
      </c>
      <c r="AI120" s="421">
        <v>0</v>
      </c>
      <c r="AJ120" s="421">
        <f>+AI120</f>
        <v>0</v>
      </c>
      <c r="AK120" s="314">
        <f>SUM(AG120:AJ120)</f>
        <v>16.088999999999999</v>
      </c>
      <c r="AL120" s="421">
        <v>12.71</v>
      </c>
      <c r="AM120" s="421">
        <v>19.134</v>
      </c>
      <c r="AN120" s="421">
        <v>20.707999999999998</v>
      </c>
      <c r="AO120" s="421">
        <v>15.111000000000001</v>
      </c>
      <c r="AP120" s="314">
        <f>SUM(AL120:AO120)</f>
        <v>67.662999999999997</v>
      </c>
      <c r="AQ120" s="421">
        <v>6.4160000000000004</v>
      </c>
      <c r="AR120" s="421">
        <v>18.077000000000002</v>
      </c>
      <c r="AS120" s="421">
        <v>14.787000000000001</v>
      </c>
      <c r="AT120" s="421">
        <f>+AS120</f>
        <v>14.787000000000001</v>
      </c>
      <c r="AU120" s="314">
        <f>SUM(AQ120:AT120)</f>
        <v>54.067</v>
      </c>
      <c r="AV120" s="421">
        <f>+AR120</f>
        <v>18.077000000000002</v>
      </c>
      <c r="AW120" s="421">
        <f>+AV120</f>
        <v>18.077000000000002</v>
      </c>
      <c r="AX120" s="421">
        <f>+AW120</f>
        <v>18.077000000000002</v>
      </c>
      <c r="AY120" s="421">
        <f>+AX120</f>
        <v>18.077000000000002</v>
      </c>
      <c r="AZ120" s="314">
        <f>SUM(AV120:AY120)</f>
        <v>72.308000000000007</v>
      </c>
      <c r="BA120" s="421">
        <f>+AW120</f>
        <v>18.077000000000002</v>
      </c>
      <c r="BB120" s="421">
        <f>+BA120</f>
        <v>18.077000000000002</v>
      </c>
      <c r="BC120" s="421">
        <f>+BB120</f>
        <v>18.077000000000002</v>
      </c>
      <c r="BD120" s="421">
        <f>+BC120</f>
        <v>18.077000000000002</v>
      </c>
      <c r="BE120" s="314">
        <f>SUM(BA120:BD120)</f>
        <v>72.308000000000007</v>
      </c>
      <c r="BF120" s="421">
        <f>+BB120</f>
        <v>18.077000000000002</v>
      </c>
      <c r="BG120" s="421">
        <f>+BF120</f>
        <v>18.077000000000002</v>
      </c>
      <c r="BH120" s="421">
        <f>+BG120</f>
        <v>18.077000000000002</v>
      </c>
      <c r="BI120" s="421">
        <f>+BH120</f>
        <v>18.077000000000002</v>
      </c>
      <c r="BJ120" s="314">
        <f>SUM(BF120:BI120)</f>
        <v>72.308000000000007</v>
      </c>
      <c r="BK120" s="300"/>
      <c r="BL120" s="300"/>
      <c r="BM120" s="300"/>
      <c r="BN120" s="300"/>
      <c r="BO120" s="300"/>
      <c r="BP120" s="300"/>
      <c r="BQ120" s="119"/>
      <c r="BR120" s="120"/>
      <c r="BS120" s="120"/>
      <c r="BZ120" s="113"/>
      <c r="CA120" s="113"/>
      <c r="CB120" s="113"/>
    </row>
    <row r="121" spans="1:80" ht="13.5" hidden="1" customHeight="1" outlineLevel="1">
      <c r="A121" s="113"/>
      <c r="B121" s="379" t="s">
        <v>155</v>
      </c>
      <c r="C121" s="380"/>
      <c r="D121" s="380"/>
      <c r="E121" s="380"/>
      <c r="F121" s="380"/>
      <c r="G121" s="419">
        <f t="shared" ref="G121:AA121" si="139">G117-G120</f>
        <v>89.699999999999932</v>
      </c>
      <c r="H121" s="380">
        <f t="shared" si="139"/>
        <v>5.4000000000000066</v>
      </c>
      <c r="I121" s="380">
        <f t="shared" si="139"/>
        <v>8.1999999999999815</v>
      </c>
      <c r="J121" s="380">
        <f t="shared" si="139"/>
        <v>9.8000000000000043</v>
      </c>
      <c r="K121" s="380">
        <f t="shared" si="139"/>
        <v>31.400000000000009</v>
      </c>
      <c r="L121" s="419">
        <f t="shared" si="139"/>
        <v>54.799999999999933</v>
      </c>
      <c r="M121" s="380">
        <f t="shared" si="139"/>
        <v>3.4300000000000219</v>
      </c>
      <c r="N121" s="380">
        <f t="shared" si="139"/>
        <v>5.2890000000000397</v>
      </c>
      <c r="O121" s="380">
        <f t="shared" si="139"/>
        <v>11.644999999999992</v>
      </c>
      <c r="P121" s="380">
        <f t="shared" si="139"/>
        <v>15.825000000000017</v>
      </c>
      <c r="Q121" s="419">
        <f t="shared" si="139"/>
        <v>36.189</v>
      </c>
      <c r="R121" s="380">
        <f t="shared" si="139"/>
        <v>-18.363999999999983</v>
      </c>
      <c r="S121" s="380">
        <f t="shared" si="139"/>
        <v>22.95600000000006</v>
      </c>
      <c r="T121" s="380">
        <f t="shared" si="139"/>
        <v>24.263999999999953</v>
      </c>
      <c r="U121" s="380">
        <f t="shared" si="139"/>
        <v>28.753999999999948</v>
      </c>
      <c r="V121" s="419">
        <f t="shared" si="139"/>
        <v>57.609999999999992</v>
      </c>
      <c r="W121" s="380">
        <f t="shared" si="139"/>
        <v>26.118999999999996</v>
      </c>
      <c r="X121" s="380">
        <f t="shared" si="139"/>
        <v>28.907999999999991</v>
      </c>
      <c r="Y121" s="380">
        <f t="shared" si="139"/>
        <v>35.71100000000002</v>
      </c>
      <c r="Z121" s="380">
        <f t="shared" si="139"/>
        <v>42.833999999999961</v>
      </c>
      <c r="AA121" s="419">
        <f t="shared" si="139"/>
        <v>133.57199999999995</v>
      </c>
      <c r="AB121" s="380">
        <f>AB117-AB120</f>
        <v>28.135999999999996</v>
      </c>
      <c r="AC121" s="380">
        <f>AC117-AC120</f>
        <v>-1.4090000000000447</v>
      </c>
      <c r="AD121" s="380">
        <f t="shared" ref="AD121:AZ121" si="140">AD117-AD120</f>
        <v>38.122999999999998</v>
      </c>
      <c r="AE121" s="380">
        <f t="shared" si="140"/>
        <v>68.578999999999951</v>
      </c>
      <c r="AF121" s="419">
        <f t="shared" si="140"/>
        <v>105.59600000000003</v>
      </c>
      <c r="AG121" s="380">
        <f t="shared" si="140"/>
        <v>27.063999999999975</v>
      </c>
      <c r="AH121" s="380">
        <f t="shared" si="140"/>
        <v>36.53599999999993</v>
      </c>
      <c r="AI121" s="380">
        <f t="shared" si="140"/>
        <v>59.147999999999996</v>
      </c>
      <c r="AJ121" s="380">
        <f t="shared" si="140"/>
        <v>70.391999999999996</v>
      </c>
      <c r="AK121" s="419">
        <f t="shared" si="140"/>
        <v>224.40799999999987</v>
      </c>
      <c r="AL121" s="380">
        <f t="shared" si="140"/>
        <v>39.737999999999985</v>
      </c>
      <c r="AM121" s="380">
        <f t="shared" si="140"/>
        <v>59.326999999999984</v>
      </c>
      <c r="AN121" s="380">
        <f t="shared" si="140"/>
        <v>66.295999999999935</v>
      </c>
      <c r="AO121" s="380">
        <f t="shared" si="140"/>
        <v>47.846999999999966</v>
      </c>
      <c r="AP121" s="419">
        <f t="shared" si="140"/>
        <v>213.20799999999991</v>
      </c>
      <c r="AQ121" s="380">
        <f t="shared" si="140"/>
        <v>28.885000000000037</v>
      </c>
      <c r="AR121" s="380">
        <f t="shared" si="140"/>
        <v>68.776999999999873</v>
      </c>
      <c r="AS121" s="380">
        <f t="shared" si="140"/>
        <v>92.117999999999938</v>
      </c>
      <c r="AT121" s="380">
        <f t="shared" si="140"/>
        <v>87.571436524403509</v>
      </c>
      <c r="AU121" s="419">
        <f t="shared" si="140"/>
        <v>277.35143652440348</v>
      </c>
      <c r="AV121" s="380">
        <f t="shared" si="140"/>
        <v>104.26766670187001</v>
      </c>
      <c r="AW121" s="380">
        <f t="shared" si="140"/>
        <v>138.96379908708411</v>
      </c>
      <c r="AX121" s="380">
        <f t="shared" si="140"/>
        <v>153.48849524966374</v>
      </c>
      <c r="AY121" s="380">
        <f t="shared" si="140"/>
        <v>165.08602883132573</v>
      </c>
      <c r="AZ121" s="419">
        <f t="shared" si="140"/>
        <v>561.80598986994369</v>
      </c>
      <c r="BA121" s="380">
        <f t="shared" ref="BA121:BJ121" si="141">BA117-BA120</f>
        <v>150.93679024767877</v>
      </c>
      <c r="BB121" s="380">
        <f t="shared" si="141"/>
        <v>174.48794911474337</v>
      </c>
      <c r="BC121" s="380">
        <f t="shared" si="141"/>
        <v>192.3345513984579</v>
      </c>
      <c r="BD121" s="380">
        <f t="shared" si="141"/>
        <v>207.15312674049358</v>
      </c>
      <c r="BE121" s="419">
        <f t="shared" si="141"/>
        <v>724.91241750137453</v>
      </c>
      <c r="BF121" s="380">
        <f t="shared" si="141"/>
        <v>187.30455382585166</v>
      </c>
      <c r="BG121" s="380">
        <f t="shared" si="141"/>
        <v>213.19159529387071</v>
      </c>
      <c r="BH121" s="380">
        <f t="shared" si="141"/>
        <v>232.34936708911727</v>
      </c>
      <c r="BI121" s="380">
        <f t="shared" si="141"/>
        <v>248.59534247506065</v>
      </c>
      <c r="BJ121" s="419">
        <f t="shared" si="141"/>
        <v>881.44085868389993</v>
      </c>
      <c r="BK121" s="300"/>
      <c r="BL121" s="300"/>
      <c r="BM121" s="300"/>
      <c r="BN121" s="300"/>
      <c r="BO121" s="300"/>
      <c r="BP121" s="300"/>
      <c r="BQ121" s="119"/>
      <c r="BR121" s="120"/>
      <c r="BS121" s="120"/>
      <c r="BZ121" s="113"/>
      <c r="CA121" s="113"/>
      <c r="CB121" s="113"/>
    </row>
    <row r="122" spans="1:80" ht="13.5" hidden="1" customHeight="1" outlineLevel="1">
      <c r="A122" s="113"/>
      <c r="B122" s="375"/>
      <c r="C122" s="376"/>
      <c r="D122" s="376"/>
      <c r="E122" s="376"/>
      <c r="F122" s="376"/>
      <c r="G122" s="377"/>
      <c r="H122" s="376"/>
      <c r="I122" s="376"/>
      <c r="J122" s="376"/>
      <c r="K122" s="376"/>
      <c r="L122" s="314"/>
      <c r="M122" s="376"/>
      <c r="N122" s="376"/>
      <c r="O122" s="376"/>
      <c r="P122" s="376"/>
      <c r="Q122" s="314"/>
      <c r="R122" s="376"/>
      <c r="S122" s="376"/>
      <c r="T122" s="376"/>
      <c r="U122" s="376"/>
      <c r="V122" s="314"/>
      <c r="W122" s="376"/>
      <c r="X122" s="376"/>
      <c r="Y122" s="376"/>
      <c r="Z122" s="376"/>
      <c r="AA122" s="314"/>
      <c r="AB122" s="376"/>
      <c r="AC122" s="376"/>
      <c r="AD122" s="376"/>
      <c r="AE122" s="376"/>
      <c r="AF122" s="314"/>
      <c r="AG122" s="376"/>
      <c r="AH122" s="376"/>
      <c r="AI122" s="376"/>
      <c r="AJ122" s="376"/>
      <c r="AK122" s="314"/>
      <c r="AL122" s="376"/>
      <c r="AM122" s="376"/>
      <c r="AN122" s="376"/>
      <c r="AO122" s="376"/>
      <c r="AP122" s="314"/>
      <c r="AQ122" s="376"/>
      <c r="AR122" s="376"/>
      <c r="AS122" s="376"/>
      <c r="AT122" s="376"/>
      <c r="AU122" s="314"/>
      <c r="AV122" s="376"/>
      <c r="AW122" s="376"/>
      <c r="AX122" s="376"/>
      <c r="AY122" s="376"/>
      <c r="AZ122" s="314"/>
      <c r="BA122" s="376"/>
      <c r="BB122" s="376"/>
      <c r="BC122" s="376"/>
      <c r="BD122" s="376"/>
      <c r="BE122" s="314"/>
      <c r="BF122" s="376"/>
      <c r="BG122" s="376"/>
      <c r="BH122" s="376"/>
      <c r="BI122" s="376"/>
      <c r="BJ122" s="314"/>
      <c r="BK122" s="300"/>
      <c r="BL122" s="300"/>
      <c r="BM122" s="300"/>
      <c r="BN122" s="300"/>
      <c r="BO122" s="300"/>
      <c r="BP122" s="300"/>
      <c r="BQ122" s="119"/>
      <c r="BR122" s="120"/>
      <c r="BS122" s="120"/>
      <c r="BZ122" s="113"/>
      <c r="CA122" s="113"/>
      <c r="CB122" s="113"/>
    </row>
    <row r="123" spans="1:80" ht="13.5" hidden="1" customHeight="1" outlineLevel="1">
      <c r="A123" s="113"/>
      <c r="B123" s="374" t="s">
        <v>156</v>
      </c>
      <c r="C123" s="399"/>
      <c r="D123" s="399"/>
      <c r="E123" s="399"/>
      <c r="F123" s="399"/>
      <c r="G123" s="396"/>
      <c r="H123" s="399"/>
      <c r="I123" s="399"/>
      <c r="J123" s="399"/>
      <c r="K123" s="399"/>
      <c r="L123" s="396"/>
      <c r="M123" s="156"/>
      <c r="N123" s="156"/>
      <c r="O123" s="156"/>
      <c r="P123" s="423"/>
      <c r="Q123" s="177"/>
      <c r="R123" s="156"/>
      <c r="S123" s="156"/>
      <c r="T123" s="156"/>
      <c r="U123" s="156"/>
      <c r="V123" s="176"/>
      <c r="W123" s="424"/>
      <c r="X123" s="424"/>
      <c r="Y123" s="424"/>
      <c r="Z123" s="424"/>
      <c r="AA123" s="178"/>
      <c r="AB123" s="424"/>
      <c r="AC123" s="424"/>
      <c r="AD123" s="424"/>
      <c r="AE123" s="424"/>
      <c r="AF123" s="178"/>
      <c r="AG123" s="424"/>
      <c r="AH123" s="424"/>
      <c r="AI123" s="424"/>
      <c r="AJ123" s="424"/>
      <c r="AK123" s="178"/>
      <c r="AL123" s="424"/>
      <c r="AM123" s="424"/>
      <c r="AN123" s="424"/>
      <c r="AO123" s="424"/>
      <c r="AP123" s="178"/>
      <c r="AQ123" s="424"/>
      <c r="AR123" s="424"/>
      <c r="AS123" s="424"/>
      <c r="AT123" s="424"/>
      <c r="AU123" s="178"/>
      <c r="AV123" s="424"/>
      <c r="AW123" s="424"/>
      <c r="AX123" s="424"/>
      <c r="AY123" s="424"/>
      <c r="AZ123" s="178"/>
      <c r="BA123" s="424"/>
      <c r="BB123" s="424"/>
      <c r="BC123" s="424"/>
      <c r="BD123" s="424"/>
      <c r="BE123" s="178"/>
      <c r="BF123" s="424"/>
      <c r="BG123" s="424"/>
      <c r="BH123" s="424"/>
      <c r="BI123" s="424"/>
      <c r="BJ123" s="178"/>
      <c r="BK123" s="179"/>
      <c r="BL123" s="179"/>
      <c r="BM123" s="179"/>
      <c r="BN123" s="179"/>
      <c r="BO123" s="179"/>
      <c r="BP123" s="179"/>
      <c r="BQ123" s="119"/>
      <c r="BR123" s="120"/>
      <c r="BS123" s="120"/>
      <c r="BZ123" s="113"/>
      <c r="CA123" s="113"/>
      <c r="CB123" s="113"/>
    </row>
    <row r="124" spans="1:80" ht="13.5" hidden="1" customHeight="1" outlineLevel="1">
      <c r="A124" s="113"/>
      <c r="B124" s="425" t="s">
        <v>157</v>
      </c>
      <c r="C124" s="426">
        <f t="shared" ref="C124:AH124" si="142">+C38</f>
        <v>72.099999999999994</v>
      </c>
      <c r="D124" s="399">
        <f t="shared" si="142"/>
        <v>89.200000000000017</v>
      </c>
      <c r="E124" s="399">
        <f t="shared" si="142"/>
        <v>94.600000000000009</v>
      </c>
      <c r="F124" s="399">
        <f t="shared" si="142"/>
        <v>95.6</v>
      </c>
      <c r="G124" s="377">
        <f t="shared" si="142"/>
        <v>351.49999999999994</v>
      </c>
      <c r="H124" s="399">
        <f t="shared" si="142"/>
        <v>83.800000000000011</v>
      </c>
      <c r="I124" s="399">
        <f t="shared" si="142"/>
        <v>96.299999999999983</v>
      </c>
      <c r="J124" s="399">
        <f t="shared" si="142"/>
        <v>99.4</v>
      </c>
      <c r="K124" s="399">
        <f t="shared" si="142"/>
        <v>107.80000000000001</v>
      </c>
      <c r="L124" s="377">
        <f t="shared" si="142"/>
        <v>387.2999999999999</v>
      </c>
      <c r="M124" s="399">
        <f t="shared" si="142"/>
        <v>87.53000000000003</v>
      </c>
      <c r="N124" s="399">
        <f t="shared" si="142"/>
        <v>109.47000000000004</v>
      </c>
      <c r="O124" s="399">
        <f t="shared" si="142"/>
        <v>111.38</v>
      </c>
      <c r="P124" s="399">
        <f t="shared" si="142"/>
        <v>130.48800000000003</v>
      </c>
      <c r="Q124" s="427">
        <f t="shared" si="142"/>
        <v>438.86799999999999</v>
      </c>
      <c r="R124" s="399">
        <f t="shared" si="142"/>
        <v>102.94000000000001</v>
      </c>
      <c r="S124" s="399">
        <f t="shared" si="142"/>
        <v>131.04800000000006</v>
      </c>
      <c r="T124" s="399">
        <f t="shared" si="142"/>
        <v>131.85799999999995</v>
      </c>
      <c r="U124" s="399">
        <f t="shared" si="142"/>
        <v>143.99899999999997</v>
      </c>
      <c r="V124" s="377">
        <f t="shared" si="142"/>
        <v>509.84499999999997</v>
      </c>
      <c r="W124" s="399">
        <f t="shared" si="142"/>
        <v>125.227</v>
      </c>
      <c r="X124" s="399">
        <f t="shared" si="142"/>
        <v>151.32999999999998</v>
      </c>
      <c r="Y124" s="399">
        <f t="shared" si="142"/>
        <v>149.46300000000002</v>
      </c>
      <c r="Z124" s="399">
        <f t="shared" si="142"/>
        <v>157.03899999999999</v>
      </c>
      <c r="AA124" s="377">
        <f t="shared" si="142"/>
        <v>583.05899999999986</v>
      </c>
      <c r="AB124" s="399">
        <f t="shared" si="142"/>
        <v>133.65299999999999</v>
      </c>
      <c r="AC124" s="399">
        <f t="shared" si="142"/>
        <v>161.69599999999997</v>
      </c>
      <c r="AD124" s="399">
        <f t="shared" si="142"/>
        <v>181.464</v>
      </c>
      <c r="AE124" s="399">
        <f t="shared" si="142"/>
        <v>193.59999999999997</v>
      </c>
      <c r="AF124" s="377">
        <f t="shared" si="142"/>
        <v>670.41300000000001</v>
      </c>
      <c r="AG124" s="399">
        <f t="shared" si="142"/>
        <v>168.12499999999997</v>
      </c>
      <c r="AH124" s="399">
        <f t="shared" si="142"/>
        <v>205.55199999999994</v>
      </c>
      <c r="AI124" s="399">
        <f t="shared" ref="AI124:AZ124" si="143">+AI38</f>
        <v>208.405</v>
      </c>
      <c r="AJ124" s="399">
        <f t="shared" si="143"/>
        <v>222.345</v>
      </c>
      <c r="AK124" s="377">
        <f t="shared" si="143"/>
        <v>804.42699999999991</v>
      </c>
      <c r="AL124" s="399">
        <f t="shared" si="143"/>
        <v>193.4</v>
      </c>
      <c r="AM124" s="399">
        <f t="shared" si="143"/>
        <v>233.26599999999996</v>
      </c>
      <c r="AN124" s="399">
        <f t="shared" si="143"/>
        <v>236.88199999999995</v>
      </c>
      <c r="AO124" s="399">
        <f t="shared" si="143"/>
        <v>248.44899999999998</v>
      </c>
      <c r="AP124" s="377">
        <f t="shared" si="143"/>
        <v>911.99699999999996</v>
      </c>
      <c r="AQ124" s="399">
        <f>+AQ38</f>
        <v>209.96200000000005</v>
      </c>
      <c r="AR124" s="399">
        <f>+AR38</f>
        <v>256.21699999999987</v>
      </c>
      <c r="AS124" s="399">
        <f t="shared" si="143"/>
        <v>270.08699999999999</v>
      </c>
      <c r="AT124" s="399">
        <f t="shared" si="143"/>
        <v>281.77500000000009</v>
      </c>
      <c r="AU124" s="377">
        <f t="shared" si="143"/>
        <v>1018.0410000000001</v>
      </c>
      <c r="AV124" s="399">
        <f t="shared" si="143"/>
        <v>394.56888650554833</v>
      </c>
      <c r="AW124" s="399">
        <f t="shared" si="143"/>
        <v>467.2473519834648</v>
      </c>
      <c r="AX124" s="399">
        <f t="shared" si="143"/>
        <v>496.2756964746726</v>
      </c>
      <c r="AY124" s="399">
        <f t="shared" si="143"/>
        <v>518.86321992785065</v>
      </c>
      <c r="AZ124" s="377">
        <f t="shared" si="143"/>
        <v>1876.9551548915363</v>
      </c>
      <c r="BA124" s="399">
        <f t="shared" ref="BA124:BJ124" si="144">+BA38</f>
        <v>486.23672456927665</v>
      </c>
      <c r="BB124" s="399">
        <f t="shared" si="144"/>
        <v>530.9606667248147</v>
      </c>
      <c r="BC124" s="399">
        <f t="shared" si="144"/>
        <v>563.24516429473795</v>
      </c>
      <c r="BD124" s="399">
        <f t="shared" si="144"/>
        <v>588.9892771567246</v>
      </c>
      <c r="BE124" s="377">
        <f t="shared" si="144"/>
        <v>2169.4318327455549</v>
      </c>
      <c r="BF124" s="399">
        <f t="shared" si="144"/>
        <v>549.95011798354926</v>
      </c>
      <c r="BG124" s="399">
        <f t="shared" si="144"/>
        <v>599.84173311248719</v>
      </c>
      <c r="BH124" s="399">
        <f t="shared" si="144"/>
        <v>635.35596429542284</v>
      </c>
      <c r="BI124" s="399">
        <f t="shared" si="144"/>
        <v>664.64891385666942</v>
      </c>
      <c r="BJ124" s="377">
        <f t="shared" si="144"/>
        <v>2449.7967292481285</v>
      </c>
      <c r="BK124" s="405"/>
      <c r="BL124" s="405"/>
      <c r="BM124" s="405"/>
      <c r="BN124" s="405"/>
      <c r="BO124" s="405"/>
      <c r="BP124" s="405"/>
      <c r="BQ124" s="119"/>
      <c r="BR124" s="194"/>
      <c r="BS124" s="194"/>
      <c r="BZ124" s="174"/>
      <c r="CA124" s="194">
        <v>489</v>
      </c>
      <c r="CB124" s="194">
        <v>542</v>
      </c>
    </row>
    <row r="125" spans="1:80" ht="13.5" hidden="1" customHeight="1" outlineLevel="1">
      <c r="A125" s="113"/>
      <c r="B125" s="363" t="s">
        <v>158</v>
      </c>
      <c r="C125" s="426">
        <f t="shared" ref="C125:AZ125" si="145">+C104</f>
        <v>0</v>
      </c>
      <c r="D125" s="399">
        <f t="shared" si="145"/>
        <v>0</v>
      </c>
      <c r="E125" s="399">
        <f t="shared" si="145"/>
        <v>0</v>
      </c>
      <c r="F125" s="399">
        <f t="shared" si="145"/>
        <v>0</v>
      </c>
      <c r="G125" s="377">
        <f t="shared" si="145"/>
        <v>1.7</v>
      </c>
      <c r="H125" s="399">
        <f t="shared" si="145"/>
        <v>0.4</v>
      </c>
      <c r="I125" s="399">
        <f t="shared" si="145"/>
        <v>0.8</v>
      </c>
      <c r="J125" s="399">
        <f t="shared" si="145"/>
        <v>1.5</v>
      </c>
      <c r="K125" s="399">
        <f t="shared" si="145"/>
        <v>0.1</v>
      </c>
      <c r="L125" s="377">
        <f t="shared" si="145"/>
        <v>2.8000000000000003</v>
      </c>
      <c r="M125" s="399">
        <f t="shared" si="145"/>
        <v>0.7</v>
      </c>
      <c r="N125" s="399">
        <f t="shared" si="145"/>
        <v>0.7</v>
      </c>
      <c r="O125" s="399">
        <f t="shared" si="145"/>
        <v>0.8</v>
      </c>
      <c r="P125" s="399">
        <f t="shared" si="145"/>
        <v>0.77200000000000002</v>
      </c>
      <c r="Q125" s="427">
        <f t="shared" si="145"/>
        <v>2.9720000000000004</v>
      </c>
      <c r="R125" s="399">
        <f t="shared" si="145"/>
        <v>8.6630000000000003</v>
      </c>
      <c r="S125" s="399">
        <f t="shared" si="145"/>
        <v>8.8290000000000006</v>
      </c>
      <c r="T125" s="399">
        <f t="shared" si="145"/>
        <v>9.3960000000000008</v>
      </c>
      <c r="U125" s="399">
        <f t="shared" si="145"/>
        <v>6.5549999999999997</v>
      </c>
      <c r="V125" s="377">
        <f t="shared" si="145"/>
        <v>33.442999999999998</v>
      </c>
      <c r="W125" s="399">
        <f t="shared" si="145"/>
        <v>6.74</v>
      </c>
      <c r="X125" s="399">
        <f t="shared" si="145"/>
        <v>7.19</v>
      </c>
      <c r="Y125" s="399">
        <f t="shared" si="145"/>
        <v>7.4219999999999997</v>
      </c>
      <c r="Z125" s="399">
        <f t="shared" si="145"/>
        <v>8.3770000000000007</v>
      </c>
      <c r="AA125" s="377">
        <f t="shared" si="145"/>
        <v>29.728999999999999</v>
      </c>
      <c r="AB125" s="399">
        <f t="shared" si="145"/>
        <v>8.9390000000000001</v>
      </c>
      <c r="AC125" s="399">
        <f t="shared" si="145"/>
        <v>11.105</v>
      </c>
      <c r="AD125" s="399">
        <f t="shared" si="145"/>
        <v>10.753</v>
      </c>
      <c r="AE125" s="399">
        <f t="shared" si="145"/>
        <v>11.374000000000001</v>
      </c>
      <c r="AF125" s="377">
        <f t="shared" si="145"/>
        <v>42.170999999999999</v>
      </c>
      <c r="AG125" s="399">
        <f t="shared" si="145"/>
        <v>11.622999999999999</v>
      </c>
      <c r="AH125" s="399">
        <f t="shared" si="145"/>
        <v>5.0970000000000004</v>
      </c>
      <c r="AI125" s="399">
        <f t="shared" si="145"/>
        <v>7.1319999999999997</v>
      </c>
      <c r="AJ125" s="399">
        <f t="shared" si="145"/>
        <v>6.64</v>
      </c>
      <c r="AK125" s="377">
        <f t="shared" si="145"/>
        <v>30.491999999999997</v>
      </c>
      <c r="AL125" s="399">
        <f t="shared" si="145"/>
        <v>8.3520000000000003</v>
      </c>
      <c r="AM125" s="399">
        <f t="shared" si="145"/>
        <v>7.94</v>
      </c>
      <c r="AN125" s="399">
        <f t="shared" si="145"/>
        <v>9.6</v>
      </c>
      <c r="AO125" s="399">
        <f t="shared" si="145"/>
        <v>9.9789999999999992</v>
      </c>
      <c r="AP125" s="377">
        <f t="shared" si="145"/>
        <v>35.871000000000002</v>
      </c>
      <c r="AQ125" s="399">
        <f>+AQ104</f>
        <v>10.58</v>
      </c>
      <c r="AR125" s="399">
        <f>+AR104</f>
        <v>10.881</v>
      </c>
      <c r="AS125" s="399">
        <f t="shared" si="145"/>
        <v>13.606999999999999</v>
      </c>
      <c r="AT125" s="399">
        <f t="shared" si="145"/>
        <v>12.787000000000001</v>
      </c>
      <c r="AU125" s="377">
        <f t="shared" si="145"/>
        <v>47.854999999999997</v>
      </c>
      <c r="AV125" s="399">
        <f t="shared" si="145"/>
        <v>15.015306463213259</v>
      </c>
      <c r="AW125" s="399">
        <f t="shared" si="145"/>
        <v>17.532733657916125</v>
      </c>
      <c r="AX125" s="399">
        <f t="shared" si="145"/>
        <v>18.354145339108502</v>
      </c>
      <c r="AY125" s="399">
        <f t="shared" si="145"/>
        <v>18.917435606038712</v>
      </c>
      <c r="AZ125" s="377">
        <f t="shared" si="145"/>
        <v>69.819621066276596</v>
      </c>
      <c r="BA125" s="399">
        <f t="shared" ref="BA125:BJ125" si="146">+BA104</f>
        <v>17.75306499441578</v>
      </c>
      <c r="BB125" s="399">
        <f t="shared" si="146"/>
        <v>19.126059637876057</v>
      </c>
      <c r="BC125" s="399">
        <f t="shared" si="146"/>
        <v>20.008709211180744</v>
      </c>
      <c r="BD125" s="399">
        <f t="shared" si="146"/>
        <v>20.638129236560331</v>
      </c>
      <c r="BE125" s="377">
        <f t="shared" si="146"/>
        <v>77.525963080032909</v>
      </c>
      <c r="BF125" s="399">
        <f t="shared" si="146"/>
        <v>19.410004164125265</v>
      </c>
      <c r="BG125" s="399">
        <f t="shared" si="146"/>
        <v>20.896363839800205</v>
      </c>
      <c r="BH125" s="399">
        <f t="shared" si="146"/>
        <v>21.837707384604943</v>
      </c>
      <c r="BI125" s="399">
        <f t="shared" si="146"/>
        <v>22.543207931825982</v>
      </c>
      <c r="BJ125" s="377">
        <f t="shared" si="146"/>
        <v>84.687283320356386</v>
      </c>
      <c r="BK125" s="405"/>
      <c r="BL125" s="405"/>
      <c r="BM125" s="405"/>
      <c r="BN125" s="405"/>
      <c r="BO125" s="405"/>
      <c r="BP125" s="405"/>
      <c r="BQ125" s="119"/>
      <c r="BR125" s="113"/>
      <c r="BS125" s="113"/>
      <c r="BZ125" s="113"/>
      <c r="CA125" s="113"/>
      <c r="CB125" s="113"/>
    </row>
    <row r="126" spans="1:80" ht="13.5" hidden="1" customHeight="1" outlineLevel="1" thickBot="1">
      <c r="A126" s="113"/>
      <c r="B126" s="428" t="s">
        <v>159</v>
      </c>
      <c r="C126" s="429">
        <f>+C124-C125</f>
        <v>72.099999999999994</v>
      </c>
      <c r="D126" s="430">
        <f>+D124-D125</f>
        <v>89.200000000000017</v>
      </c>
      <c r="E126" s="430">
        <f>+E124-E125</f>
        <v>94.600000000000009</v>
      </c>
      <c r="F126" s="430">
        <f>+F124-F125</f>
        <v>95.6</v>
      </c>
      <c r="G126" s="431">
        <f t="shared" ref="G126:AZ126" si="147">+G124-G125</f>
        <v>349.79999999999995</v>
      </c>
      <c r="H126" s="430">
        <f>+H124-H125</f>
        <v>83.4</v>
      </c>
      <c r="I126" s="430">
        <f t="shared" si="147"/>
        <v>95.499999999999986</v>
      </c>
      <c r="J126" s="430">
        <f t="shared" si="147"/>
        <v>97.9</v>
      </c>
      <c r="K126" s="430">
        <f t="shared" si="147"/>
        <v>107.70000000000002</v>
      </c>
      <c r="L126" s="431">
        <f t="shared" si="147"/>
        <v>384.49999999999989</v>
      </c>
      <c r="M126" s="430">
        <f t="shared" si="147"/>
        <v>86.830000000000027</v>
      </c>
      <c r="N126" s="430">
        <f t="shared" si="147"/>
        <v>108.77000000000004</v>
      </c>
      <c r="O126" s="430">
        <f t="shared" si="147"/>
        <v>110.58</v>
      </c>
      <c r="P126" s="430">
        <f t="shared" si="147"/>
        <v>129.71600000000004</v>
      </c>
      <c r="Q126" s="431">
        <f t="shared" si="147"/>
        <v>435.89600000000002</v>
      </c>
      <c r="R126" s="430">
        <f t="shared" si="147"/>
        <v>94.277000000000015</v>
      </c>
      <c r="S126" s="430">
        <f t="shared" si="147"/>
        <v>122.21900000000005</v>
      </c>
      <c r="T126" s="430">
        <f t="shared" si="147"/>
        <v>122.46199999999995</v>
      </c>
      <c r="U126" s="430">
        <f t="shared" si="147"/>
        <v>137.44399999999996</v>
      </c>
      <c r="V126" s="431">
        <f t="shared" si="147"/>
        <v>476.40199999999999</v>
      </c>
      <c r="W126" s="430">
        <f t="shared" si="147"/>
        <v>118.48700000000001</v>
      </c>
      <c r="X126" s="430">
        <f t="shared" si="147"/>
        <v>144.13999999999999</v>
      </c>
      <c r="Y126" s="430">
        <f t="shared" si="147"/>
        <v>142.04100000000003</v>
      </c>
      <c r="Z126" s="430">
        <f t="shared" si="147"/>
        <v>148.66199999999998</v>
      </c>
      <c r="AA126" s="431">
        <f t="shared" si="147"/>
        <v>553.32999999999981</v>
      </c>
      <c r="AB126" s="430">
        <f t="shared" si="147"/>
        <v>124.714</v>
      </c>
      <c r="AC126" s="430">
        <f t="shared" si="147"/>
        <v>150.59099999999998</v>
      </c>
      <c r="AD126" s="430">
        <f t="shared" si="147"/>
        <v>170.71100000000001</v>
      </c>
      <c r="AE126" s="430">
        <f t="shared" si="147"/>
        <v>182.22599999999997</v>
      </c>
      <c r="AF126" s="431">
        <f t="shared" si="147"/>
        <v>628.24199999999996</v>
      </c>
      <c r="AG126" s="430">
        <f t="shared" si="147"/>
        <v>156.50199999999998</v>
      </c>
      <c r="AH126" s="430">
        <f t="shared" si="147"/>
        <v>200.45499999999993</v>
      </c>
      <c r="AI126" s="430">
        <f t="shared" si="147"/>
        <v>201.273</v>
      </c>
      <c r="AJ126" s="430">
        <f t="shared" si="147"/>
        <v>215.70500000000001</v>
      </c>
      <c r="AK126" s="431">
        <f t="shared" si="147"/>
        <v>773.93499999999995</v>
      </c>
      <c r="AL126" s="430">
        <f t="shared" si="147"/>
        <v>185.048</v>
      </c>
      <c r="AM126" s="430">
        <f t="shared" si="147"/>
        <v>225.32599999999996</v>
      </c>
      <c r="AN126" s="430">
        <f t="shared" si="147"/>
        <v>227.28199999999995</v>
      </c>
      <c r="AO126" s="430">
        <f t="shared" si="147"/>
        <v>238.46999999999997</v>
      </c>
      <c r="AP126" s="431">
        <f t="shared" si="147"/>
        <v>876.12599999999998</v>
      </c>
      <c r="AQ126" s="430">
        <f>+AQ124-AQ125</f>
        <v>199.38200000000003</v>
      </c>
      <c r="AR126" s="430">
        <f>+AR124-AR125</f>
        <v>245.33599999999987</v>
      </c>
      <c r="AS126" s="430">
        <f t="shared" si="147"/>
        <v>256.48</v>
      </c>
      <c r="AT126" s="430">
        <f t="shared" si="147"/>
        <v>268.98800000000011</v>
      </c>
      <c r="AU126" s="431">
        <f t="shared" si="147"/>
        <v>970.18600000000004</v>
      </c>
      <c r="AV126" s="430">
        <f t="shared" si="147"/>
        <v>379.55358004233506</v>
      </c>
      <c r="AW126" s="430">
        <f t="shared" si="147"/>
        <v>449.71461832554866</v>
      </c>
      <c r="AX126" s="430">
        <f t="shared" si="147"/>
        <v>477.92155113556407</v>
      </c>
      <c r="AY126" s="430">
        <f t="shared" si="147"/>
        <v>499.94578432181191</v>
      </c>
      <c r="AZ126" s="431">
        <f t="shared" si="147"/>
        <v>1807.1355338252597</v>
      </c>
      <c r="BA126" s="430">
        <f t="shared" ref="BA126:BJ126" si="148">+BA124-BA125</f>
        <v>468.48365957486089</v>
      </c>
      <c r="BB126" s="430">
        <f t="shared" si="148"/>
        <v>511.83460708693866</v>
      </c>
      <c r="BC126" s="430">
        <f t="shared" si="148"/>
        <v>543.23645508355719</v>
      </c>
      <c r="BD126" s="430">
        <f t="shared" si="148"/>
        <v>568.35114792016429</v>
      </c>
      <c r="BE126" s="431">
        <f t="shared" si="148"/>
        <v>2091.905869665522</v>
      </c>
      <c r="BF126" s="430">
        <f t="shared" si="148"/>
        <v>530.54011381942405</v>
      </c>
      <c r="BG126" s="430">
        <f t="shared" si="148"/>
        <v>578.945369272687</v>
      </c>
      <c r="BH126" s="430">
        <f t="shared" si="148"/>
        <v>613.51825691081785</v>
      </c>
      <c r="BI126" s="430">
        <f t="shared" si="148"/>
        <v>642.10570592484339</v>
      </c>
      <c r="BJ126" s="431">
        <f t="shared" si="148"/>
        <v>2365.109445927772</v>
      </c>
      <c r="BK126" s="320"/>
      <c r="BL126" s="320"/>
      <c r="BM126" s="320"/>
      <c r="BN126" s="320"/>
      <c r="BO126" s="320"/>
      <c r="BP126" s="320"/>
      <c r="BQ126" s="119"/>
      <c r="BR126" s="113"/>
      <c r="BS126" s="113"/>
      <c r="BZ126" s="113"/>
      <c r="CA126" s="113"/>
      <c r="CB126" s="113"/>
    </row>
    <row r="127" spans="1:80" ht="13.5" hidden="1" customHeight="1" outlineLevel="1" thickTop="1">
      <c r="A127" s="113"/>
      <c r="B127" s="432" t="s">
        <v>16</v>
      </c>
      <c r="C127" s="317"/>
      <c r="D127" s="317"/>
      <c r="E127" s="317"/>
      <c r="F127" s="317"/>
      <c r="G127" s="176"/>
      <c r="H127" s="317"/>
      <c r="I127" s="317"/>
      <c r="J127" s="317"/>
      <c r="K127" s="317"/>
      <c r="L127" s="176"/>
      <c r="M127" s="156">
        <f t="shared" ref="M127:AZ127" si="149">+M126/H126-1</f>
        <v>4.1127098321343203E-2</v>
      </c>
      <c r="N127" s="156">
        <f t="shared" si="149"/>
        <v>0.13895287958115232</v>
      </c>
      <c r="O127" s="156">
        <f t="shared" si="149"/>
        <v>0.12951991828396325</v>
      </c>
      <c r="P127" s="156">
        <f t="shared" si="149"/>
        <v>0.20441968430826374</v>
      </c>
      <c r="Q127" s="177">
        <f t="shared" si="149"/>
        <v>0.13366970091027341</v>
      </c>
      <c r="R127" s="156">
        <f t="shared" si="149"/>
        <v>8.5765288494759728E-2</v>
      </c>
      <c r="S127" s="156">
        <f t="shared" si="149"/>
        <v>0.12364622598142883</v>
      </c>
      <c r="T127" s="156">
        <f t="shared" si="149"/>
        <v>0.10745161873756515</v>
      </c>
      <c r="U127" s="156">
        <f t="shared" si="149"/>
        <v>5.9576305158961951E-2</v>
      </c>
      <c r="V127" s="176">
        <f t="shared" si="149"/>
        <v>9.2925835520399236E-2</v>
      </c>
      <c r="W127" s="156">
        <f t="shared" si="149"/>
        <v>0.25679646149113777</v>
      </c>
      <c r="X127" s="156">
        <f t="shared" si="149"/>
        <v>0.17935836490234691</v>
      </c>
      <c r="Y127" s="156">
        <f t="shared" si="149"/>
        <v>0.15987816628831863</v>
      </c>
      <c r="Z127" s="156">
        <f t="shared" si="149"/>
        <v>8.1618695614213976E-2</v>
      </c>
      <c r="AA127" s="176">
        <f t="shared" si="149"/>
        <v>0.16147707188466853</v>
      </c>
      <c r="AB127" s="156">
        <f t="shared" si="149"/>
        <v>5.2554288656139425E-2</v>
      </c>
      <c r="AC127" s="156">
        <f t="shared" si="149"/>
        <v>4.4755099209102145E-2</v>
      </c>
      <c r="AD127" s="156">
        <f t="shared" si="149"/>
        <v>0.20184312980055052</v>
      </c>
      <c r="AE127" s="156">
        <f t="shared" si="149"/>
        <v>0.22577390321669299</v>
      </c>
      <c r="AF127" s="176">
        <f t="shared" si="149"/>
        <v>0.13538394809607324</v>
      </c>
      <c r="AG127" s="156">
        <f t="shared" si="149"/>
        <v>0.25488718187212323</v>
      </c>
      <c r="AH127" s="156">
        <f t="shared" si="149"/>
        <v>0.33112204580618987</v>
      </c>
      <c r="AI127" s="156">
        <f t="shared" si="149"/>
        <v>0.17902771350410918</v>
      </c>
      <c r="AJ127" s="156">
        <f t="shared" si="149"/>
        <v>0.18372241063295047</v>
      </c>
      <c r="AK127" s="176">
        <f t="shared" si="149"/>
        <v>0.23190585793372609</v>
      </c>
      <c r="AL127" s="156">
        <f t="shared" si="149"/>
        <v>0.18240022491725361</v>
      </c>
      <c r="AM127" s="156">
        <f t="shared" si="149"/>
        <v>0.12407273452894696</v>
      </c>
      <c r="AN127" s="156">
        <f t="shared" si="149"/>
        <v>0.12922249879516845</v>
      </c>
      <c r="AO127" s="156">
        <f t="shared" si="149"/>
        <v>0.10553765559444583</v>
      </c>
      <c r="AP127" s="176">
        <f t="shared" si="149"/>
        <v>0.13204080446032296</v>
      </c>
      <c r="AQ127" s="156">
        <f t="shared" si="149"/>
        <v>7.7460983096277802E-2</v>
      </c>
      <c r="AR127" s="156">
        <f t="shared" si="149"/>
        <v>8.880466524058428E-2</v>
      </c>
      <c r="AS127" s="156">
        <f t="shared" si="149"/>
        <v>0.12846595858888987</v>
      </c>
      <c r="AT127" s="156">
        <f t="shared" si="149"/>
        <v>0.12797416865853206</v>
      </c>
      <c r="AU127" s="176">
        <f t="shared" si="149"/>
        <v>0.10735898717764347</v>
      </c>
      <c r="AV127" s="156">
        <f t="shared" si="149"/>
        <v>0.90365017926560576</v>
      </c>
      <c r="AW127" s="156">
        <f t="shared" si="149"/>
        <v>0.83305596539255911</v>
      </c>
      <c r="AX127" s="156">
        <f t="shared" si="149"/>
        <v>0.86338720810809444</v>
      </c>
      <c r="AY127" s="156">
        <f t="shared" si="149"/>
        <v>0.85861742650903272</v>
      </c>
      <c r="AZ127" s="176">
        <f t="shared" si="149"/>
        <v>0.8626691519206211</v>
      </c>
      <c r="BA127" s="156">
        <f t="shared" ref="BA127:BJ127" si="150">+BA126/AV126-1</f>
        <v>0.23430178032468207</v>
      </c>
      <c r="BB127" s="156">
        <f t="shared" si="150"/>
        <v>0.13813202024138183</v>
      </c>
      <c r="BC127" s="156">
        <f t="shared" si="150"/>
        <v>0.13666448770264039</v>
      </c>
      <c r="BD127" s="156">
        <f t="shared" si="150"/>
        <v>0.13682556337812879</v>
      </c>
      <c r="BE127" s="176">
        <f t="shared" si="150"/>
        <v>0.15758106158062968</v>
      </c>
      <c r="BF127" s="156">
        <f t="shared" si="150"/>
        <v>0.13246236656552357</v>
      </c>
      <c r="BG127" s="156">
        <f t="shared" si="150"/>
        <v>0.1311180628596087</v>
      </c>
      <c r="BH127" s="156">
        <f t="shared" si="150"/>
        <v>0.12937607770901605</v>
      </c>
      <c r="BI127" s="156">
        <f t="shared" si="150"/>
        <v>0.12976934818303443</v>
      </c>
      <c r="BJ127" s="176">
        <f t="shared" si="150"/>
        <v>0.13060032013100709</v>
      </c>
      <c r="BK127" s="179"/>
      <c r="BL127" s="179"/>
      <c r="BM127" s="179"/>
      <c r="BN127" s="179"/>
      <c r="BO127" s="179"/>
      <c r="BP127" s="179"/>
      <c r="BQ127" s="119"/>
      <c r="BR127" s="113"/>
      <c r="BS127" s="113"/>
      <c r="BZ127" s="113"/>
      <c r="CA127" s="113"/>
      <c r="CB127" s="113"/>
    </row>
    <row r="128" spans="1:80" ht="13.5" hidden="1" customHeight="1" outlineLevel="1">
      <c r="A128" s="113"/>
      <c r="B128" s="432" t="s">
        <v>160</v>
      </c>
      <c r="C128" s="317"/>
      <c r="D128" s="317"/>
      <c r="E128" s="317"/>
      <c r="F128" s="317"/>
      <c r="G128" s="176"/>
      <c r="H128" s="156">
        <f t="shared" ref="H128:AZ128" si="151">+H126/H15</f>
        <v>0.47440273037542663</v>
      </c>
      <c r="I128" s="156">
        <f t="shared" si="151"/>
        <v>0.5074388947927736</v>
      </c>
      <c r="J128" s="156">
        <f t="shared" si="151"/>
        <v>0.4885229540918164</v>
      </c>
      <c r="K128" s="156">
        <f t="shared" si="151"/>
        <v>0.51679462571976975</v>
      </c>
      <c r="L128" s="176">
        <f t="shared" si="151"/>
        <v>0.49754140786749473</v>
      </c>
      <c r="M128" s="156">
        <f t="shared" si="151"/>
        <v>0.45885958886011741</v>
      </c>
      <c r="N128" s="156">
        <f t="shared" si="151"/>
        <v>0.50154470420067332</v>
      </c>
      <c r="O128" s="156">
        <f t="shared" si="151"/>
        <v>0.50986720767244564</v>
      </c>
      <c r="P128" s="156">
        <f t="shared" si="151"/>
        <v>0.53449696729957819</v>
      </c>
      <c r="Q128" s="177">
        <f t="shared" si="151"/>
        <v>0.50353715281147049</v>
      </c>
      <c r="R128" s="156">
        <f t="shared" si="151"/>
        <v>0.4053512539717346</v>
      </c>
      <c r="S128" s="156">
        <f t="shared" si="151"/>
        <v>0.46939065512447298</v>
      </c>
      <c r="T128" s="156">
        <f t="shared" si="151"/>
        <v>0.47374631040205484</v>
      </c>
      <c r="U128" s="156">
        <f t="shared" si="151"/>
        <v>0.506825573591557</v>
      </c>
      <c r="V128" s="176">
        <f t="shared" si="151"/>
        <v>0.46585413077108112</v>
      </c>
      <c r="W128" s="156">
        <f t="shared" si="151"/>
        <v>0.43417576337206537</v>
      </c>
      <c r="X128" s="156">
        <f t="shared" si="151"/>
        <v>0.48547188176769157</v>
      </c>
      <c r="Y128" s="156">
        <f t="shared" si="151"/>
        <v>0.48279436857168112</v>
      </c>
      <c r="Z128" s="156">
        <f t="shared" si="151"/>
        <v>0.48169605536870336</v>
      </c>
      <c r="AA128" s="176">
        <f t="shared" si="151"/>
        <v>0.47186850821567805</v>
      </c>
      <c r="AB128" s="156">
        <f t="shared" si="151"/>
        <v>0.43223628574993417</v>
      </c>
      <c r="AC128" s="156">
        <f t="shared" si="151"/>
        <v>0.45449222699410569</v>
      </c>
      <c r="AD128" s="156">
        <f t="shared" si="151"/>
        <v>0.44862910198493106</v>
      </c>
      <c r="AE128" s="156">
        <f t="shared" si="151"/>
        <v>0.45312942931741884</v>
      </c>
      <c r="AF128" s="176">
        <f t="shared" si="151"/>
        <v>0.4479322485380075</v>
      </c>
      <c r="AG128" s="156">
        <f t="shared" si="151"/>
        <v>0.41793492048656078</v>
      </c>
      <c r="AH128" s="156">
        <f t="shared" si="151"/>
        <v>0.47316627561690644</v>
      </c>
      <c r="AI128" s="156">
        <f t="shared" si="151"/>
        <v>0.4675874085259612</v>
      </c>
      <c r="AJ128" s="156">
        <f t="shared" si="151"/>
        <v>0.4759860980857285</v>
      </c>
      <c r="AK128" s="176">
        <f t="shared" si="151"/>
        <v>0.46020005518107482</v>
      </c>
      <c r="AL128" s="156">
        <f t="shared" si="151"/>
        <v>0.42913661557013988</v>
      </c>
      <c r="AM128" s="156">
        <f t="shared" si="151"/>
        <v>0.468959230437832</v>
      </c>
      <c r="AN128" s="156">
        <f t="shared" si="151"/>
        <v>0.46321877967953234</v>
      </c>
      <c r="AO128" s="156">
        <f t="shared" si="151"/>
        <v>0.47465028701543749</v>
      </c>
      <c r="AP128" s="176">
        <f t="shared" si="151"/>
        <v>0.459966368484025</v>
      </c>
      <c r="AQ128" s="156">
        <f>+AQ126/AQ15</f>
        <v>0.42411775967326804</v>
      </c>
      <c r="AR128" s="156">
        <f>+AR126/AR15</f>
        <v>0.46287103961843723</v>
      </c>
      <c r="AS128" s="156">
        <f t="shared" si="151"/>
        <v>0.4627664948974437</v>
      </c>
      <c r="AT128" s="156">
        <f t="shared" si="151"/>
        <v>0.47278882270331279</v>
      </c>
      <c r="AU128" s="176">
        <f t="shared" si="151"/>
        <v>0.45692107424627187</v>
      </c>
      <c r="AV128" s="156">
        <f t="shared" si="151"/>
        <v>0.45499999999999985</v>
      </c>
      <c r="AW128" s="156">
        <f t="shared" si="151"/>
        <v>0.4617</v>
      </c>
      <c r="AX128" s="156">
        <f t="shared" si="151"/>
        <v>0.46869999999999989</v>
      </c>
      <c r="AY128" s="156">
        <f t="shared" si="151"/>
        <v>0.4756999999999999</v>
      </c>
      <c r="AZ128" s="176">
        <f t="shared" si="151"/>
        <v>0.46589252579839846</v>
      </c>
      <c r="BA128" s="156">
        <f t="shared" ref="BA128:BJ128" si="152">+BA126/BA15</f>
        <v>0.47499999999999998</v>
      </c>
      <c r="BB128" s="156">
        <f t="shared" si="152"/>
        <v>0.48169999999999996</v>
      </c>
      <c r="BC128" s="156">
        <f t="shared" si="152"/>
        <v>0.48869999999999991</v>
      </c>
      <c r="BD128" s="156">
        <f t="shared" si="152"/>
        <v>0.49570000000000003</v>
      </c>
      <c r="BE128" s="176">
        <f t="shared" si="152"/>
        <v>0.4856992955393209</v>
      </c>
      <c r="BF128" s="156">
        <f t="shared" si="152"/>
        <v>0.4920000000000001</v>
      </c>
      <c r="BG128" s="156">
        <f t="shared" si="152"/>
        <v>0.49870000000000009</v>
      </c>
      <c r="BH128" s="156">
        <f t="shared" si="152"/>
        <v>0.50570000000000004</v>
      </c>
      <c r="BI128" s="156">
        <f t="shared" si="152"/>
        <v>0.51269999999999993</v>
      </c>
      <c r="BJ128" s="176">
        <f t="shared" si="152"/>
        <v>0.50269613521144574</v>
      </c>
      <c r="BK128" s="179"/>
      <c r="BL128" s="179"/>
      <c r="BM128" s="179"/>
      <c r="BN128" s="179"/>
      <c r="BO128" s="179"/>
      <c r="BP128" s="179"/>
      <c r="BQ128" s="119"/>
      <c r="BR128" s="113"/>
      <c r="BS128" s="113"/>
      <c r="BZ128" s="113"/>
      <c r="CA128" s="113"/>
      <c r="CB128" s="113"/>
    </row>
    <row r="129" spans="1:80" ht="13.5" hidden="1" customHeight="1" outlineLevel="1">
      <c r="A129" s="113"/>
      <c r="B129" s="432" t="s">
        <v>99</v>
      </c>
      <c r="C129" s="317"/>
      <c r="D129" s="317"/>
      <c r="E129" s="317"/>
      <c r="F129" s="317"/>
      <c r="G129" s="433"/>
      <c r="H129" s="317"/>
      <c r="I129" s="317"/>
      <c r="J129" s="317"/>
      <c r="K129" s="317"/>
      <c r="L129" s="433"/>
      <c r="M129" s="225">
        <f t="shared" ref="M129:AZ129" si="153">+(M128-H128)*10000</f>
        <v>-155.43141515309222</v>
      </c>
      <c r="N129" s="225">
        <f t="shared" si="153"/>
        <v>-58.941905921002792</v>
      </c>
      <c r="O129" s="225">
        <f t="shared" si="153"/>
        <v>213.44253580629245</v>
      </c>
      <c r="P129" s="225">
        <f t="shared" si="153"/>
        <v>177.02341579808433</v>
      </c>
      <c r="Q129" s="434">
        <f t="shared" si="153"/>
        <v>59.957449439757561</v>
      </c>
      <c r="R129" s="225">
        <f t="shared" si="153"/>
        <v>-535.08334888382808</v>
      </c>
      <c r="S129" s="225">
        <f t="shared" si="153"/>
        <v>-321.5404907620034</v>
      </c>
      <c r="T129" s="225">
        <f t="shared" si="153"/>
        <v>-361.20897270390805</v>
      </c>
      <c r="U129" s="225">
        <f t="shared" si="153"/>
        <v>-276.71393708021185</v>
      </c>
      <c r="V129" s="433">
        <f t="shared" si="153"/>
        <v>-376.83022040389369</v>
      </c>
      <c r="W129" s="225">
        <f t="shared" si="153"/>
        <v>288.24509400330766</v>
      </c>
      <c r="X129" s="225">
        <f t="shared" si="153"/>
        <v>160.81226643218594</v>
      </c>
      <c r="Y129" s="225">
        <f t="shared" si="153"/>
        <v>90.480581696262831</v>
      </c>
      <c r="Z129" s="225">
        <f t="shared" si="153"/>
        <v>-251.29518222853642</v>
      </c>
      <c r="AA129" s="433">
        <f t="shared" si="153"/>
        <v>60.143774445969299</v>
      </c>
      <c r="AB129" s="225">
        <f t="shared" si="153"/>
        <v>-19.394776221312028</v>
      </c>
      <c r="AC129" s="225">
        <f t="shared" si="153"/>
        <v>-309.79654773585884</v>
      </c>
      <c r="AD129" s="225">
        <f t="shared" si="153"/>
        <v>-341.65266586750067</v>
      </c>
      <c r="AE129" s="225">
        <f t="shared" si="153"/>
        <v>-285.66626051284516</v>
      </c>
      <c r="AF129" s="433">
        <f t="shared" si="153"/>
        <v>-239.36259677670546</v>
      </c>
      <c r="AG129" s="225">
        <f t="shared" si="153"/>
        <v>-143.0136526337339</v>
      </c>
      <c r="AH129" s="225">
        <f t="shared" si="153"/>
        <v>186.74048622800754</v>
      </c>
      <c r="AI129" s="225">
        <f t="shared" si="153"/>
        <v>189.58306541030146</v>
      </c>
      <c r="AJ129" s="225">
        <f t="shared" si="153"/>
        <v>228.56668768309663</v>
      </c>
      <c r="AK129" s="433">
        <f t="shared" si="153"/>
        <v>122.67806643067314</v>
      </c>
      <c r="AL129" s="225">
        <f t="shared" si="153"/>
        <v>112.01695083579099</v>
      </c>
      <c r="AM129" s="225">
        <f t="shared" si="153"/>
        <v>-42.070451790744421</v>
      </c>
      <c r="AN129" s="225">
        <f t="shared" si="153"/>
        <v>-43.686288464288566</v>
      </c>
      <c r="AO129" s="225">
        <f t="shared" si="153"/>
        <v>-13.358110702910153</v>
      </c>
      <c r="AP129" s="433">
        <f t="shared" si="153"/>
        <v>-2.3368669704981748</v>
      </c>
      <c r="AQ129" s="225">
        <f t="shared" si="153"/>
        <v>-50.188558968718432</v>
      </c>
      <c r="AR129" s="225">
        <f t="shared" si="153"/>
        <v>-60.881908193947673</v>
      </c>
      <c r="AS129" s="225">
        <f t="shared" si="153"/>
        <v>-4.5228478208864109</v>
      </c>
      <c r="AT129" s="225">
        <f t="shared" si="153"/>
        <v>-18.614643121246942</v>
      </c>
      <c r="AU129" s="433">
        <f t="shared" si="153"/>
        <v>-30.452942377531265</v>
      </c>
      <c r="AV129" s="225">
        <f t="shared" si="153"/>
        <v>308.82240326731812</v>
      </c>
      <c r="AW129" s="225">
        <f t="shared" si="153"/>
        <v>-11.710396184372307</v>
      </c>
      <c r="AX129" s="225">
        <f t="shared" si="153"/>
        <v>59.33505102556191</v>
      </c>
      <c r="AY129" s="225">
        <f t="shared" si="153"/>
        <v>29.111772966871065</v>
      </c>
      <c r="AZ129" s="433">
        <f t="shared" si="153"/>
        <v>89.714515521265852</v>
      </c>
      <c r="BA129" s="225">
        <f t="shared" ref="BA129:BJ129" si="154">+(BA128-AV128)*10000</f>
        <v>200.00000000000128</v>
      </c>
      <c r="BB129" s="225">
        <f t="shared" si="154"/>
        <v>199.99999999999963</v>
      </c>
      <c r="BC129" s="225">
        <f t="shared" si="154"/>
        <v>200.00000000000017</v>
      </c>
      <c r="BD129" s="225">
        <f t="shared" si="154"/>
        <v>200.00000000000128</v>
      </c>
      <c r="BE129" s="433">
        <f t="shared" si="154"/>
        <v>198.06769740922437</v>
      </c>
      <c r="BF129" s="225">
        <f t="shared" si="154"/>
        <v>170.00000000000125</v>
      </c>
      <c r="BG129" s="225">
        <f t="shared" si="154"/>
        <v>170.00000000000125</v>
      </c>
      <c r="BH129" s="225">
        <f t="shared" si="154"/>
        <v>170.00000000000125</v>
      </c>
      <c r="BI129" s="225">
        <f t="shared" si="154"/>
        <v>169.99999999999903</v>
      </c>
      <c r="BJ129" s="433">
        <f t="shared" si="154"/>
        <v>169.96839672124841</v>
      </c>
      <c r="BK129" s="435"/>
      <c r="BL129" s="435"/>
      <c r="BM129" s="435"/>
      <c r="BN129" s="435"/>
      <c r="BO129" s="435"/>
      <c r="BP129" s="435"/>
      <c r="BQ129" s="119"/>
      <c r="BR129" s="113"/>
      <c r="BS129" s="113"/>
      <c r="BZ129" s="113"/>
      <c r="CA129" s="113"/>
      <c r="CB129" s="113"/>
    </row>
    <row r="130" spans="1:80" ht="13.5" hidden="1" customHeight="1" outlineLevel="1">
      <c r="A130" s="113"/>
      <c r="B130" s="436"/>
      <c r="C130" s="317"/>
      <c r="D130" s="317"/>
      <c r="E130" s="317"/>
      <c r="F130" s="317"/>
      <c r="G130" s="314"/>
      <c r="H130" s="317"/>
      <c r="I130" s="317"/>
      <c r="J130" s="317"/>
      <c r="K130" s="317"/>
      <c r="L130" s="314"/>
      <c r="M130" s="317"/>
      <c r="N130" s="317"/>
      <c r="O130" s="317"/>
      <c r="P130" s="317"/>
      <c r="Q130" s="314"/>
      <c r="R130" s="317"/>
      <c r="S130" s="317"/>
      <c r="T130" s="317"/>
      <c r="U130" s="317"/>
      <c r="V130" s="314"/>
      <c r="W130" s="320"/>
      <c r="X130" s="320"/>
      <c r="Y130" s="320"/>
      <c r="Z130" s="320"/>
      <c r="AA130" s="437"/>
      <c r="AB130" s="320"/>
      <c r="AC130" s="320"/>
      <c r="AD130" s="320"/>
      <c r="AE130" s="320"/>
      <c r="AF130" s="437"/>
      <c r="AG130" s="320"/>
      <c r="AH130" s="320"/>
      <c r="AI130" s="320"/>
      <c r="AJ130" s="320"/>
      <c r="AK130" s="437"/>
      <c r="AL130" s="320"/>
      <c r="AM130" s="320"/>
      <c r="AN130" s="320"/>
      <c r="AO130" s="320"/>
      <c r="AP130" s="437"/>
      <c r="AQ130" s="320"/>
      <c r="AR130" s="320"/>
      <c r="AS130" s="320"/>
      <c r="AT130" s="320"/>
      <c r="AU130" s="437"/>
      <c r="AV130" s="320"/>
      <c r="AW130" s="320"/>
      <c r="AX130" s="320"/>
      <c r="AY130" s="320"/>
      <c r="AZ130" s="437"/>
      <c r="BA130" s="320"/>
      <c r="BB130" s="320"/>
      <c r="BC130" s="320"/>
      <c r="BD130" s="320"/>
      <c r="BE130" s="437"/>
      <c r="BF130" s="320"/>
      <c r="BG130" s="320"/>
      <c r="BH130" s="320"/>
      <c r="BI130" s="320"/>
      <c r="BJ130" s="437"/>
      <c r="BK130" s="320"/>
      <c r="BL130" s="320"/>
      <c r="BM130" s="320"/>
      <c r="BN130" s="320"/>
      <c r="BO130" s="320"/>
      <c r="BP130" s="320"/>
      <c r="BQ130" s="119"/>
      <c r="BR130" s="113"/>
      <c r="BS130" s="113"/>
      <c r="BZ130" s="113"/>
      <c r="CA130" s="113"/>
      <c r="CB130" s="113"/>
    </row>
    <row r="131" spans="1:80" ht="13.5" hidden="1" customHeight="1" outlineLevel="1">
      <c r="A131" s="113"/>
      <c r="B131" s="375" t="s">
        <v>146</v>
      </c>
      <c r="C131" s="317"/>
      <c r="D131" s="317"/>
      <c r="E131" s="317"/>
      <c r="F131" s="317"/>
      <c r="G131" s="314"/>
      <c r="H131" s="376">
        <f>+H44</f>
        <v>8.1</v>
      </c>
      <c r="I131" s="376">
        <f>+I44</f>
        <v>8.1</v>
      </c>
      <c r="J131" s="376">
        <f>+J44</f>
        <v>8.1</v>
      </c>
      <c r="K131" s="376">
        <f>+K44</f>
        <v>8.1</v>
      </c>
      <c r="L131" s="314">
        <f>+SUM(H131:K131)</f>
        <v>32.4</v>
      </c>
      <c r="M131" s="376">
        <f>+M44</f>
        <v>8.1</v>
      </c>
      <c r="N131" s="376">
        <f>+N44</f>
        <v>8.1</v>
      </c>
      <c r="O131" s="376">
        <f>+O44</f>
        <v>8.1</v>
      </c>
      <c r="P131" s="376">
        <f>+P44</f>
        <v>9.5</v>
      </c>
      <c r="Q131" s="314">
        <f>+SUM(M131:P131)</f>
        <v>33.799999999999997</v>
      </c>
      <c r="R131" s="376">
        <f>+R44</f>
        <v>9.6059999999999999</v>
      </c>
      <c r="S131" s="376">
        <f>+S44</f>
        <v>10.381</v>
      </c>
      <c r="T131" s="376">
        <f>+T44</f>
        <v>11.039</v>
      </c>
      <c r="U131" s="376">
        <f>+U44</f>
        <v>12.077</v>
      </c>
      <c r="V131" s="314">
        <f>+SUM(R131:U131)</f>
        <v>43.103000000000002</v>
      </c>
      <c r="W131" s="376">
        <f>+W44</f>
        <v>12.836</v>
      </c>
      <c r="X131" s="376">
        <f>+X44</f>
        <v>14.082000000000001</v>
      </c>
      <c r="Y131" s="376">
        <f>+Y44</f>
        <v>16.635999999999999</v>
      </c>
      <c r="Z131" s="376">
        <f>+Z44</f>
        <v>16.937999999999999</v>
      </c>
      <c r="AA131" s="314">
        <f>+SUM(W131:Z131)</f>
        <v>60.492000000000004</v>
      </c>
      <c r="AB131" s="376">
        <f>+AB44</f>
        <v>17.597999999999999</v>
      </c>
      <c r="AC131" s="376">
        <f>+AC44</f>
        <v>18.940000000000001</v>
      </c>
      <c r="AD131" s="376">
        <f>+AD44</f>
        <v>20.143000000000001</v>
      </c>
      <c r="AE131" s="376">
        <f>+AE44</f>
        <v>19.824999999999999</v>
      </c>
      <c r="AF131" s="314">
        <f>+SUM(AB131:AE131)</f>
        <v>76.506</v>
      </c>
      <c r="AG131" s="376">
        <f>+AG44</f>
        <v>20.577000000000002</v>
      </c>
      <c r="AH131" s="376">
        <f>+AH44</f>
        <v>20.135000000000002</v>
      </c>
      <c r="AI131" s="376">
        <f>+AI44</f>
        <v>21.956</v>
      </c>
      <c r="AJ131" s="376">
        <f>+AJ44</f>
        <v>22.832999999999998</v>
      </c>
      <c r="AK131" s="314">
        <f>+SUM(AG131:AJ131)</f>
        <v>85.501000000000005</v>
      </c>
      <c r="AL131" s="376">
        <f>+AL44</f>
        <v>20.565000000000001</v>
      </c>
      <c r="AM131" s="376">
        <f>+AM44</f>
        <v>17.992000000000001</v>
      </c>
      <c r="AN131" s="376">
        <f>+AN44</f>
        <v>18.289000000000001</v>
      </c>
      <c r="AO131" s="376">
        <f>+AO44</f>
        <v>22.386000000000003</v>
      </c>
      <c r="AP131" s="314">
        <f>+SUM(AL131:AO131)</f>
        <v>79.231999999999999</v>
      </c>
      <c r="AQ131" s="376">
        <f>+AQ44</f>
        <v>24.18</v>
      </c>
      <c r="AR131" s="376">
        <f>+AR44</f>
        <v>24.084000000000003</v>
      </c>
      <c r="AS131" s="376">
        <f>+AS44</f>
        <v>27.22</v>
      </c>
      <c r="AT131" s="376">
        <f>+AT44</f>
        <v>25.159999999999997</v>
      </c>
      <c r="AU131" s="314">
        <f>+SUM(AQ131:AT131)</f>
        <v>100.64400000000001</v>
      </c>
      <c r="AV131" s="376">
        <f>+AV44</f>
        <v>35.452806927031311</v>
      </c>
      <c r="AW131" s="376">
        <f>+AW44</f>
        <v>41.396732247857521</v>
      </c>
      <c r="AX131" s="376">
        <f>+AX44</f>
        <v>43.3361764951173</v>
      </c>
      <c r="AY131" s="376">
        <f>+AY44</f>
        <v>44.666167403146964</v>
      </c>
      <c r="AZ131" s="314">
        <f>+SUM(AV131:AY131)</f>
        <v>164.85188307315309</v>
      </c>
      <c r="BA131" s="376">
        <f>+BA44</f>
        <v>46.848365957486088</v>
      </c>
      <c r="BB131" s="376">
        <f>+BB44</f>
        <v>50.471546266617374</v>
      </c>
      <c r="BC131" s="376">
        <f>+BC44</f>
        <v>52.800760418393637</v>
      </c>
      <c r="BD131" s="376">
        <f>+BD44</f>
        <v>54.461729929811987</v>
      </c>
      <c r="BE131" s="314">
        <f>+SUM(BA131:BD131)</f>
        <v>204.58240257230906</v>
      </c>
      <c r="BF131" s="376">
        <f>+BF44</f>
        <v>51.220844321997234</v>
      </c>
      <c r="BG131" s="376">
        <f>+BG44</f>
        <v>55.14318235502833</v>
      </c>
      <c r="BH131" s="376">
        <f>+BH44</f>
        <v>57.627283376040829</v>
      </c>
      <c r="BI131" s="376">
        <f>+BI44</f>
        <v>59.489020931207456</v>
      </c>
      <c r="BJ131" s="314">
        <f>+SUM(BF131:BI131)</f>
        <v>223.48033098427385</v>
      </c>
      <c r="BK131" s="320"/>
      <c r="BL131" s="320"/>
      <c r="BM131" s="320"/>
      <c r="BN131" s="320"/>
      <c r="BO131" s="320"/>
      <c r="BP131" s="320"/>
      <c r="BQ131" s="410"/>
      <c r="BR131" s="113"/>
      <c r="BS131" s="113"/>
      <c r="BZ131" s="113"/>
      <c r="CA131" s="113"/>
      <c r="CB131" s="113"/>
    </row>
    <row r="132" spans="1:80" ht="13.5" hidden="1" customHeight="1" outlineLevel="1">
      <c r="A132" s="113"/>
      <c r="B132" s="375" t="s">
        <v>147</v>
      </c>
      <c r="C132" s="317"/>
      <c r="D132" s="317"/>
      <c r="E132" s="317"/>
      <c r="F132" s="317"/>
      <c r="G132" s="314"/>
      <c r="H132" s="376">
        <f>+H112</f>
        <v>28.7</v>
      </c>
      <c r="I132" s="376">
        <f>+I112</f>
        <v>29</v>
      </c>
      <c r="J132" s="376">
        <f>+J112</f>
        <v>29.2</v>
      </c>
      <c r="K132" s="376">
        <f>+K112</f>
        <v>29.2</v>
      </c>
      <c r="L132" s="314">
        <f>+SUM(H132:K132)</f>
        <v>116.10000000000001</v>
      </c>
      <c r="M132" s="376">
        <f>+M112</f>
        <v>30.6</v>
      </c>
      <c r="N132" s="376">
        <f>+N112</f>
        <v>29</v>
      </c>
      <c r="O132" s="376">
        <f>+O112</f>
        <v>26.2</v>
      </c>
      <c r="P132" s="376">
        <f>+P112</f>
        <v>25.76</v>
      </c>
      <c r="Q132" s="314">
        <f>+SUM(M132:P132)</f>
        <v>111.56</v>
      </c>
      <c r="R132" s="376">
        <f>+R112</f>
        <v>24.45</v>
      </c>
      <c r="S132" s="376">
        <f>+S112</f>
        <v>10.169</v>
      </c>
      <c r="T132" s="376">
        <f>+T112</f>
        <v>10.055999999999999</v>
      </c>
      <c r="U132" s="376">
        <f>+U112</f>
        <v>9.8970000000000002</v>
      </c>
      <c r="V132" s="314">
        <f>+SUM(R132:U132)</f>
        <v>54.571999999999996</v>
      </c>
      <c r="W132" s="376">
        <f>+W112</f>
        <v>9.6940000000000008</v>
      </c>
      <c r="X132" s="376">
        <f>+X112</f>
        <v>29.899000000000001</v>
      </c>
      <c r="Y132" s="376">
        <f>+Y112</f>
        <v>10.724</v>
      </c>
      <c r="Z132" s="376">
        <f>+Z112</f>
        <v>10.585000000000001</v>
      </c>
      <c r="AA132" s="314">
        <f>+SUM(W132:Z132)</f>
        <v>60.902000000000008</v>
      </c>
      <c r="AB132" s="376">
        <f>+AB112</f>
        <v>10.554</v>
      </c>
      <c r="AC132" s="376">
        <f>+AC112</f>
        <v>41.152000000000001</v>
      </c>
      <c r="AD132" s="376">
        <f>+AD112</f>
        <v>28.039000000000001</v>
      </c>
      <c r="AE132" s="376">
        <f>+AE112</f>
        <v>27.611999999999998</v>
      </c>
      <c r="AF132" s="314">
        <f>+SUM(AB132:AE132)</f>
        <v>107.357</v>
      </c>
      <c r="AG132" s="376">
        <f>+AG112</f>
        <v>26.010999999999999</v>
      </c>
      <c r="AH132" s="376">
        <f>+AH112</f>
        <v>25.713999999999999</v>
      </c>
      <c r="AI132" s="376">
        <f>+AI112</f>
        <v>27.044</v>
      </c>
      <c r="AJ132" s="376">
        <f>+AJ112</f>
        <v>26.966999999999999</v>
      </c>
      <c r="AK132" s="314">
        <f>+SUM(AG132:AJ132)</f>
        <v>105.73599999999999</v>
      </c>
      <c r="AL132" s="376">
        <f>+AL112</f>
        <v>27.728999999999999</v>
      </c>
      <c r="AM132" s="376">
        <f>+AM112</f>
        <v>26.117999999999999</v>
      </c>
      <c r="AN132" s="376">
        <f>+AN112</f>
        <v>27.474</v>
      </c>
      <c r="AO132" s="376">
        <f>+AO112</f>
        <v>28.213000000000001</v>
      </c>
      <c r="AP132" s="314">
        <f>+SUM(AL132:AO132)</f>
        <v>109.53399999999999</v>
      </c>
      <c r="AQ132" s="376">
        <f>+AQ112</f>
        <v>29.17</v>
      </c>
      <c r="AR132" s="376">
        <f>+AR112</f>
        <v>29.75</v>
      </c>
      <c r="AS132" s="376">
        <f>+AS112</f>
        <v>38.521000000000001</v>
      </c>
      <c r="AT132" s="376">
        <f>+AT112</f>
        <v>43.22</v>
      </c>
      <c r="AU132" s="314">
        <f>+SUM(AQ132:AT132)</f>
        <v>140.661</v>
      </c>
      <c r="AV132" s="376">
        <f>+AV112</f>
        <v>87.846852250000012</v>
      </c>
      <c r="AW132" s="376">
        <f>+AW112</f>
        <v>88.993461999999994</v>
      </c>
      <c r="AX132" s="376">
        <f>+AX112</f>
        <v>90.140071750000004</v>
      </c>
      <c r="AY132" s="376">
        <f>+AY112</f>
        <v>91.2866815</v>
      </c>
      <c r="AZ132" s="314">
        <f>+SUM(AV132:AY132)</f>
        <v>358.2670675</v>
      </c>
      <c r="BA132" s="376">
        <f>+BA112</f>
        <v>89.053969000000009</v>
      </c>
      <c r="BB132" s="376">
        <f>+BB112</f>
        <v>88.203969000000015</v>
      </c>
      <c r="BC132" s="376">
        <f>+BC112</f>
        <v>87.353968999999992</v>
      </c>
      <c r="BD132" s="376">
        <f>+BD112</f>
        <v>86.503968999999998</v>
      </c>
      <c r="BE132" s="314">
        <f>+SUM(BA132:BD132)</f>
        <v>351.11587600000001</v>
      </c>
      <c r="BF132" s="376">
        <f>+BF112</f>
        <v>86.503968999999998</v>
      </c>
      <c r="BG132" s="376">
        <f>+BG112</f>
        <v>86.503968999999998</v>
      </c>
      <c r="BH132" s="376">
        <f>+BH112</f>
        <v>86.503968999999998</v>
      </c>
      <c r="BI132" s="376">
        <f>+BI112</f>
        <v>86.503968999999998</v>
      </c>
      <c r="BJ132" s="314">
        <f>+SUM(BF132:BI132)</f>
        <v>346.01587599999999</v>
      </c>
      <c r="BK132" s="320"/>
      <c r="BL132" s="320"/>
      <c r="BM132" s="320"/>
      <c r="BN132" s="320"/>
      <c r="BO132" s="320"/>
      <c r="BP132" s="320"/>
      <c r="BQ132" s="119"/>
      <c r="BR132" s="113"/>
      <c r="BS132" s="113"/>
      <c r="BZ132" s="113"/>
      <c r="CA132" s="113"/>
      <c r="CB132" s="113"/>
    </row>
    <row r="133" spans="1:80" ht="13.5" hidden="1" customHeight="1" outlineLevel="1">
      <c r="A133" s="113"/>
      <c r="B133" s="375" t="s">
        <v>150</v>
      </c>
      <c r="C133" s="399"/>
      <c r="D133" s="399"/>
      <c r="E133" s="399"/>
      <c r="F133" s="399"/>
      <c r="G133" s="314"/>
      <c r="H133" s="376">
        <f>+(H126-H131-H132)*H134</f>
        <v>17.941000000000003</v>
      </c>
      <c r="I133" s="376">
        <f>+(I126-I131-I132)*I134</f>
        <v>22.483999999999998</v>
      </c>
      <c r="J133" s="376">
        <f>+(J126-J131-J132)*J134</f>
        <v>23.331000000000003</v>
      </c>
      <c r="K133" s="376">
        <f>+(K126-K131-K132)*K134</f>
        <v>27.10400000000001</v>
      </c>
      <c r="L133" s="314">
        <f>+SUM(H133:K133)</f>
        <v>90.860000000000014</v>
      </c>
      <c r="M133" s="376">
        <f>+(M126-M131-M132)*M134</f>
        <v>18.530050000000013</v>
      </c>
      <c r="N133" s="376">
        <f>+(N126-N131-N132)*N134</f>
        <v>27.592950000000016</v>
      </c>
      <c r="O133" s="376">
        <f>+(O126-O131-O132)*O134</f>
        <v>29.367800000000003</v>
      </c>
      <c r="P133" s="376">
        <f>+(P126-P131-P132)*P134</f>
        <v>36.365560000000016</v>
      </c>
      <c r="Q133" s="314">
        <f>+SUM(M133:P133)</f>
        <v>111.85636000000005</v>
      </c>
      <c r="R133" s="376">
        <f>+(R126-R131-R132)*R134</f>
        <v>23.184787759131297</v>
      </c>
      <c r="S133" s="376">
        <f>+(S126-S131-S132)*S134</f>
        <v>39.142565000000019</v>
      </c>
      <c r="T133" s="376">
        <f>+(T126-T131-T132)*T134</f>
        <v>39.026294999999983</v>
      </c>
      <c r="U133" s="376">
        <f>+(U126-U131-U132)*U134</f>
        <v>44.455949999999987</v>
      </c>
      <c r="V133" s="314">
        <f>+SUM(R133:U133)</f>
        <v>145.80959775913129</v>
      </c>
      <c r="W133" s="376">
        <f>+(W126-W131-W132)*W134</f>
        <v>32.979524932568623</v>
      </c>
      <c r="X133" s="376">
        <f>+(X126-X131-X132)*X134</f>
        <v>35.105081037149887</v>
      </c>
      <c r="Y133" s="376">
        <f>+(Y126-Y131-Y132)*Y134</f>
        <v>39.573834672366772</v>
      </c>
      <c r="Z133" s="376">
        <f>+(Z126-Z131-Z132)*Z134</f>
        <v>36.553269549708141</v>
      </c>
      <c r="AA133" s="314">
        <f>+SUM(W133:Z133)</f>
        <v>144.21171019179343</v>
      </c>
      <c r="AB133" s="376">
        <f>+(AB126-AB131-AB132)*AB134</f>
        <v>37.176369999999999</v>
      </c>
      <c r="AC133" s="376">
        <f>+(AC126-AC131-AC132)*AC134</f>
        <v>34.842114999999993</v>
      </c>
      <c r="AD133" s="376">
        <f>+(AD126-AD131-AD132)*AD134</f>
        <v>44.723149352500727</v>
      </c>
      <c r="AE133" s="376">
        <f>+(AE126-AE131-AE132)*AE134</f>
        <v>49.197528519529563</v>
      </c>
      <c r="AF133" s="314">
        <f>+SUM(AB133:AE133)</f>
        <v>165.93916287203029</v>
      </c>
      <c r="AG133" s="376">
        <f>+(AG126-AG131-AG132)*AG134</f>
        <v>39.590901728012916</v>
      </c>
      <c r="AH133" s="376">
        <f>+(AH126-AH131-AH132)*AH134</f>
        <v>55.658159999999974</v>
      </c>
      <c r="AI133" s="376">
        <f>+(AI126-AI131-AI132)*AI134</f>
        <v>54.928393309279258</v>
      </c>
      <c r="AJ133" s="376">
        <f>+(AJ126-AJ131-AJ132)*AJ134</f>
        <v>59.736340123120449</v>
      </c>
      <c r="AK133" s="314">
        <f>+SUM(AG133:AJ133)</f>
        <v>209.91379516041258</v>
      </c>
      <c r="AL133" s="376">
        <f>+(AL126-AL131-AL132)*AL134</f>
        <v>49.413474707928984</v>
      </c>
      <c r="AM133" s="376">
        <f>+(AM126-AM131-AM132)*AM134</f>
        <v>65.47714542830461</v>
      </c>
      <c r="AN133" s="376">
        <f>+(AN126-AN131-AN132)*AN134</f>
        <v>65.468255481875602</v>
      </c>
      <c r="AO133" s="376">
        <f>+(AO126-AO131-AO132)*AO134</f>
        <v>67.633559999999989</v>
      </c>
      <c r="AP133" s="314">
        <f>+SUM(AL133:AO133)</f>
        <v>247.9924356181092</v>
      </c>
      <c r="AQ133" s="376">
        <f>+(AQ126-AQ131-AQ132)*AQ134</f>
        <v>49.73209813502519</v>
      </c>
      <c r="AR133" s="376">
        <f>+(AR126-AR131-AR132)*AR134</f>
        <v>65.248459409274346</v>
      </c>
      <c r="AS133" s="376">
        <f>+(AS126-AS131-AS132)*AS134</f>
        <v>64.997592990234793</v>
      </c>
      <c r="AT133" s="376">
        <f>+(AT126-AT131-AT132)*AT134</f>
        <v>68.417423749847231</v>
      </c>
      <c r="AU133" s="314">
        <f>+SUM(AQ133:AT133)</f>
        <v>248.39557428438155</v>
      </c>
      <c r="AV133" s="376">
        <f>+(AV126-AV131-AV132)*AV134</f>
        <v>48.688244964407708</v>
      </c>
      <c r="AW133" s="376">
        <f>+(AW126-AW131-AW132)*AW134</f>
        <v>60.671640574761312</v>
      </c>
      <c r="AX133" s="376">
        <f>+(AX126-AX131-AX132)*AX134</f>
        <v>65.444607549184894</v>
      </c>
      <c r="AY133" s="376">
        <f>+(AY126-AY131-AY132)*AY134</f>
        <v>69.158657729546348</v>
      </c>
      <c r="AZ133" s="314">
        <f>+SUM(AV133:AY133)</f>
        <v>243.96315081790027</v>
      </c>
      <c r="BA133" s="376">
        <f>+(BA126-BA131-BA132)*BA134</f>
        <v>60.696091742670909</v>
      </c>
      <c r="BB133" s="376">
        <f>+(BB126-BB131-BB132)*BB134</f>
        <v>68.101534257208627</v>
      </c>
      <c r="BC133" s="376">
        <f>+(BC126-BC131-BC132)*BC134</f>
        <v>73.562414933892342</v>
      </c>
      <c r="BD133" s="376">
        <f>+(BD126-BD131-BD132)*BD134</f>
        <v>77.9978444407393</v>
      </c>
      <c r="BE133" s="314">
        <f>+SUM(BA133:BD133)</f>
        <v>280.35788537451117</v>
      </c>
      <c r="BF133" s="376">
        <f>+(BF126-BF131-BF132)*BF134</f>
        <v>70.70675408953683</v>
      </c>
      <c r="BG133" s="376">
        <f>+(BG126-BG131-BG132)*BG134</f>
        <v>78.713679225178566</v>
      </c>
      <c r="BH133" s="376">
        <f>+(BH126-BH131-BH132)*BH134</f>
        <v>84.489660816259857</v>
      </c>
      <c r="BI133" s="376">
        <f>+(BI126-BI131-BI132)*BI134</f>
        <v>89.30028887885446</v>
      </c>
      <c r="BJ133" s="314">
        <f>+SUM(BF133:BI133)</f>
        <v>323.21038300982974</v>
      </c>
      <c r="BK133" s="320"/>
      <c r="BL133" s="320"/>
      <c r="BM133" s="320"/>
      <c r="BN133" s="320"/>
      <c r="BO133" s="320"/>
      <c r="BP133" s="320"/>
      <c r="BQ133" s="119"/>
      <c r="BR133" s="113"/>
      <c r="BS133" s="113"/>
      <c r="BZ133" s="113"/>
      <c r="CA133" s="113"/>
      <c r="CB133" s="113"/>
    </row>
    <row r="134" spans="1:80" ht="13.5" hidden="1" customHeight="1" outlineLevel="1">
      <c r="A134" s="113"/>
      <c r="B134" s="375" t="s">
        <v>161</v>
      </c>
      <c r="C134" s="399"/>
      <c r="D134" s="399"/>
      <c r="E134" s="399"/>
      <c r="F134" s="399"/>
      <c r="G134" s="314"/>
      <c r="H134" s="438">
        <v>0.38500000000000001</v>
      </c>
      <c r="I134" s="438">
        <v>0.38500000000000001</v>
      </c>
      <c r="J134" s="438">
        <v>0.38500000000000001</v>
      </c>
      <c r="K134" s="438">
        <v>0.38500000000000001</v>
      </c>
      <c r="L134" s="439">
        <f>+L133/(L126-L131-L132)</f>
        <v>0.38500000000000023</v>
      </c>
      <c r="M134" s="438">
        <v>0.38500000000000001</v>
      </c>
      <c r="N134" s="438">
        <v>0.38500000000000001</v>
      </c>
      <c r="O134" s="438">
        <v>0.38500000000000001</v>
      </c>
      <c r="P134" s="438">
        <v>0.38500000000000001</v>
      </c>
      <c r="Q134" s="439">
        <f>+Q133/(Q126-Q131-Q132)</f>
        <v>0.38500000000000018</v>
      </c>
      <c r="R134" s="438">
        <f>+R68</f>
        <v>0.38499506416584395</v>
      </c>
      <c r="S134" s="438">
        <v>0.38500000000000001</v>
      </c>
      <c r="T134" s="438">
        <v>0.38500000000000001</v>
      </c>
      <c r="U134" s="438">
        <v>0.38500000000000001</v>
      </c>
      <c r="V134" s="439">
        <f>+V133/(V126-V131-V132)</f>
        <v>0.38499921515796681</v>
      </c>
      <c r="W134" s="438">
        <f>+W68</f>
        <v>0.34369066282364624</v>
      </c>
      <c r="X134" s="438">
        <f>+X68</f>
        <v>0.35049352566569042</v>
      </c>
      <c r="Y134" s="438">
        <f>+Y68</f>
        <v>0.3450775165229355</v>
      </c>
      <c r="Z134" s="438">
        <f>+Z68</f>
        <v>0.30174650236264244</v>
      </c>
      <c r="AA134" s="439">
        <f>+AA133/(AA126-AA131-AA132)</f>
        <v>0.33387286586853954</v>
      </c>
      <c r="AB134" s="440">
        <v>0.38500000000000001</v>
      </c>
      <c r="AC134" s="440">
        <v>0.38500000000000001</v>
      </c>
      <c r="AD134" s="440">
        <f>+AD62</f>
        <v>0.36500052520220294</v>
      </c>
      <c r="AE134" s="440">
        <f>+AE62</f>
        <v>0.36499661337000472</v>
      </c>
      <c r="AF134" s="439">
        <f>+AF133/(AF126-AF131-AF132)</f>
        <v>0.37341810227762851</v>
      </c>
      <c r="AG134" s="440">
        <f>+AG62</f>
        <v>0.36019889848438708</v>
      </c>
      <c r="AH134" s="440">
        <f>+AH62</f>
        <v>0.36</v>
      </c>
      <c r="AI134" s="440">
        <f>+AI62</f>
        <v>0.3607231308851816</v>
      </c>
      <c r="AJ134" s="440">
        <f>+AJ62</f>
        <v>0.36006353107573874</v>
      </c>
      <c r="AK134" s="439">
        <f>+AK133/(AK126-AK131-AK132)</f>
        <v>0.36024457808403765</v>
      </c>
      <c r="AL134" s="440">
        <f>+AL62</f>
        <v>0.36133111066534784</v>
      </c>
      <c r="AM134" s="440">
        <f>+AM62</f>
        <v>0.36132099499108589</v>
      </c>
      <c r="AN134" s="440">
        <f>+AN62</f>
        <v>0.36066888580190293</v>
      </c>
      <c r="AO134" s="440">
        <f>+AO62</f>
        <v>0.36</v>
      </c>
      <c r="AP134" s="439">
        <f>+AP133/(AP126-AP131-AP132)</f>
        <v>0.36078973990064767</v>
      </c>
      <c r="AQ134" s="440">
        <f>+AQ62</f>
        <v>0.34055616669651295</v>
      </c>
      <c r="AR134" s="440">
        <f>+AR62</f>
        <v>0.34071946720804164</v>
      </c>
      <c r="AS134" s="440">
        <f>+AS62</f>
        <v>0.34076718966878711</v>
      </c>
      <c r="AT134" s="440">
        <f>+AT62</f>
        <v>0.3410503257589288</v>
      </c>
      <c r="AU134" s="439">
        <f>+AU133/(AU126-AU131-AU132)</f>
        <v>0.34079029949248441</v>
      </c>
      <c r="AV134" s="440">
        <f>+AV62</f>
        <v>0.19</v>
      </c>
      <c r="AW134" s="440">
        <f>+AW62</f>
        <v>0.19</v>
      </c>
      <c r="AX134" s="440">
        <f>+AX62</f>
        <v>0.19</v>
      </c>
      <c r="AY134" s="440">
        <f>+AY62</f>
        <v>0.19</v>
      </c>
      <c r="AZ134" s="439">
        <f>+AZ133/(AZ126-AZ131-AZ132)</f>
        <v>0.19000000000000003</v>
      </c>
      <c r="BA134" s="440">
        <f>+BA62</f>
        <v>0.1825</v>
      </c>
      <c r="BB134" s="440">
        <f>+BB62</f>
        <v>0.1825</v>
      </c>
      <c r="BC134" s="440">
        <f>+BC62</f>
        <v>0.1825</v>
      </c>
      <c r="BD134" s="440">
        <f>+BD62</f>
        <v>0.1825</v>
      </c>
      <c r="BE134" s="439">
        <f>+BE133/(BE126-BE131-BE132)</f>
        <v>0.18249999999999988</v>
      </c>
      <c r="BF134" s="440">
        <f>+BF62</f>
        <v>0.18</v>
      </c>
      <c r="BG134" s="440">
        <f>+BG62</f>
        <v>0.18</v>
      </c>
      <c r="BH134" s="440">
        <f>+BH62</f>
        <v>0.18</v>
      </c>
      <c r="BI134" s="440">
        <f>+BI62</f>
        <v>0.18</v>
      </c>
      <c r="BJ134" s="439">
        <f>+BJ133/(BJ126-BJ131-BJ132)</f>
        <v>0.18000000000000002</v>
      </c>
      <c r="BK134" s="441"/>
      <c r="BL134" s="441"/>
      <c r="BM134" s="441"/>
      <c r="BN134" s="441"/>
      <c r="BO134" s="441"/>
      <c r="BP134" s="441"/>
      <c r="BQ134" s="119"/>
      <c r="BR134" s="113"/>
      <c r="BS134" s="113"/>
      <c r="BZ134" s="113"/>
      <c r="CA134" s="113"/>
      <c r="CB134" s="113"/>
    </row>
    <row r="135" spans="1:80" ht="13.5" hidden="1" customHeight="1" outlineLevel="1">
      <c r="A135" s="113"/>
      <c r="B135" s="442" t="s">
        <v>162</v>
      </c>
      <c r="C135" s="443"/>
      <c r="D135" s="443"/>
      <c r="E135" s="443"/>
      <c r="F135" s="443"/>
      <c r="G135" s="444"/>
      <c r="H135" s="445">
        <f t="shared" ref="H135:AZ135" si="155">+H126-H131-H132-H133</f>
        <v>28.659000000000006</v>
      </c>
      <c r="I135" s="445">
        <f t="shared" si="155"/>
        <v>35.915999999999997</v>
      </c>
      <c r="J135" s="445">
        <f t="shared" si="155"/>
        <v>37.269000000000005</v>
      </c>
      <c r="K135" s="445">
        <f t="shared" si="155"/>
        <v>43.296000000000006</v>
      </c>
      <c r="L135" s="444">
        <f>+L126-L131-L132-L133</f>
        <v>145.13999999999987</v>
      </c>
      <c r="M135" s="445">
        <f t="shared" si="155"/>
        <v>29.599950000000018</v>
      </c>
      <c r="N135" s="445">
        <f t="shared" si="155"/>
        <v>44.077050000000028</v>
      </c>
      <c r="O135" s="445">
        <f t="shared" si="155"/>
        <v>46.912199999999999</v>
      </c>
      <c r="P135" s="445">
        <f t="shared" si="155"/>
        <v>58.090440000000015</v>
      </c>
      <c r="Q135" s="444">
        <f t="shared" si="155"/>
        <v>178.67963999999995</v>
      </c>
      <c r="R135" s="445">
        <f t="shared" si="155"/>
        <v>37.036212240868721</v>
      </c>
      <c r="S135" s="445">
        <f t="shared" si="155"/>
        <v>62.526435000000035</v>
      </c>
      <c r="T135" s="445">
        <f t="shared" si="155"/>
        <v>62.340704999999964</v>
      </c>
      <c r="U135" s="445">
        <f t="shared" si="155"/>
        <v>71.014049999999969</v>
      </c>
      <c r="V135" s="444">
        <f t="shared" si="155"/>
        <v>232.91740224086868</v>
      </c>
      <c r="W135" s="445">
        <f>+W126-W131-W132-W133</f>
        <v>62.977475067431385</v>
      </c>
      <c r="X135" s="445">
        <f t="shared" si="155"/>
        <v>65.053918962850105</v>
      </c>
      <c r="Y135" s="445">
        <f t="shared" si="155"/>
        <v>75.107165327633254</v>
      </c>
      <c r="Z135" s="445">
        <f t="shared" si="155"/>
        <v>84.585730450291834</v>
      </c>
      <c r="AA135" s="444">
        <f t="shared" si="155"/>
        <v>287.72428980820638</v>
      </c>
      <c r="AB135" s="445">
        <f t="shared" si="155"/>
        <v>59.385629999999999</v>
      </c>
      <c r="AC135" s="445">
        <f t="shared" si="155"/>
        <v>55.656884999999988</v>
      </c>
      <c r="AD135" s="445">
        <f t="shared" si="155"/>
        <v>77.805850647499284</v>
      </c>
      <c r="AE135" s="445">
        <f t="shared" si="155"/>
        <v>85.591471480470432</v>
      </c>
      <c r="AF135" s="444">
        <f t="shared" si="155"/>
        <v>278.43983712796972</v>
      </c>
      <c r="AG135" s="445">
        <f t="shared" si="155"/>
        <v>70.323098271987078</v>
      </c>
      <c r="AH135" s="445">
        <f t="shared" si="155"/>
        <v>98.947839999999957</v>
      </c>
      <c r="AI135" s="445">
        <f>+AI126-AI131-AI132-AI133</f>
        <v>97.344606690720738</v>
      </c>
      <c r="AJ135" s="445">
        <f t="shared" si="155"/>
        <v>106.16865987687959</v>
      </c>
      <c r="AK135" s="444">
        <f t="shared" si="155"/>
        <v>372.7842048395874</v>
      </c>
      <c r="AL135" s="445">
        <f t="shared" si="155"/>
        <v>87.340525292071035</v>
      </c>
      <c r="AM135" s="445">
        <f t="shared" si="155"/>
        <v>115.73885457169537</v>
      </c>
      <c r="AN135" s="445">
        <f t="shared" si="155"/>
        <v>116.05074451812435</v>
      </c>
      <c r="AO135" s="445">
        <f t="shared" si="155"/>
        <v>120.23743999999999</v>
      </c>
      <c r="AP135" s="444">
        <f t="shared" si="155"/>
        <v>439.36756438189082</v>
      </c>
      <c r="AQ135" s="445">
        <f>+AQ126-AQ131-AQ132-AQ133</f>
        <v>96.299901864974856</v>
      </c>
      <c r="AR135" s="445">
        <f>+AR126-AR131-AR132-AR133</f>
        <v>126.25354059072552</v>
      </c>
      <c r="AS135" s="445">
        <f t="shared" si="155"/>
        <v>125.74140700976524</v>
      </c>
      <c r="AT135" s="445">
        <f t="shared" si="155"/>
        <v>132.1905762501529</v>
      </c>
      <c r="AU135" s="444">
        <f t="shared" si="155"/>
        <v>480.48542571561853</v>
      </c>
      <c r="AV135" s="445">
        <f t="shared" si="155"/>
        <v>207.565675900896</v>
      </c>
      <c r="AW135" s="445">
        <f t="shared" si="155"/>
        <v>258.65278350292976</v>
      </c>
      <c r="AX135" s="445">
        <f t="shared" si="155"/>
        <v>279.00069534126192</v>
      </c>
      <c r="AY135" s="445">
        <f t="shared" si="155"/>
        <v>294.83427768911861</v>
      </c>
      <c r="AZ135" s="444">
        <f t="shared" si="155"/>
        <v>1040.0534324342063</v>
      </c>
      <c r="BA135" s="445">
        <f t="shared" ref="BA135:BJ135" si="156">+BA126-BA131-BA132-BA133</f>
        <v>271.88523287470395</v>
      </c>
      <c r="BB135" s="445">
        <f t="shared" si="156"/>
        <v>305.0575575631126</v>
      </c>
      <c r="BC135" s="445">
        <f t="shared" si="156"/>
        <v>329.51931073127122</v>
      </c>
      <c r="BD135" s="445">
        <f t="shared" si="156"/>
        <v>349.387604549613</v>
      </c>
      <c r="BE135" s="444">
        <f t="shared" si="156"/>
        <v>1255.8497057187017</v>
      </c>
      <c r="BF135" s="445">
        <f t="shared" si="156"/>
        <v>322.10854640789</v>
      </c>
      <c r="BG135" s="445">
        <f t="shared" si="156"/>
        <v>358.58453869248012</v>
      </c>
      <c r="BH135" s="445">
        <f t="shared" si="156"/>
        <v>384.89734371851716</v>
      </c>
      <c r="BI135" s="445">
        <f t="shared" si="156"/>
        <v>406.81242711478143</v>
      </c>
      <c r="BJ135" s="444">
        <f t="shared" si="156"/>
        <v>1472.4028559336687</v>
      </c>
      <c r="BK135" s="320"/>
      <c r="BL135" s="320"/>
      <c r="BM135" s="320"/>
      <c r="BN135" s="320"/>
      <c r="BO135" s="320"/>
      <c r="BP135" s="320"/>
      <c r="BQ135" s="410"/>
      <c r="BR135" s="113"/>
      <c r="BS135" s="113"/>
      <c r="BZ135" s="113"/>
      <c r="CA135" s="113"/>
      <c r="CB135" s="113"/>
    </row>
    <row r="136" spans="1:80" ht="13.5" hidden="1" customHeight="1" outlineLevel="1">
      <c r="A136" s="113"/>
      <c r="B136" s="446" t="s">
        <v>16</v>
      </c>
      <c r="C136" s="399"/>
      <c r="D136" s="399"/>
      <c r="E136" s="399"/>
      <c r="F136" s="399"/>
      <c r="G136" s="396"/>
      <c r="H136" s="399"/>
      <c r="I136" s="399"/>
      <c r="J136" s="399"/>
      <c r="K136" s="399"/>
      <c r="L136" s="176"/>
      <c r="M136" s="264">
        <f t="shared" ref="M136:AZ136" si="157">+M135/H135-1</f>
        <v>3.2832618025751437E-2</v>
      </c>
      <c r="N136" s="264">
        <f t="shared" si="157"/>
        <v>0.22722602739726128</v>
      </c>
      <c r="O136" s="264">
        <f t="shared" si="157"/>
        <v>0.25874587458745846</v>
      </c>
      <c r="P136" s="264">
        <f t="shared" si="157"/>
        <v>0.34170454545454554</v>
      </c>
      <c r="Q136" s="177">
        <f t="shared" si="157"/>
        <v>0.23108474576271254</v>
      </c>
      <c r="R136" s="264">
        <f t="shared" si="157"/>
        <v>0.25122550007242239</v>
      </c>
      <c r="S136" s="264">
        <f t="shared" si="157"/>
        <v>0.41857122924515133</v>
      </c>
      <c r="T136" s="264">
        <f t="shared" si="157"/>
        <v>0.32888044048243237</v>
      </c>
      <c r="U136" s="264">
        <f t="shared" si="157"/>
        <v>0.22247395612772003</v>
      </c>
      <c r="V136" s="176">
        <f t="shared" si="157"/>
        <v>0.30354752360631987</v>
      </c>
      <c r="W136" s="264">
        <f t="shared" si="157"/>
        <v>0.70042969453385395</v>
      </c>
      <c r="X136" s="264">
        <f t="shared" si="157"/>
        <v>4.0422646243146065E-2</v>
      </c>
      <c r="Y136" s="264">
        <f t="shared" si="157"/>
        <v>0.20478530564633979</v>
      </c>
      <c r="Z136" s="264">
        <f t="shared" si="157"/>
        <v>0.19111261011436298</v>
      </c>
      <c r="AA136" s="176">
        <f t="shared" si="157"/>
        <v>0.23530610868937929</v>
      </c>
      <c r="AB136" s="264">
        <f t="shared" si="157"/>
        <v>-5.7033805556439332E-2</v>
      </c>
      <c r="AC136" s="264">
        <f t="shared" si="157"/>
        <v>-0.14444992880776975</v>
      </c>
      <c r="AD136" s="264">
        <f t="shared" si="157"/>
        <v>3.5931129980658838E-2</v>
      </c>
      <c r="AE136" s="264">
        <f t="shared" si="157"/>
        <v>1.1890197375190148E-2</v>
      </c>
      <c r="AF136" s="176">
        <f t="shared" si="157"/>
        <v>-3.2268574496875368E-2</v>
      </c>
      <c r="AG136" s="264">
        <f t="shared" si="157"/>
        <v>0.18417701844683765</v>
      </c>
      <c r="AH136" s="264">
        <f t="shared" si="157"/>
        <v>0.7778185034969165</v>
      </c>
      <c r="AI136" s="264">
        <f t="shared" si="157"/>
        <v>0.25112193852544729</v>
      </c>
      <c r="AJ136" s="264">
        <f t="shared" si="157"/>
        <v>0.24041166766369115</v>
      </c>
      <c r="AK136" s="176">
        <f t="shared" si="157"/>
        <v>0.33883214659494798</v>
      </c>
      <c r="AL136" s="264">
        <f t="shared" si="157"/>
        <v>0.24198915346798344</v>
      </c>
      <c r="AM136" s="264">
        <f t="shared" si="157"/>
        <v>0.16969561510079867</v>
      </c>
      <c r="AN136" s="264">
        <f t="shared" si="157"/>
        <v>0.19216409068081175</v>
      </c>
      <c r="AO136" s="264">
        <f t="shared" si="157"/>
        <v>0.13251349446659222</v>
      </c>
      <c r="AP136" s="176">
        <f t="shared" si="157"/>
        <v>0.17861099981678374</v>
      </c>
      <c r="AQ136" s="264">
        <f t="shared" si="157"/>
        <v>0.10257983385081815</v>
      </c>
      <c r="AR136" s="264">
        <f t="shared" si="157"/>
        <v>9.0848367714895017E-2</v>
      </c>
      <c r="AS136" s="264">
        <f t="shared" si="157"/>
        <v>8.3503664986203097E-2</v>
      </c>
      <c r="AT136" s="264">
        <f t="shared" si="157"/>
        <v>9.9412764028849132E-2</v>
      </c>
      <c r="AU136" s="176">
        <f t="shared" si="157"/>
        <v>9.3584198441168498E-2</v>
      </c>
      <c r="AV136" s="264">
        <f t="shared" si="157"/>
        <v>1.1554090074975405</v>
      </c>
      <c r="AW136" s="264">
        <f t="shared" si="157"/>
        <v>1.0486774651445314</v>
      </c>
      <c r="AX136" s="264">
        <f t="shared" si="157"/>
        <v>1.2188450246909865</v>
      </c>
      <c r="AY136" s="264">
        <f t="shared" si="157"/>
        <v>1.2303728908117049</v>
      </c>
      <c r="AZ136" s="176">
        <f t="shared" si="157"/>
        <v>1.164588927718643</v>
      </c>
      <c r="BA136" s="264">
        <f t="shared" ref="BA136:BJ136" si="158">+BA135/AV135-1</f>
        <v>0.30987568968058987</v>
      </c>
      <c r="BB136" s="264">
        <f t="shared" si="158"/>
        <v>0.17940952898988316</v>
      </c>
      <c r="BC136" s="264">
        <f t="shared" si="158"/>
        <v>0.18106985478375615</v>
      </c>
      <c r="BD136" s="264">
        <f t="shared" si="158"/>
        <v>0.18503047640212622</v>
      </c>
      <c r="BE136" s="176">
        <f t="shared" si="158"/>
        <v>0.20748575655332657</v>
      </c>
      <c r="BF136" s="264">
        <f t="shared" si="158"/>
        <v>0.18472247647348716</v>
      </c>
      <c r="BG136" s="264">
        <f t="shared" si="158"/>
        <v>0.17546518616669071</v>
      </c>
      <c r="BH136" s="264">
        <f t="shared" si="158"/>
        <v>0.16805701876576129</v>
      </c>
      <c r="BI136" s="264">
        <f t="shared" si="158"/>
        <v>0.16435849989353035</v>
      </c>
      <c r="BJ136" s="176">
        <f t="shared" si="158"/>
        <v>0.17243556233589064</v>
      </c>
      <c r="BK136" s="179"/>
      <c r="BL136" s="179"/>
      <c r="BM136" s="179"/>
      <c r="BN136" s="179"/>
      <c r="BO136" s="179"/>
      <c r="BP136" s="179"/>
      <c r="BQ136" s="410"/>
      <c r="BR136" s="113"/>
      <c r="BS136" s="113"/>
      <c r="BZ136" s="113"/>
      <c r="CA136" s="113"/>
      <c r="CB136" s="113"/>
    </row>
    <row r="137" spans="1:80" ht="13.5" hidden="1" customHeight="1" outlineLevel="1" thickBot="1">
      <c r="A137" s="113"/>
      <c r="B137" s="411" t="s">
        <v>163</v>
      </c>
      <c r="C137" s="298"/>
      <c r="D137" s="298"/>
      <c r="E137" s="298"/>
      <c r="F137" s="298"/>
      <c r="G137" s="299"/>
      <c r="H137" s="298"/>
      <c r="I137" s="298"/>
      <c r="J137" s="298"/>
      <c r="K137" s="298"/>
      <c r="L137" s="299">
        <f t="shared" ref="L137:AZ137" si="159">L135/L76</f>
        <v>0.68394325679896395</v>
      </c>
      <c r="M137" s="298">
        <f t="shared" si="159"/>
        <v>0.13948385148192449</v>
      </c>
      <c r="N137" s="298">
        <f t="shared" si="159"/>
        <v>0.2077042932829738</v>
      </c>
      <c r="O137" s="298">
        <f t="shared" si="159"/>
        <v>0.2210643713077331</v>
      </c>
      <c r="P137" s="298">
        <f t="shared" si="159"/>
        <v>0.27373959433984324</v>
      </c>
      <c r="Q137" s="299">
        <f t="shared" si="159"/>
        <v>0.84199211041247413</v>
      </c>
      <c r="R137" s="298">
        <f t="shared" si="159"/>
        <v>0.17444852233287078</v>
      </c>
      <c r="S137" s="298">
        <f t="shared" si="159"/>
        <v>0.29216236385902611</v>
      </c>
      <c r="T137" s="298">
        <f t="shared" si="159"/>
        <v>0.28989429454721261</v>
      </c>
      <c r="U137" s="298">
        <f t="shared" si="159"/>
        <v>0.33226871481373904</v>
      </c>
      <c r="V137" s="299">
        <f t="shared" si="159"/>
        <v>1.0895595968760823</v>
      </c>
      <c r="W137" s="298">
        <f t="shared" si="159"/>
        <v>0.29348526880188536</v>
      </c>
      <c r="X137" s="298">
        <f t="shared" si="159"/>
        <v>0.31290666198636896</v>
      </c>
      <c r="Y137" s="298">
        <f t="shared" si="159"/>
        <v>0.37364701482294527</v>
      </c>
      <c r="Z137" s="298">
        <f t="shared" si="159"/>
        <v>0.42175201053478828</v>
      </c>
      <c r="AA137" s="299">
        <f t="shared" si="159"/>
        <v>1.3966253151245434</v>
      </c>
      <c r="AB137" s="298">
        <f t="shared" si="159"/>
        <v>0.29849528457095525</v>
      </c>
      <c r="AC137" s="298">
        <f t="shared" si="159"/>
        <v>0.28038008952977866</v>
      </c>
      <c r="AD137" s="298">
        <f t="shared" si="159"/>
        <v>0.38961562865477817</v>
      </c>
      <c r="AE137" s="298">
        <f t="shared" si="159"/>
        <v>0.42917535060975237</v>
      </c>
      <c r="AF137" s="299">
        <f t="shared" si="159"/>
        <v>1.3981649738216992</v>
      </c>
      <c r="AG137" s="298">
        <f t="shared" si="159"/>
        <v>0.35036270294663613</v>
      </c>
      <c r="AH137" s="298">
        <f t="shared" si="159"/>
        <v>0.49024981818122521</v>
      </c>
      <c r="AI137" s="298">
        <f t="shared" si="159"/>
        <v>0.48214500873823313</v>
      </c>
      <c r="AJ137" s="298">
        <f t="shared" si="159"/>
        <v>0.53480201621685852</v>
      </c>
      <c r="AK137" s="299">
        <f t="shared" si="159"/>
        <v>1.8570379432381912</v>
      </c>
      <c r="AL137" s="298">
        <f t="shared" si="159"/>
        <v>0.44385349011944841</v>
      </c>
      <c r="AM137" s="298">
        <f t="shared" si="159"/>
        <v>0.58673783544133962</v>
      </c>
      <c r="AN137" s="298">
        <f t="shared" si="159"/>
        <v>0.58806865813927656</v>
      </c>
      <c r="AO137" s="298">
        <f t="shared" si="159"/>
        <v>0.60958667034724789</v>
      </c>
      <c r="AP137" s="299">
        <f t="shared" si="159"/>
        <v>2.2285319673352517</v>
      </c>
      <c r="AQ137" s="298">
        <f>AQ135/AQ76</f>
        <v>0.48760263648469865</v>
      </c>
      <c r="AR137" s="298">
        <f>AR135/AR76</f>
        <v>0.63908550168781941</v>
      </c>
      <c r="AS137" s="298">
        <f t="shared" si="159"/>
        <v>0.67412824213852163</v>
      </c>
      <c r="AT137" s="298">
        <f t="shared" si="159"/>
        <v>0.740044401407699</v>
      </c>
      <c r="AU137" s="299">
        <f t="shared" si="159"/>
        <v>2.5282060794475374</v>
      </c>
      <c r="AV137" s="298">
        <f t="shared" si="159"/>
        <v>0.65349247639943531</v>
      </c>
      <c r="AW137" s="298">
        <f t="shared" si="159"/>
        <v>0.81407702870039234</v>
      </c>
      <c r="AX137" s="298">
        <f t="shared" si="159"/>
        <v>0.87784322593877018</v>
      </c>
      <c r="AY137" s="298">
        <f t="shared" si="159"/>
        <v>0.92736996437715047</v>
      </c>
      <c r="AZ137" s="299">
        <f t="shared" si="159"/>
        <v>3.2729220075257426</v>
      </c>
      <c r="BA137" s="298">
        <f t="shared" ref="BA137:BJ137" si="160">BA135/BA76</f>
        <v>0.8550517030727891</v>
      </c>
      <c r="BB137" s="298">
        <f t="shared" si="160"/>
        <v>0.95907370772511458</v>
      </c>
      <c r="BC137" s="298">
        <f t="shared" si="160"/>
        <v>1.0356536740572044</v>
      </c>
      <c r="BD137" s="298">
        <f t="shared" si="160"/>
        <v>1.0977531675123464</v>
      </c>
      <c r="BE137" s="299">
        <f t="shared" si="160"/>
        <v>3.9476587252733712</v>
      </c>
      <c r="BF137" s="298">
        <f t="shared" si="160"/>
        <v>1.0117262602576926</v>
      </c>
      <c r="BG137" s="298">
        <f t="shared" si="160"/>
        <v>1.1259418102139418</v>
      </c>
      <c r="BH137" s="298">
        <f t="shared" si="160"/>
        <v>1.2081836519328923</v>
      </c>
      <c r="BI137" s="298">
        <f t="shared" si="160"/>
        <v>1.276573866498167</v>
      </c>
      <c r="BJ137" s="299">
        <f t="shared" si="160"/>
        <v>4.6225632208187006</v>
      </c>
      <c r="BK137" s="300"/>
      <c r="BL137" s="300"/>
      <c r="BM137" s="300"/>
      <c r="BN137" s="300"/>
      <c r="BO137" s="300"/>
      <c r="BP137" s="300"/>
      <c r="BQ137" s="410"/>
      <c r="BR137" s="113"/>
      <c r="BS137" s="113"/>
      <c r="BZ137" s="113"/>
      <c r="CA137" s="113"/>
      <c r="CB137" s="113"/>
    </row>
    <row r="138" spans="1:80" ht="13.5" hidden="1" customHeight="1" outlineLevel="1" thickTop="1">
      <c r="A138" s="113"/>
      <c r="B138" s="446" t="s">
        <v>16</v>
      </c>
      <c r="C138" s="399"/>
      <c r="D138" s="399"/>
      <c r="E138" s="399"/>
      <c r="F138" s="399"/>
      <c r="G138" s="396"/>
      <c r="H138" s="399"/>
      <c r="I138" s="399"/>
      <c r="J138" s="399"/>
      <c r="K138" s="399"/>
      <c r="L138" s="176"/>
      <c r="M138" s="264"/>
      <c r="N138" s="264"/>
      <c r="O138" s="264"/>
      <c r="P138" s="264"/>
      <c r="Q138" s="177"/>
      <c r="R138" s="264">
        <f t="shared" ref="R138:AZ138" si="161">+R137/M137-1</f>
        <v>0.25067181956527285</v>
      </c>
      <c r="S138" s="264">
        <f t="shared" si="161"/>
        <v>0.40662650367552899</v>
      </c>
      <c r="T138" s="264">
        <f t="shared" si="161"/>
        <v>0.31135692663773784</v>
      </c>
      <c r="U138" s="264">
        <f t="shared" si="161"/>
        <v>0.21381313366466403</v>
      </c>
      <c r="V138" s="176">
        <f t="shared" si="161"/>
        <v>0.29402589810767954</v>
      </c>
      <c r="W138" s="264">
        <f t="shared" si="161"/>
        <v>0.68236030249586621</v>
      </c>
      <c r="X138" s="264">
        <f t="shared" si="161"/>
        <v>7.1002636524916563E-2</v>
      </c>
      <c r="Y138" s="264">
        <f t="shared" si="161"/>
        <v>0.28890779105034281</v>
      </c>
      <c r="Z138" s="264">
        <f t="shared" si="161"/>
        <v>0.26931002448187513</v>
      </c>
      <c r="AA138" s="176">
        <f t="shared" si="161"/>
        <v>0.28182553678464295</v>
      </c>
      <c r="AB138" s="264">
        <f t="shared" si="161"/>
        <v>1.7070757212185095E-2</v>
      </c>
      <c r="AC138" s="264">
        <f t="shared" si="161"/>
        <v>-0.10394976013009027</v>
      </c>
      <c r="AD138" s="264">
        <f t="shared" si="161"/>
        <v>4.2737164217409029E-2</v>
      </c>
      <c r="AE138" s="264">
        <f t="shared" si="161"/>
        <v>1.7601196650020023E-2</v>
      </c>
      <c r="AF138" s="176">
        <f t="shared" si="161"/>
        <v>1.1024135682509151E-3</v>
      </c>
      <c r="AG138" s="264">
        <f t="shared" si="161"/>
        <v>0.17376294051087915</v>
      </c>
      <c r="AH138" s="264">
        <f t="shared" si="161"/>
        <v>0.74851865909386062</v>
      </c>
      <c r="AI138" s="264">
        <f t="shared" si="161"/>
        <v>0.2374888820628942</v>
      </c>
      <c r="AJ138" s="264">
        <f t="shared" si="161"/>
        <v>0.2461154058755628</v>
      </c>
      <c r="AK138" s="176">
        <f t="shared" si="161"/>
        <v>0.32819658481518332</v>
      </c>
      <c r="AL138" s="264">
        <f t="shared" si="161"/>
        <v>0.26684001004254121</v>
      </c>
      <c r="AM138" s="264">
        <f t="shared" si="161"/>
        <v>0.19681397867331141</v>
      </c>
      <c r="AN138" s="264">
        <f t="shared" si="161"/>
        <v>0.219692514661189</v>
      </c>
      <c r="AO138" s="264">
        <f t="shared" si="161"/>
        <v>0.13983614844874626</v>
      </c>
      <c r="AP138" s="176">
        <f t="shared" si="161"/>
        <v>0.2000465447944868</v>
      </c>
      <c r="AQ138" s="264">
        <f t="shared" si="161"/>
        <v>9.8566638179361066E-2</v>
      </c>
      <c r="AR138" s="264">
        <f t="shared" si="161"/>
        <v>8.9218153465600691E-2</v>
      </c>
      <c r="AS138" s="264">
        <f t="shared" si="161"/>
        <v>0.14634274894286747</v>
      </c>
      <c r="AT138" s="264">
        <f t="shared" si="161"/>
        <v>0.21401014393266915</v>
      </c>
      <c r="AU138" s="176">
        <f t="shared" si="161"/>
        <v>0.13447153395363598</v>
      </c>
      <c r="AV138" s="264">
        <f t="shared" si="161"/>
        <v>0.34021522342597588</v>
      </c>
      <c r="AW138" s="264">
        <f t="shared" si="161"/>
        <v>0.27381551693853456</v>
      </c>
      <c r="AX138" s="264">
        <f t="shared" si="161"/>
        <v>0.30219025263502997</v>
      </c>
      <c r="AY138" s="264">
        <f t="shared" si="161"/>
        <v>0.25312746453202561</v>
      </c>
      <c r="AZ138" s="176">
        <f t="shared" si="161"/>
        <v>0.29456298445455054</v>
      </c>
      <c r="BA138" s="264">
        <f t="shared" ref="BA138:BJ138" si="162">+BA137/AV137-1</f>
        <v>0.30843389014038847</v>
      </c>
      <c r="BB138" s="264">
        <f t="shared" si="162"/>
        <v>0.17811174362234206</v>
      </c>
      <c r="BC138" s="264">
        <f t="shared" si="162"/>
        <v>0.17977065090372024</v>
      </c>
      <c r="BD138" s="264">
        <f t="shared" si="162"/>
        <v>0.1837273253179279</v>
      </c>
      <c r="BE138" s="176">
        <f t="shared" si="162"/>
        <v>0.20615728581253756</v>
      </c>
      <c r="BF138" s="264">
        <f t="shared" si="162"/>
        <v>0.18323401569971032</v>
      </c>
      <c r="BG138" s="264">
        <f t="shared" si="162"/>
        <v>0.17398881977969327</v>
      </c>
      <c r="BH138" s="264">
        <f t="shared" si="162"/>
        <v>0.16659041743153047</v>
      </c>
      <c r="BI138" s="264">
        <f t="shared" si="162"/>
        <v>0.16289700114557792</v>
      </c>
      <c r="BJ138" s="176">
        <f t="shared" si="162"/>
        <v>0.17096323226334431</v>
      </c>
      <c r="BK138" s="179"/>
      <c r="BL138" s="179"/>
      <c r="BM138" s="179"/>
      <c r="BN138" s="179"/>
      <c r="BO138" s="179"/>
      <c r="BP138" s="179"/>
      <c r="BQ138" s="410"/>
      <c r="BR138" s="113"/>
      <c r="BS138" s="113"/>
      <c r="BZ138" s="113"/>
      <c r="CA138" s="113"/>
      <c r="CB138" s="113"/>
    </row>
    <row r="139" spans="1:80" ht="13.5" customHeight="1" collapsed="1">
      <c r="A139" s="113"/>
      <c r="B139" s="447"/>
      <c r="C139" s="448"/>
      <c r="D139" s="448"/>
      <c r="E139" s="448"/>
      <c r="F139" s="448"/>
      <c r="G139" s="449"/>
      <c r="H139" s="448"/>
      <c r="I139" s="448"/>
      <c r="J139" s="448"/>
      <c r="K139" s="448"/>
      <c r="L139" s="285"/>
      <c r="M139" s="450"/>
      <c r="N139" s="450"/>
      <c r="O139" s="450"/>
      <c r="P139" s="450"/>
      <c r="Q139" s="451"/>
      <c r="R139" s="450"/>
      <c r="S139" s="450"/>
      <c r="T139" s="450"/>
      <c r="U139" s="450"/>
      <c r="V139" s="285"/>
      <c r="W139" s="450"/>
      <c r="X139" s="450"/>
      <c r="Y139" s="450"/>
      <c r="Z139" s="450"/>
      <c r="AA139" s="285"/>
      <c r="AB139" s="450"/>
      <c r="AC139" s="450"/>
      <c r="AD139" s="450"/>
      <c r="AE139" s="450"/>
      <c r="AF139" s="285"/>
      <c r="AG139" s="450"/>
      <c r="AH139" s="450"/>
      <c r="AI139" s="450"/>
      <c r="AJ139" s="450"/>
      <c r="AK139" s="285"/>
      <c r="AL139" s="450"/>
      <c r="AM139" s="450"/>
      <c r="AN139" s="450"/>
      <c r="AO139" s="450"/>
      <c r="AP139" s="285"/>
      <c r="AQ139" s="450"/>
      <c r="AR139" s="450"/>
      <c r="AS139" s="450"/>
      <c r="AT139" s="450"/>
      <c r="AU139" s="285"/>
      <c r="AV139" s="450"/>
      <c r="AW139" s="450"/>
      <c r="AX139" s="450"/>
      <c r="AY139" s="450"/>
      <c r="AZ139" s="285"/>
      <c r="BA139" s="450"/>
      <c r="BB139" s="450"/>
      <c r="BC139" s="450"/>
      <c r="BD139" s="450"/>
      <c r="BE139" s="285"/>
      <c r="BF139" s="450"/>
      <c r="BG139" s="450"/>
      <c r="BH139" s="450"/>
      <c r="BI139" s="450"/>
      <c r="BJ139" s="285"/>
      <c r="BK139" s="179"/>
      <c r="BL139" s="179"/>
      <c r="BM139" s="179"/>
      <c r="BN139" s="179"/>
      <c r="BO139" s="179"/>
      <c r="BP139" s="179"/>
      <c r="BQ139" s="410"/>
      <c r="BR139" s="113"/>
      <c r="BS139" s="113"/>
      <c r="BZ139" s="113"/>
      <c r="CA139" s="113"/>
      <c r="CB139" s="113"/>
    </row>
    <row r="140" spans="1:80" ht="13.5" customHeight="1">
      <c r="A140" s="452"/>
      <c r="B140" s="453"/>
      <c r="C140" s="452"/>
      <c r="D140" s="452"/>
      <c r="E140" s="452"/>
      <c r="F140" s="452"/>
      <c r="G140" s="453"/>
      <c r="H140" s="452"/>
      <c r="I140" s="452"/>
      <c r="J140" s="452"/>
      <c r="K140" s="452"/>
      <c r="L140" s="453"/>
      <c r="M140" s="452"/>
      <c r="N140" s="452"/>
      <c r="O140" s="452"/>
      <c r="P140" s="452"/>
      <c r="Q140" s="454"/>
      <c r="R140" s="455"/>
      <c r="S140" s="455"/>
      <c r="T140" s="455"/>
      <c r="U140" s="455"/>
      <c r="V140" s="454"/>
      <c r="W140" s="452"/>
      <c r="X140" s="452"/>
      <c r="Y140" s="452"/>
      <c r="Z140" s="452"/>
      <c r="AA140" s="454"/>
      <c r="AB140" s="452"/>
      <c r="AC140" s="452"/>
      <c r="AD140" s="452"/>
      <c r="AE140" s="452"/>
      <c r="AF140" s="454"/>
      <c r="AG140" s="452"/>
      <c r="AH140" s="452"/>
      <c r="AI140" s="452"/>
      <c r="AJ140" s="452"/>
      <c r="AK140" s="454"/>
      <c r="AL140" s="452"/>
      <c r="AM140" s="452"/>
      <c r="AN140" s="452"/>
      <c r="AO140" s="452"/>
      <c r="AP140" s="454"/>
      <c r="AQ140" s="452"/>
      <c r="AR140" s="452"/>
      <c r="AS140" s="452"/>
      <c r="AT140" s="452"/>
      <c r="AU140" s="454"/>
      <c r="AV140" s="452"/>
      <c r="AW140" s="452"/>
      <c r="AX140" s="452"/>
      <c r="AY140" s="452"/>
      <c r="AZ140" s="454"/>
      <c r="BA140" s="452"/>
      <c r="BB140" s="452"/>
      <c r="BC140" s="452"/>
      <c r="BD140" s="452"/>
      <c r="BE140" s="454"/>
      <c r="BF140" s="452"/>
      <c r="BG140" s="452"/>
      <c r="BH140" s="452"/>
      <c r="BI140" s="452"/>
      <c r="BJ140" s="454"/>
      <c r="BK140" s="456"/>
      <c r="BL140" s="456"/>
      <c r="BM140" s="456"/>
      <c r="BN140" s="456"/>
      <c r="BO140" s="456"/>
      <c r="BP140" s="456"/>
      <c r="BQ140" s="457"/>
      <c r="BR140" s="452"/>
      <c r="BS140" s="452"/>
      <c r="BZ140" s="452"/>
      <c r="CA140" s="452"/>
      <c r="CB140" s="452"/>
    </row>
    <row r="141" spans="1:80" ht="18">
      <c r="A141" s="453"/>
      <c r="B141" s="122" t="s">
        <v>164</v>
      </c>
      <c r="C141" s="453"/>
      <c r="D141" s="453"/>
      <c r="E141" s="453"/>
      <c r="F141" s="453"/>
      <c r="G141" s="453"/>
      <c r="H141" s="453"/>
      <c r="I141" s="453"/>
      <c r="J141" s="453"/>
      <c r="K141" s="453"/>
      <c r="L141" s="458"/>
      <c r="M141" s="453"/>
      <c r="N141" s="453"/>
      <c r="O141" s="453"/>
      <c r="P141" s="453"/>
      <c r="Q141" s="453"/>
      <c r="R141" s="459"/>
      <c r="S141" s="460"/>
      <c r="T141" s="460"/>
      <c r="U141" s="460"/>
      <c r="V141" s="459"/>
      <c r="W141" s="453"/>
      <c r="X141" s="453"/>
      <c r="Y141" s="453"/>
      <c r="Z141" s="453"/>
      <c r="AA141" s="459"/>
      <c r="AB141" s="453"/>
      <c r="AC141" s="453"/>
      <c r="AD141" s="453"/>
      <c r="AE141" s="453"/>
      <c r="AF141" s="459"/>
      <c r="AG141" s="453"/>
      <c r="AH141" s="453"/>
      <c r="AI141" s="453"/>
      <c r="AJ141" s="453"/>
      <c r="AK141" s="459"/>
      <c r="AL141" s="461"/>
      <c r="AM141" s="453"/>
      <c r="AN141" s="453"/>
      <c r="AO141" s="453"/>
      <c r="AP141" s="459"/>
      <c r="AQ141" s="453"/>
      <c r="AR141" s="453"/>
      <c r="AS141" s="453"/>
      <c r="AT141" s="453"/>
      <c r="AU141" s="459"/>
      <c r="AV141" s="453"/>
      <c r="AW141" s="453"/>
      <c r="AX141" s="453"/>
      <c r="AY141" s="453"/>
      <c r="AZ141" s="459"/>
      <c r="BA141" s="453"/>
      <c r="BB141" s="453"/>
      <c r="BC141" s="453"/>
      <c r="BD141" s="453"/>
      <c r="BE141" s="459"/>
      <c r="BF141" s="453"/>
      <c r="BG141" s="453"/>
      <c r="BH141" s="453"/>
      <c r="BI141" s="453"/>
      <c r="BJ141" s="459"/>
      <c r="BK141" s="462"/>
      <c r="BL141" s="462"/>
      <c r="BM141" s="462"/>
      <c r="BN141" s="462"/>
      <c r="BO141" s="462"/>
      <c r="BP141" s="462"/>
      <c r="BQ141" s="463"/>
      <c r="BR141" s="453"/>
      <c r="BS141" s="453"/>
      <c r="BZ141" s="453"/>
      <c r="CA141" s="453"/>
      <c r="CB141" s="453"/>
    </row>
    <row r="142" spans="1:80" ht="12.75">
      <c r="A142" s="113"/>
      <c r="B142" s="127" t="s">
        <v>165</v>
      </c>
      <c r="C142" s="113"/>
      <c r="D142" s="113"/>
      <c r="E142" s="113"/>
      <c r="F142" s="113"/>
      <c r="G142" s="113"/>
      <c r="H142" s="464"/>
      <c r="I142" s="464"/>
      <c r="J142" s="464"/>
      <c r="K142" s="464"/>
      <c r="L142" s="113"/>
      <c r="M142" s="464"/>
      <c r="N142" s="464"/>
      <c r="O142" s="465"/>
      <c r="P142" s="465"/>
      <c r="Q142" s="465"/>
      <c r="R142" s="465"/>
      <c r="S142" s="465"/>
      <c r="T142" s="459"/>
      <c r="U142" s="113"/>
      <c r="V142" s="332"/>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08"/>
      <c r="BL142" s="108"/>
      <c r="BM142" s="108"/>
      <c r="BN142" s="108"/>
      <c r="BO142" s="108"/>
      <c r="BP142" s="108"/>
      <c r="BQ142" s="119"/>
      <c r="BR142" s="113"/>
      <c r="BS142" s="113"/>
      <c r="BZ142" s="113"/>
      <c r="CA142" s="113"/>
      <c r="CB142" s="113"/>
    </row>
    <row r="143" spans="1:80" ht="13.5" customHeight="1">
      <c r="A143" s="113"/>
      <c r="B143" s="114"/>
      <c r="C143" s="121" t="str">
        <f t="shared" ref="C143:AH143" si="163">+C3</f>
        <v>1Q09A</v>
      </c>
      <c r="D143" s="121" t="str">
        <f t="shared" si="163"/>
        <v>2Q09A</v>
      </c>
      <c r="E143" s="121" t="str">
        <f t="shared" si="163"/>
        <v>3Q09A</v>
      </c>
      <c r="F143" s="121" t="str">
        <f t="shared" si="163"/>
        <v>4Q09A</v>
      </c>
      <c r="G143" s="21" t="str">
        <f t="shared" si="163"/>
        <v>2009A</v>
      </c>
      <c r="H143" s="121" t="str">
        <f t="shared" si="163"/>
        <v>1Q10A</v>
      </c>
      <c r="I143" s="121" t="str">
        <f t="shared" si="163"/>
        <v>2Q10A</v>
      </c>
      <c r="J143" s="121" t="str">
        <f t="shared" si="163"/>
        <v>3Q10A</v>
      </c>
      <c r="K143" s="121" t="str">
        <f t="shared" si="163"/>
        <v>4Q10A</v>
      </c>
      <c r="L143" s="21" t="str">
        <f t="shared" si="163"/>
        <v>2010A</v>
      </c>
      <c r="M143" s="121" t="str">
        <f t="shared" si="163"/>
        <v>1Q11A</v>
      </c>
      <c r="N143" s="121" t="str">
        <f t="shared" si="163"/>
        <v>2Q11A</v>
      </c>
      <c r="O143" s="121" t="str">
        <f t="shared" si="163"/>
        <v>3Q11A</v>
      </c>
      <c r="P143" s="121" t="str">
        <f t="shared" si="163"/>
        <v>4Q11A</v>
      </c>
      <c r="Q143" s="21" t="str">
        <f t="shared" si="163"/>
        <v>2011A</v>
      </c>
      <c r="R143" s="121" t="str">
        <f t="shared" si="163"/>
        <v>1Q12A</v>
      </c>
      <c r="S143" s="121" t="str">
        <f t="shared" si="163"/>
        <v>2Q12A</v>
      </c>
      <c r="T143" s="121" t="str">
        <f t="shared" si="163"/>
        <v>3Q12A</v>
      </c>
      <c r="U143" s="121" t="str">
        <f t="shared" si="163"/>
        <v>4Q12A</v>
      </c>
      <c r="V143" s="21" t="str">
        <f t="shared" si="163"/>
        <v>2012A</v>
      </c>
      <c r="W143" s="121" t="str">
        <f t="shared" si="163"/>
        <v>1Q13A</v>
      </c>
      <c r="X143" s="121" t="str">
        <f t="shared" si="163"/>
        <v>2Q13A</v>
      </c>
      <c r="Y143" s="121" t="str">
        <f t="shared" si="163"/>
        <v>3Q13A</v>
      </c>
      <c r="Z143" s="121" t="str">
        <f t="shared" si="163"/>
        <v>4Q13A</v>
      </c>
      <c r="AA143" s="21" t="str">
        <f t="shared" si="163"/>
        <v>2013A</v>
      </c>
      <c r="AB143" s="121" t="str">
        <f t="shared" si="163"/>
        <v>1Q14A</v>
      </c>
      <c r="AC143" s="121" t="str">
        <f t="shared" si="163"/>
        <v>2Q14A</v>
      </c>
      <c r="AD143" s="121" t="str">
        <f t="shared" si="163"/>
        <v>3Q14A</v>
      </c>
      <c r="AE143" s="121" t="str">
        <f t="shared" si="163"/>
        <v>4Q14A</v>
      </c>
      <c r="AF143" s="21" t="str">
        <f t="shared" si="163"/>
        <v>2014A</v>
      </c>
      <c r="AG143" s="121" t="str">
        <f t="shared" si="163"/>
        <v>1Q15A</v>
      </c>
      <c r="AH143" s="121" t="str">
        <f t="shared" si="163"/>
        <v>2Q15A</v>
      </c>
      <c r="AI143" s="121" t="str">
        <f t="shared" ref="AI143:AZ143" si="164">+AI3</f>
        <v>3Q15A</v>
      </c>
      <c r="AJ143" s="121" t="str">
        <f t="shared" si="164"/>
        <v>4Q15A</v>
      </c>
      <c r="AK143" s="21" t="str">
        <f t="shared" si="164"/>
        <v>2015A</v>
      </c>
      <c r="AL143" s="121" t="str">
        <f t="shared" si="164"/>
        <v>1Q16A</v>
      </c>
      <c r="AM143" s="121" t="str">
        <f t="shared" si="164"/>
        <v>2Q16A</v>
      </c>
      <c r="AN143" s="121" t="str">
        <f t="shared" si="164"/>
        <v>3Q16A</v>
      </c>
      <c r="AO143" s="121" t="str">
        <f t="shared" si="164"/>
        <v>4Q16A</v>
      </c>
      <c r="AP143" s="21" t="str">
        <f t="shared" si="164"/>
        <v>2016A</v>
      </c>
      <c r="AQ143" s="121" t="str">
        <f t="shared" si="164"/>
        <v>1Q17A</v>
      </c>
      <c r="AR143" s="121" t="str">
        <f t="shared" si="164"/>
        <v>2Q17A</v>
      </c>
      <c r="AS143" s="121" t="str">
        <f t="shared" si="164"/>
        <v>3Q17A</v>
      </c>
      <c r="AT143" s="121" t="str">
        <f t="shared" si="164"/>
        <v>4Q17A</v>
      </c>
      <c r="AU143" s="21" t="str">
        <f t="shared" si="164"/>
        <v>2017A</v>
      </c>
      <c r="AV143" s="121" t="str">
        <f t="shared" si="164"/>
        <v>1Q18E</v>
      </c>
      <c r="AW143" s="121" t="str">
        <f t="shared" si="164"/>
        <v>2Q18E</v>
      </c>
      <c r="AX143" s="121" t="str">
        <f t="shared" si="164"/>
        <v>3Q18E</v>
      </c>
      <c r="AY143" s="121" t="str">
        <f t="shared" si="164"/>
        <v>4Q18E</v>
      </c>
      <c r="AZ143" s="21" t="str">
        <f t="shared" si="164"/>
        <v>2018E</v>
      </c>
      <c r="BA143" s="121" t="str">
        <f t="shared" ref="BA143:BJ143" si="165">+BA3</f>
        <v>1Q19E</v>
      </c>
      <c r="BB143" s="121" t="str">
        <f t="shared" si="165"/>
        <v>2Q19E</v>
      </c>
      <c r="BC143" s="121" t="str">
        <f t="shared" si="165"/>
        <v>3Q19E</v>
      </c>
      <c r="BD143" s="121" t="str">
        <f t="shared" si="165"/>
        <v>4Q19E</v>
      </c>
      <c r="BE143" s="21" t="str">
        <f t="shared" si="165"/>
        <v>2019E</v>
      </c>
      <c r="BF143" s="121" t="str">
        <f t="shared" si="165"/>
        <v>1Q20E</v>
      </c>
      <c r="BG143" s="121" t="str">
        <f t="shared" si="165"/>
        <v>2Q20E</v>
      </c>
      <c r="BH143" s="121" t="str">
        <f t="shared" si="165"/>
        <v>3Q20E</v>
      </c>
      <c r="BI143" s="121" t="str">
        <f t="shared" si="165"/>
        <v>4Q20E</v>
      </c>
      <c r="BJ143" s="21" t="str">
        <f t="shared" si="165"/>
        <v>2020E</v>
      </c>
      <c r="BK143" s="102"/>
      <c r="BL143" s="102"/>
      <c r="BM143" s="102"/>
      <c r="BN143" s="102"/>
      <c r="BO143" s="102"/>
      <c r="BP143" s="102"/>
      <c r="BQ143" s="119"/>
      <c r="BR143" s="113"/>
      <c r="BS143" s="113"/>
      <c r="BZ143" s="113"/>
      <c r="CA143" s="113"/>
      <c r="CB143" s="113"/>
    </row>
    <row r="144" spans="1:80" ht="13.5" customHeight="1">
      <c r="A144" s="113"/>
      <c r="B144" s="466"/>
      <c r="C144" s="108"/>
      <c r="D144" s="108"/>
      <c r="E144" s="108"/>
      <c r="F144" s="108"/>
      <c r="G144" s="123"/>
      <c r="H144" s="108"/>
      <c r="I144" s="108"/>
      <c r="J144" s="108"/>
      <c r="K144" s="108"/>
      <c r="L144" s="123"/>
      <c r="M144" s="108"/>
      <c r="N144" s="108"/>
      <c r="O144" s="108"/>
      <c r="P144" s="108"/>
      <c r="Q144" s="123"/>
      <c r="R144" s="108"/>
      <c r="S144" s="108"/>
      <c r="T144" s="108"/>
      <c r="U144" s="108"/>
      <c r="V144" s="123"/>
      <c r="W144" s="108"/>
      <c r="X144" s="108"/>
      <c r="Y144" s="108"/>
      <c r="Z144" s="108"/>
      <c r="AA144" s="123"/>
      <c r="AB144" s="108"/>
      <c r="AC144" s="108"/>
      <c r="AD144" s="108"/>
      <c r="AE144" s="108"/>
      <c r="AF144" s="123"/>
      <c r="AG144" s="108"/>
      <c r="AH144" s="108"/>
      <c r="AI144" s="108"/>
      <c r="AJ144" s="108"/>
      <c r="AK144" s="123"/>
      <c r="AL144" s="108"/>
      <c r="AM144" s="108"/>
      <c r="AN144" s="108"/>
      <c r="AO144" s="108"/>
      <c r="AP144" s="123"/>
      <c r="AQ144" s="108"/>
      <c r="AR144" s="108"/>
      <c r="AS144" s="108"/>
      <c r="AT144" s="108"/>
      <c r="AU144" s="123"/>
      <c r="AV144" s="108"/>
      <c r="AW144" s="108"/>
      <c r="AX144" s="108"/>
      <c r="AY144" s="108"/>
      <c r="AZ144" s="123"/>
      <c r="BA144" s="108"/>
      <c r="BB144" s="108"/>
      <c r="BC144" s="108"/>
      <c r="BD144" s="108"/>
      <c r="BE144" s="123"/>
      <c r="BF144" s="108"/>
      <c r="BG144" s="108"/>
      <c r="BH144" s="108"/>
      <c r="BI144" s="108"/>
      <c r="BJ144" s="123"/>
      <c r="BK144" s="102"/>
      <c r="BL144" s="102"/>
      <c r="BM144" s="102"/>
      <c r="BN144" s="102"/>
      <c r="BO144" s="102"/>
      <c r="BP144" s="102"/>
      <c r="BQ144" s="119"/>
      <c r="BR144" s="113"/>
      <c r="BS144" s="113"/>
      <c r="BZ144" s="113"/>
      <c r="CA144" s="113"/>
      <c r="CB144" s="113"/>
    </row>
    <row r="145" spans="1:80" ht="13.5" customHeight="1">
      <c r="A145" s="113"/>
      <c r="B145" s="467" t="s">
        <v>166</v>
      </c>
      <c r="C145" s="102"/>
      <c r="D145" s="102"/>
      <c r="E145" s="102"/>
      <c r="F145" s="102"/>
      <c r="G145" s="468"/>
      <c r="H145" s="102"/>
      <c r="I145" s="102"/>
      <c r="J145" s="102"/>
      <c r="K145" s="102"/>
      <c r="L145" s="468"/>
      <c r="M145" s="102"/>
      <c r="N145" s="108"/>
      <c r="O145" s="102"/>
      <c r="P145" s="102"/>
      <c r="Q145" s="468"/>
      <c r="R145" s="102"/>
      <c r="S145" s="102"/>
      <c r="T145" s="102"/>
      <c r="U145" s="102"/>
      <c r="V145" s="468"/>
      <c r="W145" s="102"/>
      <c r="X145" s="102"/>
      <c r="Y145" s="102"/>
      <c r="Z145" s="102"/>
      <c r="AA145" s="123"/>
      <c r="AB145" s="102"/>
      <c r="AC145" s="102"/>
      <c r="AD145" s="102"/>
      <c r="AE145" s="102"/>
      <c r="AF145" s="468"/>
      <c r="AG145" s="102"/>
      <c r="AH145" s="102"/>
      <c r="AI145" s="102"/>
      <c r="AJ145" s="102"/>
      <c r="AK145" s="468"/>
      <c r="AL145" s="102"/>
      <c r="AM145" s="102"/>
      <c r="AN145" s="102"/>
      <c r="AO145" s="102"/>
      <c r="AP145" s="468"/>
      <c r="AQ145" s="102"/>
      <c r="AR145" s="102"/>
      <c r="AS145" s="102"/>
      <c r="AT145" s="102"/>
      <c r="AU145" s="468"/>
      <c r="AV145" s="102"/>
      <c r="AW145" s="102"/>
      <c r="AX145" s="102"/>
      <c r="AY145" s="102"/>
      <c r="AZ145" s="468"/>
      <c r="BA145" s="102"/>
      <c r="BB145" s="102"/>
      <c r="BC145" s="102"/>
      <c r="BD145" s="102"/>
      <c r="BE145" s="468"/>
      <c r="BF145" s="102"/>
      <c r="BG145" s="102"/>
      <c r="BH145" s="102"/>
      <c r="BI145" s="102"/>
      <c r="BJ145" s="468"/>
      <c r="BK145" s="102"/>
      <c r="BL145" s="102"/>
      <c r="BM145" s="102"/>
      <c r="BN145" s="102"/>
      <c r="BO145" s="102"/>
      <c r="BP145" s="102"/>
      <c r="BQ145" s="119"/>
      <c r="BR145" s="113"/>
      <c r="BS145" s="113"/>
      <c r="BZ145" s="113"/>
      <c r="CA145" s="113"/>
      <c r="CB145" s="113"/>
    </row>
    <row r="146" spans="1:80" ht="13.5" customHeight="1">
      <c r="A146" s="469"/>
      <c r="B146" s="470" t="s">
        <v>167</v>
      </c>
      <c r="C146" s="215"/>
      <c r="D146" s="168"/>
      <c r="E146" s="215"/>
      <c r="F146" s="215"/>
      <c r="G146" s="169"/>
      <c r="H146" s="215"/>
      <c r="I146" s="168"/>
      <c r="J146" s="168"/>
      <c r="K146" s="168"/>
      <c r="L146" s="169">
        <v>54.917000000000002</v>
      </c>
      <c r="M146" s="168">
        <v>4.6989999999999998</v>
      </c>
      <c r="N146" s="168">
        <f>16.36-M146</f>
        <v>11.661</v>
      </c>
      <c r="O146" s="168">
        <f>45.043-SUM(M146:N146)</f>
        <v>28.683</v>
      </c>
      <c r="P146" s="168">
        <f>84.81-M146-N146-O146</f>
        <v>39.767000000000003</v>
      </c>
      <c r="Q146" s="169">
        <f>+SUM(M146:P146)</f>
        <v>84.81</v>
      </c>
      <c r="R146" s="168">
        <v>-42.927999999999997</v>
      </c>
      <c r="S146" s="168">
        <f>4.65-R146</f>
        <v>47.577999999999996</v>
      </c>
      <c r="T146" s="168">
        <f>53.289-S146-R146</f>
        <v>48.639000000000003</v>
      </c>
      <c r="U146" s="168">
        <f>110.758-T146-S146-R146</f>
        <v>57.468999999999994</v>
      </c>
      <c r="V146" s="169">
        <f>+SUM(R146:U146)</f>
        <v>110.758</v>
      </c>
      <c r="W146" s="168">
        <v>44.465000000000003</v>
      </c>
      <c r="X146" s="168">
        <f>90.433-W146</f>
        <v>45.968000000000004</v>
      </c>
      <c r="Y146" s="471">
        <f>145.038-X146-W146</f>
        <v>54.605000000000004</v>
      </c>
      <c r="Z146" s="168">
        <f>208.14-SUM(W146:Y146)</f>
        <v>63.101999999999975</v>
      </c>
      <c r="AA146" s="169">
        <f>+SUM(W146:Z146)</f>
        <v>208.14</v>
      </c>
      <c r="AB146" s="471">
        <v>41.091000000000001</v>
      </c>
      <c r="AC146" s="168">
        <f>44.404-AB146</f>
        <v>3.3130000000000024</v>
      </c>
      <c r="AD146" s="168">
        <f>87.249-AC146-AB146</f>
        <v>42.844999999999992</v>
      </c>
      <c r="AE146" s="168">
        <f>168.99-AD146-AC146-AB146</f>
        <v>81.741000000000014</v>
      </c>
      <c r="AF146" s="169">
        <f>+SUM(AB146:AE146)</f>
        <v>168.99</v>
      </c>
      <c r="AG146" s="168">
        <v>26.995999999999999</v>
      </c>
      <c r="AH146" s="472">
        <f>79.689-AG146</f>
        <v>52.692999999999998</v>
      </c>
      <c r="AI146" s="168">
        <f>138.837-AH146-AG146</f>
        <v>59.147999999999996</v>
      </c>
      <c r="AJ146" s="168">
        <f>209.229-SUM(AG146:AI146)</f>
        <v>70.392000000000024</v>
      </c>
      <c r="AK146" s="169">
        <f>+SUM(AG146:AJ146)</f>
        <v>209.22900000000001</v>
      </c>
      <c r="AL146" s="168">
        <v>52.448</v>
      </c>
      <c r="AM146" s="168">
        <f>130.909-AL146</f>
        <v>78.460999999999984</v>
      </c>
      <c r="AN146" s="168">
        <f>217.913-AM146-AL146</f>
        <v>87.004000000000019</v>
      </c>
      <c r="AO146" s="168">
        <f>280.871-AN146-AM146-AL146</f>
        <v>62.957999999999977</v>
      </c>
      <c r="AP146" s="169">
        <f>+SUM(AL146:AO146)</f>
        <v>280.87099999999998</v>
      </c>
      <c r="AQ146" s="472">
        <v>35.301000000000002</v>
      </c>
      <c r="AR146" s="168">
        <f>122.155-AQ146</f>
        <v>86.853999999999999</v>
      </c>
      <c r="AS146" s="168">
        <f>229.06-AR146-AQ146</f>
        <v>106.90500000000002</v>
      </c>
      <c r="AT146" s="168">
        <f>182.692-AS146-AR146-AQ146</f>
        <v>-46.368000000000009</v>
      </c>
      <c r="AU146" s="169">
        <f>+SUM(AQ146:AT146)</f>
        <v>182.69200000000001</v>
      </c>
      <c r="AV146" s="168">
        <f>+AV117</f>
        <v>122.34466670187001</v>
      </c>
      <c r="AW146" s="168">
        <f>+AW117</f>
        <v>157.04079908708411</v>
      </c>
      <c r="AX146" s="168">
        <f>+AX117</f>
        <v>171.56549524966374</v>
      </c>
      <c r="AY146" s="168">
        <f>+AY117</f>
        <v>183.16302883132573</v>
      </c>
      <c r="AZ146" s="169">
        <f>+SUM(AV146:AY146)</f>
        <v>634.11398986994357</v>
      </c>
      <c r="BA146" s="168">
        <f>+BA117</f>
        <v>169.01379024767877</v>
      </c>
      <c r="BB146" s="168">
        <f>+BB117</f>
        <v>192.56494911474337</v>
      </c>
      <c r="BC146" s="168">
        <f>+BC117</f>
        <v>210.4115513984579</v>
      </c>
      <c r="BD146" s="168">
        <f>+BD117</f>
        <v>225.23012674049357</v>
      </c>
      <c r="BE146" s="169">
        <f>+SUM(BA146:BD146)</f>
        <v>797.22041750137362</v>
      </c>
      <c r="BF146" s="168">
        <f>+BF117</f>
        <v>205.38155382585165</v>
      </c>
      <c r="BG146" s="168">
        <f>+BG117</f>
        <v>231.2685952938707</v>
      </c>
      <c r="BH146" s="168">
        <f>+BH117</f>
        <v>250.42636708911726</v>
      </c>
      <c r="BI146" s="168">
        <f>+BI117</f>
        <v>266.67234247506065</v>
      </c>
      <c r="BJ146" s="169">
        <f>+SUM(BF146:BI146)</f>
        <v>953.74885868390027</v>
      </c>
      <c r="BK146" s="473"/>
      <c r="BL146" s="473"/>
      <c r="BM146" s="473"/>
      <c r="BN146" s="473"/>
      <c r="BO146" s="473"/>
      <c r="BP146" s="473"/>
      <c r="BQ146" s="474"/>
      <c r="BR146" s="475"/>
      <c r="BS146" s="469"/>
      <c r="BZ146" s="469"/>
      <c r="CA146" s="469"/>
      <c r="CB146" s="469"/>
    </row>
    <row r="147" spans="1:80" ht="13.5" customHeight="1">
      <c r="A147" s="469"/>
      <c r="B147" s="476" t="s">
        <v>168</v>
      </c>
      <c r="C147" s="215"/>
      <c r="D147" s="168"/>
      <c r="E147" s="215"/>
      <c r="F147" s="215"/>
      <c r="G147" s="169"/>
      <c r="H147" s="215"/>
      <c r="I147" s="168"/>
      <c r="J147" s="168"/>
      <c r="K147" s="168"/>
      <c r="L147" s="169"/>
      <c r="M147" s="168"/>
      <c r="N147" s="168"/>
      <c r="O147" s="168"/>
      <c r="P147" s="168"/>
      <c r="Q147" s="169"/>
      <c r="R147" s="168"/>
      <c r="S147" s="168"/>
      <c r="T147" s="168"/>
      <c r="U147" s="168"/>
      <c r="V147" s="169"/>
      <c r="W147" s="168"/>
      <c r="X147" s="168"/>
      <c r="Y147" s="471"/>
      <c r="Z147" s="168"/>
      <c r="AA147" s="169"/>
      <c r="AB147" s="471"/>
      <c r="AC147" s="168"/>
      <c r="AD147" s="168"/>
      <c r="AE147" s="168"/>
      <c r="AF147" s="169"/>
      <c r="AG147" s="168"/>
      <c r="AH147" s="472"/>
      <c r="AI147" s="168"/>
      <c r="AJ147" s="168"/>
      <c r="AK147" s="169"/>
      <c r="AL147" s="168"/>
      <c r="AM147" s="168"/>
      <c r="AN147" s="168"/>
      <c r="AO147" s="168"/>
      <c r="AP147" s="169"/>
      <c r="AQ147" s="472"/>
      <c r="AR147" s="168"/>
      <c r="AS147" s="168"/>
      <c r="AT147" s="168"/>
      <c r="AU147" s="169"/>
      <c r="AV147" s="168"/>
      <c r="AW147" s="168"/>
      <c r="AX147" s="168"/>
      <c r="AY147" s="168"/>
      <c r="AZ147" s="169"/>
      <c r="BA147" s="168"/>
      <c r="BB147" s="168"/>
      <c r="BC147" s="168"/>
      <c r="BD147" s="168"/>
      <c r="BE147" s="169"/>
      <c r="BF147" s="168"/>
      <c r="BG147" s="168"/>
      <c r="BH147" s="168"/>
      <c r="BI147" s="168"/>
      <c r="BJ147" s="169"/>
      <c r="BK147" s="473"/>
      <c r="BL147" s="473"/>
      <c r="BM147" s="473"/>
      <c r="BN147" s="473"/>
      <c r="BO147" s="473"/>
      <c r="BP147" s="473"/>
      <c r="BQ147" s="474"/>
      <c r="BR147" s="475"/>
      <c r="BS147" s="469"/>
      <c r="BZ147" s="469"/>
      <c r="CA147" s="469"/>
      <c r="CB147" s="469"/>
    </row>
    <row r="148" spans="1:80" ht="13.5" customHeight="1">
      <c r="A148" s="469"/>
      <c r="B148" s="477" t="s">
        <v>169</v>
      </c>
      <c r="C148" s="215"/>
      <c r="D148" s="168"/>
      <c r="E148" s="168"/>
      <c r="F148" s="168"/>
      <c r="G148" s="169"/>
      <c r="H148" s="215"/>
      <c r="I148" s="168"/>
      <c r="J148" s="168"/>
      <c r="K148" s="168"/>
      <c r="L148" s="169">
        <v>110.964</v>
      </c>
      <c r="M148" s="168">
        <v>36.700000000000003</v>
      </c>
      <c r="N148" s="168">
        <f>75.701-M148</f>
        <v>39.000999999999991</v>
      </c>
      <c r="O148" s="168">
        <f>115.767-SUM(M148:N148)</f>
        <v>40.066000000000003</v>
      </c>
      <c r="P148" s="168">
        <f>155.326-M148-N148-O148</f>
        <v>39.558999999999997</v>
      </c>
      <c r="Q148" s="169">
        <f t="shared" ref="Q148:Q164" si="166">+SUM(M148:P148)</f>
        <v>155.32599999999999</v>
      </c>
      <c r="R148" s="168">
        <v>38.895000000000003</v>
      </c>
      <c r="S148" s="168">
        <f>78.562-R148</f>
        <v>39.666999999999994</v>
      </c>
      <c r="T148" s="168">
        <f>119.181-S148-R148</f>
        <v>40.619000000000007</v>
      </c>
      <c r="U148" s="168">
        <f>160.538-T148-R148-S148</f>
        <v>41.357000000000006</v>
      </c>
      <c r="V148" s="169">
        <f t="shared" ref="V148:V164" si="167">+SUM(R148:U148)</f>
        <v>160.53800000000001</v>
      </c>
      <c r="W148" s="168">
        <v>43.295999999999999</v>
      </c>
      <c r="X148" s="471">
        <f>87.824-W148</f>
        <v>44.527999999999999</v>
      </c>
      <c r="Y148" s="471">
        <f>136.428-W148-X148</f>
        <v>48.604000000000006</v>
      </c>
      <c r="Z148" s="168">
        <f>185.453-SUM(W148:Y148)</f>
        <v>49.025000000000006</v>
      </c>
      <c r="AA148" s="169">
        <f t="shared" ref="AA148:AA164" si="168">+SUM(W148:Z148)</f>
        <v>185.453</v>
      </c>
      <c r="AB148" s="471">
        <v>49.845999999999997</v>
      </c>
      <c r="AC148" s="168">
        <f>104.62-AB148</f>
        <v>54.774000000000008</v>
      </c>
      <c r="AD148" s="168">
        <f>169.909-AC148-AB148</f>
        <v>65.288999999999987</v>
      </c>
      <c r="AE148" s="168">
        <f>240.802-AD148-AC148-AB148</f>
        <v>70.893000000000001</v>
      </c>
      <c r="AF148" s="169">
        <f t="shared" ref="AF148:AF164" si="169">+SUM(AB148:AE148)</f>
        <v>240.80199999999999</v>
      </c>
      <c r="AG148" s="168">
        <v>67.802000000000007</v>
      </c>
      <c r="AH148" s="472">
        <f>135.461-AG148</f>
        <v>67.659000000000006</v>
      </c>
      <c r="AI148" s="168">
        <f>206.099-AH148-AG148</f>
        <v>70.637999999999991</v>
      </c>
      <c r="AJ148" s="168">
        <f>276.942-SUM(AG148:AI148)</f>
        <v>70.843000000000018</v>
      </c>
      <c r="AK148" s="169">
        <f t="shared" ref="AK148:AK164" si="170">+SUM(AG148:AJ148)</f>
        <v>276.94200000000001</v>
      </c>
      <c r="AL148" s="168">
        <v>68.23</v>
      </c>
      <c r="AM148" s="168">
        <f>133.464-AL148</f>
        <v>65.233999999999995</v>
      </c>
      <c r="AN148" s="1197">
        <f>199.55-AM148-AL148</f>
        <v>66.086000000000027</v>
      </c>
      <c r="AO148" s="472">
        <f>270.054-AN148-AM148-AL148</f>
        <v>70.503999999999976</v>
      </c>
      <c r="AP148" s="169">
        <f t="shared" ref="AP148:AP156" si="171">+SUM(AL148:AO148)</f>
        <v>270.05399999999997</v>
      </c>
      <c r="AQ148" s="472">
        <v>76.085999999999999</v>
      </c>
      <c r="AR148" s="168">
        <f>154.464-AQ148</f>
        <v>78.378</v>
      </c>
      <c r="AS148" s="1197">
        <f>236.964-AR148-AQ148</f>
        <v>82.500000000000014</v>
      </c>
      <c r="AT148" s="1197">
        <f>318.493-AS148-AR148-AQ148</f>
        <v>81.529000000000011</v>
      </c>
      <c r="AU148" s="169">
        <f t="shared" ref="AU148:AU156" si="172">+SUM(AQ148:AT148)</f>
        <v>318.49299999999999</v>
      </c>
      <c r="AV148" s="168">
        <f>+AV111</f>
        <v>118.26924368337474</v>
      </c>
      <c r="AW148" s="168">
        <f>+AW111</f>
        <v>138.0979572081304</v>
      </c>
      <c r="AX148" s="168">
        <f>+AX111</f>
        <v>144.5678709941273</v>
      </c>
      <c r="AY148" s="168">
        <f>+AY111</f>
        <v>149.00467113585319</v>
      </c>
      <c r="AZ148" s="169">
        <f t="shared" ref="AZ148:AZ156" si="173">+SUM(AV148:AY148)</f>
        <v>549.93974302148558</v>
      </c>
      <c r="BA148" s="168">
        <f>+BA111</f>
        <v>139.8334143292623</v>
      </c>
      <c r="BB148" s="168">
        <f>+BB111</f>
        <v>150.64791474996312</v>
      </c>
      <c r="BC148" s="168">
        <f>+BC111</f>
        <v>157.60017361513846</v>
      </c>
      <c r="BD148" s="168">
        <f>+BD111</f>
        <v>162.55785000643897</v>
      </c>
      <c r="BE148" s="169">
        <f t="shared" ref="BE148:BE156" si="174">+SUM(BA148:BD148)</f>
        <v>610.63935270080287</v>
      </c>
      <c r="BF148" s="168">
        <f>+BF111</f>
        <v>152.88442616914742</v>
      </c>
      <c r="BG148" s="168">
        <f>+BG111</f>
        <v>164.59185519260555</v>
      </c>
      <c r="BH148" s="168">
        <f>+BH111</f>
        <v>172.00642174594503</v>
      </c>
      <c r="BI148" s="168">
        <f>+BI111</f>
        <v>177.56335235821462</v>
      </c>
      <c r="BJ148" s="169">
        <f t="shared" ref="BJ148:BJ156" si="175">+SUM(BF148:BI148)</f>
        <v>667.04605546591256</v>
      </c>
      <c r="BK148" s="473"/>
      <c r="BL148" s="473"/>
      <c r="BM148" s="473"/>
      <c r="BN148" s="473"/>
      <c r="BO148" s="473"/>
      <c r="BP148" s="473"/>
      <c r="BQ148" s="474"/>
      <c r="BR148" s="469"/>
      <c r="BS148" s="469"/>
      <c r="BZ148" s="469"/>
      <c r="CA148" s="469"/>
      <c r="CB148" s="469"/>
    </row>
    <row r="149" spans="1:80" ht="13.5" customHeight="1">
      <c r="A149" s="469"/>
      <c r="B149" s="477" t="s">
        <v>170</v>
      </c>
      <c r="C149" s="215"/>
      <c r="D149" s="168"/>
      <c r="E149" s="168"/>
      <c r="F149" s="168"/>
      <c r="G149" s="169"/>
      <c r="H149" s="215"/>
      <c r="I149" s="168"/>
      <c r="J149" s="168"/>
      <c r="K149" s="168"/>
      <c r="L149" s="169">
        <v>4.3</v>
      </c>
      <c r="M149" s="168">
        <v>0</v>
      </c>
      <c r="N149" s="168">
        <f>0.1-M149</f>
        <v>0.1</v>
      </c>
      <c r="O149" s="168">
        <f>0.1-SUM(M149:N149)</f>
        <v>0</v>
      </c>
      <c r="P149" s="168">
        <f>0.8-M149-N149-O149</f>
        <v>0.70000000000000007</v>
      </c>
      <c r="Q149" s="169">
        <f t="shared" si="166"/>
        <v>0.8</v>
      </c>
      <c r="R149" s="168">
        <v>0</v>
      </c>
      <c r="S149" s="168">
        <v>0</v>
      </c>
      <c r="T149" s="168">
        <v>0</v>
      </c>
      <c r="U149" s="168">
        <v>0</v>
      </c>
      <c r="V149" s="169">
        <f t="shared" si="167"/>
        <v>0</v>
      </c>
      <c r="W149" s="168">
        <v>0</v>
      </c>
      <c r="X149" s="471">
        <v>0</v>
      </c>
      <c r="Y149" s="471">
        <v>0</v>
      </c>
      <c r="Z149" s="168">
        <v>0</v>
      </c>
      <c r="AA149" s="169">
        <f>+SUM(W149:Z149)</f>
        <v>0</v>
      </c>
      <c r="AB149" s="478">
        <v>0</v>
      </c>
      <c r="AC149" s="168">
        <v>0</v>
      </c>
      <c r="AD149" s="168">
        <v>0</v>
      </c>
      <c r="AE149" s="479">
        <v>0</v>
      </c>
      <c r="AF149" s="169">
        <f>+SUM(AB149:AE149)</f>
        <v>0</v>
      </c>
      <c r="AG149" s="480">
        <v>0</v>
      </c>
      <c r="AH149" s="472">
        <v>0</v>
      </c>
      <c r="AI149" s="168">
        <v>0</v>
      </c>
      <c r="AJ149" s="168">
        <v>0</v>
      </c>
      <c r="AK149" s="169">
        <f>+SUM(AG149:AJ149)</f>
        <v>0</v>
      </c>
      <c r="AL149" s="480">
        <v>0</v>
      </c>
      <c r="AM149" s="168">
        <v>0</v>
      </c>
      <c r="AN149" s="1197">
        <v>0</v>
      </c>
      <c r="AO149" s="472">
        <v>0</v>
      </c>
      <c r="AP149" s="169">
        <f t="shared" si="171"/>
        <v>0</v>
      </c>
      <c r="AQ149" s="1221">
        <v>0</v>
      </c>
      <c r="AR149" s="168">
        <v>0</v>
      </c>
      <c r="AS149" s="1197">
        <v>0</v>
      </c>
      <c r="AT149" s="1197">
        <v>0</v>
      </c>
      <c r="AU149" s="169">
        <f t="shared" si="172"/>
        <v>0</v>
      </c>
      <c r="AV149" s="481">
        <v>0</v>
      </c>
      <c r="AW149" s="479">
        <v>0</v>
      </c>
      <c r="AX149" s="479">
        <v>0</v>
      </c>
      <c r="AY149" s="479">
        <v>0</v>
      </c>
      <c r="AZ149" s="169">
        <f t="shared" si="173"/>
        <v>0</v>
      </c>
      <c r="BA149" s="481">
        <v>0</v>
      </c>
      <c r="BB149" s="479">
        <v>0</v>
      </c>
      <c r="BC149" s="479">
        <v>0</v>
      </c>
      <c r="BD149" s="479">
        <v>0</v>
      </c>
      <c r="BE149" s="169">
        <f t="shared" si="174"/>
        <v>0</v>
      </c>
      <c r="BF149" s="481">
        <v>0</v>
      </c>
      <c r="BG149" s="479">
        <v>0</v>
      </c>
      <c r="BH149" s="479">
        <v>0</v>
      </c>
      <c r="BI149" s="479">
        <v>0</v>
      </c>
      <c r="BJ149" s="169">
        <f t="shared" si="175"/>
        <v>0</v>
      </c>
      <c r="BK149" s="473"/>
      <c r="BL149" s="473"/>
      <c r="BM149" s="473"/>
      <c r="BN149" s="473"/>
      <c r="BO149" s="473"/>
      <c r="BP149" s="473"/>
      <c r="BQ149" s="474"/>
      <c r="BR149" s="469"/>
      <c r="BS149" s="469"/>
      <c r="BZ149" s="469"/>
      <c r="CA149" s="469"/>
      <c r="CB149" s="469"/>
    </row>
    <row r="150" spans="1:80" ht="13.5" customHeight="1">
      <c r="A150" s="469"/>
      <c r="B150" s="477" t="s">
        <v>171</v>
      </c>
      <c r="C150" s="215"/>
      <c r="D150" s="168"/>
      <c r="E150" s="168"/>
      <c r="F150" s="168"/>
      <c r="G150" s="169"/>
      <c r="H150" s="215"/>
      <c r="I150" s="168"/>
      <c r="J150" s="168"/>
      <c r="K150" s="168"/>
      <c r="L150" s="169">
        <v>1.619</v>
      </c>
      <c r="M150" s="168">
        <v>0.68400000000000005</v>
      </c>
      <c r="N150" s="168">
        <f>1.648-M150</f>
        <v>0.96399999999999986</v>
      </c>
      <c r="O150" s="168">
        <f>2.574-SUM(M150:N150)</f>
        <v>0.92599999999999993</v>
      </c>
      <c r="P150" s="168">
        <f>3.511-M150-N150-O150</f>
        <v>0.93700000000000006</v>
      </c>
      <c r="Q150" s="169">
        <f t="shared" si="166"/>
        <v>3.5110000000000001</v>
      </c>
      <c r="R150" s="168">
        <v>1.234</v>
      </c>
      <c r="S150" s="168">
        <f>2.898-R150</f>
        <v>1.6640000000000001</v>
      </c>
      <c r="T150" s="168">
        <f>4.567-S150-R150</f>
        <v>1.669</v>
      </c>
      <c r="U150" s="168">
        <f>6.372-T150-S150-R150</f>
        <v>1.8049999999999993</v>
      </c>
      <c r="V150" s="169">
        <f t="shared" si="167"/>
        <v>6.3719999999999999</v>
      </c>
      <c r="W150" s="168">
        <v>2.4750000000000001</v>
      </c>
      <c r="X150" s="471">
        <f>4.962-W150</f>
        <v>2.4869999999999997</v>
      </c>
      <c r="Y150" s="471">
        <f>7.466-X150-W150</f>
        <v>2.5040000000000009</v>
      </c>
      <c r="Z150" s="168">
        <f>10.139-SUM(W150:Y150)</f>
        <v>2.6729999999999983</v>
      </c>
      <c r="AA150" s="169">
        <f>+SUM(W150:Z150)</f>
        <v>10.138999999999999</v>
      </c>
      <c r="AB150" s="478">
        <v>1.8939999999999999</v>
      </c>
      <c r="AC150" s="168">
        <f>4.883-AB150</f>
        <v>2.9889999999999999</v>
      </c>
      <c r="AD150" s="168">
        <f>8.094-AC150-AB150</f>
        <v>3.2109999999999994</v>
      </c>
      <c r="AE150" s="479">
        <f>12.032-AD150-AC150-AB150</f>
        <v>3.9380000000000015</v>
      </c>
      <c r="AF150" s="169">
        <f>+SUM(AB150:AE150)</f>
        <v>12.032</v>
      </c>
      <c r="AG150" s="480">
        <v>3.8719999999999999</v>
      </c>
      <c r="AH150" s="472">
        <f>8.183-AG150</f>
        <v>4.3109999999999999</v>
      </c>
      <c r="AI150" s="168">
        <f>12.535-AH150-AG150</f>
        <v>4.3520000000000003</v>
      </c>
      <c r="AJ150" s="168">
        <f>18.256-SUM(AG150:AI150)</f>
        <v>5.7210000000000001</v>
      </c>
      <c r="AK150" s="169">
        <f>+SUM(AG150:AJ150)</f>
        <v>18.256</v>
      </c>
      <c r="AL150" s="480">
        <v>7.1769999999999996</v>
      </c>
      <c r="AM150" s="168">
        <f>12.581-AL150</f>
        <v>5.4039999999999999</v>
      </c>
      <c r="AN150" s="1197">
        <f>18.508-AM150-AL150</f>
        <v>5.9269999999999996</v>
      </c>
      <c r="AO150" s="472">
        <f>25.818-AN150-AM150-AL150</f>
        <v>7.3100000000000023</v>
      </c>
      <c r="AP150" s="169">
        <f t="shared" si="171"/>
        <v>25.818000000000001</v>
      </c>
      <c r="AQ150" s="1221">
        <v>6.68</v>
      </c>
      <c r="AR150" s="168">
        <f>12.975-AQ150</f>
        <v>6.2949999999999999</v>
      </c>
      <c r="AS150" s="1197">
        <f>18.648-AR150-AQ150</f>
        <v>5.673</v>
      </c>
      <c r="AT150" s="1197">
        <f>24.347-AS150-AR150-AQ150</f>
        <v>5.6989999999999998</v>
      </c>
      <c r="AU150" s="169">
        <f t="shared" si="172"/>
        <v>24.347000000000001</v>
      </c>
      <c r="AV150" s="481">
        <v>0</v>
      </c>
      <c r="AW150" s="479">
        <v>0</v>
      </c>
      <c r="AX150" s="479">
        <v>0</v>
      </c>
      <c r="AY150" s="479">
        <v>0</v>
      </c>
      <c r="AZ150" s="169">
        <f t="shared" si="173"/>
        <v>0</v>
      </c>
      <c r="BA150" s="481">
        <v>0</v>
      </c>
      <c r="BB150" s="479">
        <v>0</v>
      </c>
      <c r="BC150" s="479">
        <v>0</v>
      </c>
      <c r="BD150" s="479">
        <v>0</v>
      </c>
      <c r="BE150" s="169">
        <f t="shared" si="174"/>
        <v>0</v>
      </c>
      <c r="BF150" s="481">
        <v>0</v>
      </c>
      <c r="BG150" s="479">
        <v>0</v>
      </c>
      <c r="BH150" s="479">
        <v>0</v>
      </c>
      <c r="BI150" s="479">
        <v>0</v>
      </c>
      <c r="BJ150" s="169">
        <f t="shared" si="175"/>
        <v>0</v>
      </c>
      <c r="BK150" s="473"/>
      <c r="BL150" s="473"/>
      <c r="BM150" s="473"/>
      <c r="BN150" s="473"/>
      <c r="BO150" s="473"/>
      <c r="BP150" s="473"/>
      <c r="BQ150" s="474"/>
      <c r="BR150" s="469"/>
      <c r="BS150" s="469"/>
      <c r="BZ150" s="469"/>
      <c r="CA150" s="469"/>
      <c r="CB150" s="469"/>
    </row>
    <row r="151" spans="1:80" ht="13.5" customHeight="1">
      <c r="A151" s="469"/>
      <c r="B151" s="477" t="s">
        <v>172</v>
      </c>
      <c r="C151" s="215"/>
      <c r="D151" s="168"/>
      <c r="E151" s="168"/>
      <c r="F151" s="168"/>
      <c r="G151" s="169"/>
      <c r="H151" s="215"/>
      <c r="I151" s="168"/>
      <c r="J151" s="168"/>
      <c r="K151" s="168"/>
      <c r="L151" s="169">
        <v>1.7170000000000001</v>
      </c>
      <c r="M151" s="168">
        <v>2.5750000000000002</v>
      </c>
      <c r="N151" s="168">
        <f>14.726-M151</f>
        <v>12.151</v>
      </c>
      <c r="O151" s="168">
        <f>17.346-SUM(M151:N151)</f>
        <v>2.620000000000001</v>
      </c>
      <c r="P151" s="168">
        <f>19.544-M151-N151-O151</f>
        <v>2.1980000000000004</v>
      </c>
      <c r="Q151" s="169">
        <f t="shared" si="166"/>
        <v>19.544</v>
      </c>
      <c r="R151" s="168">
        <v>56.351999999999997</v>
      </c>
      <c r="S151" s="168">
        <f>57.406-R151</f>
        <v>1.054000000000002</v>
      </c>
      <c r="T151" s="168">
        <f>58.407-S151-R151</f>
        <v>1.0009999999999977</v>
      </c>
      <c r="U151" s="168">
        <f>59.407-T151-S151-R151</f>
        <v>1</v>
      </c>
      <c r="V151" s="169">
        <f t="shared" si="167"/>
        <v>59.406999999999996</v>
      </c>
      <c r="W151" s="168">
        <v>1.0009999999999999</v>
      </c>
      <c r="X151" s="471">
        <f>22.156-W151</f>
        <v>21.154999999999998</v>
      </c>
      <c r="Y151" s="471">
        <f>23.256-X151-W151</f>
        <v>1.1000000000000028</v>
      </c>
      <c r="Z151" s="168">
        <f>24.427-SUM(W151:Y151)</f>
        <v>1.1709999999999994</v>
      </c>
      <c r="AA151" s="169">
        <f>+SUM(W151:Z151)</f>
        <v>24.427</v>
      </c>
      <c r="AB151" s="478">
        <v>1.17</v>
      </c>
      <c r="AC151" s="168">
        <f>28.878-AB151</f>
        <v>27.707999999999998</v>
      </c>
      <c r="AD151" s="168">
        <f>30.416-AC151-AB151</f>
        <v>1.538000000000002</v>
      </c>
      <c r="AE151" s="479">
        <f>31.956-AD151-AC151-AB151</f>
        <v>1.5400000000000009</v>
      </c>
      <c r="AF151" s="169">
        <f>+SUM(AB151:AE151)</f>
        <v>31.956000000000003</v>
      </c>
      <c r="AG151" s="480">
        <v>3.6059999999999999</v>
      </c>
      <c r="AH151" s="472">
        <f>5.196-AG151</f>
        <v>1.5899999999999999</v>
      </c>
      <c r="AI151" s="168">
        <f>6.784-AH151-AG151</f>
        <v>1.5880000000000001</v>
      </c>
      <c r="AJ151" s="168">
        <f>8.376-SUM(AG151:AI151)</f>
        <v>1.5919999999999996</v>
      </c>
      <c r="AK151" s="169">
        <f>+SUM(AG151:AJ151)</f>
        <v>8.3759999999999994</v>
      </c>
      <c r="AL151" s="480">
        <v>1.591</v>
      </c>
      <c r="AM151" s="168">
        <f>3.237-AL151</f>
        <v>1.6460000000000001</v>
      </c>
      <c r="AN151" s="1197">
        <f>4.818-AM151-AL151</f>
        <v>1.5809999999999997</v>
      </c>
      <c r="AO151" s="472">
        <f>22.584-AN151-AM151-AL151</f>
        <v>17.765999999999998</v>
      </c>
      <c r="AP151" s="169">
        <f t="shared" si="171"/>
        <v>22.583999999999996</v>
      </c>
      <c r="AQ151" s="1221">
        <v>1.1539999999999999</v>
      </c>
      <c r="AR151" s="168">
        <f>2.308-AQ151</f>
        <v>1.1539999999999999</v>
      </c>
      <c r="AS151" s="1197">
        <f>3.941-AR151-AQ151</f>
        <v>1.633</v>
      </c>
      <c r="AT151" s="1197">
        <f>5.989-AS151-AR151-AQ151</f>
        <v>2.048</v>
      </c>
      <c r="AU151" s="169">
        <f t="shared" si="172"/>
        <v>5.9889999999999999</v>
      </c>
      <c r="AV151" s="481">
        <v>0</v>
      </c>
      <c r="AW151" s="479">
        <v>0</v>
      </c>
      <c r="AX151" s="479">
        <v>0</v>
      </c>
      <c r="AY151" s="479">
        <v>0</v>
      </c>
      <c r="AZ151" s="169">
        <f t="shared" si="173"/>
        <v>0</v>
      </c>
      <c r="BA151" s="481">
        <v>0</v>
      </c>
      <c r="BB151" s="479">
        <v>0</v>
      </c>
      <c r="BC151" s="479">
        <v>0</v>
      </c>
      <c r="BD151" s="479">
        <v>0</v>
      </c>
      <c r="BE151" s="169">
        <f t="shared" si="174"/>
        <v>0</v>
      </c>
      <c r="BF151" s="481">
        <v>0</v>
      </c>
      <c r="BG151" s="479">
        <v>0</v>
      </c>
      <c r="BH151" s="479">
        <v>0</v>
      </c>
      <c r="BI151" s="479">
        <v>0</v>
      </c>
      <c r="BJ151" s="169">
        <f t="shared" si="175"/>
        <v>0</v>
      </c>
      <c r="BK151" s="473"/>
      <c r="BL151" s="473"/>
      <c r="BM151" s="473"/>
      <c r="BN151" s="473"/>
      <c r="BO151" s="473"/>
      <c r="BP151" s="473"/>
      <c r="BQ151" s="474"/>
      <c r="BR151" s="469"/>
      <c r="BS151" s="469"/>
      <c r="BZ151" s="469"/>
      <c r="CA151" s="469"/>
      <c r="CB151" s="469"/>
    </row>
    <row r="152" spans="1:80" ht="13.5" customHeight="1">
      <c r="A152" s="469"/>
      <c r="B152" s="477" t="s">
        <v>173</v>
      </c>
      <c r="C152" s="215"/>
      <c r="D152" s="168"/>
      <c r="E152" s="168"/>
      <c r="F152" s="168"/>
      <c r="G152" s="169"/>
      <c r="H152" s="215"/>
      <c r="I152" s="168"/>
      <c r="J152" s="168"/>
      <c r="K152" s="168"/>
      <c r="L152" s="169">
        <v>2.7989999999999999</v>
      </c>
      <c r="M152" s="168">
        <v>0.65200000000000002</v>
      </c>
      <c r="N152" s="168">
        <f>1.393-M152</f>
        <v>0.74099999999999999</v>
      </c>
      <c r="O152" s="168">
        <f>2.202-SUM(M152:N152)</f>
        <v>0.80899999999999994</v>
      </c>
      <c r="P152" s="168">
        <f>2.974-M152-N152-O152</f>
        <v>0.77200000000000002</v>
      </c>
      <c r="Q152" s="169">
        <f t="shared" si="166"/>
        <v>2.9740000000000002</v>
      </c>
      <c r="R152" s="168">
        <v>8.6630000000000003</v>
      </c>
      <c r="S152" s="168">
        <f>17.492-R152</f>
        <v>8.8290000000000006</v>
      </c>
      <c r="T152" s="168">
        <f>26.889-S152-R152</f>
        <v>9.3969999999999985</v>
      </c>
      <c r="U152" s="168">
        <f>33.444-T152-S152-R152</f>
        <v>6.5550000000000033</v>
      </c>
      <c r="V152" s="169">
        <f t="shared" si="167"/>
        <v>33.444000000000003</v>
      </c>
      <c r="W152" s="168">
        <v>6.74</v>
      </c>
      <c r="X152" s="471">
        <f>13.93-W152</f>
        <v>7.1899999999999995</v>
      </c>
      <c r="Y152" s="471">
        <f>21.352-X152-W152</f>
        <v>7.4220000000000006</v>
      </c>
      <c r="Z152" s="168">
        <f>29.729-SUM(W152:Y152)</f>
        <v>8.3769999999999989</v>
      </c>
      <c r="AA152" s="169">
        <f t="shared" si="168"/>
        <v>29.728999999999999</v>
      </c>
      <c r="AB152" s="471">
        <v>8.9390000000000001</v>
      </c>
      <c r="AC152" s="168">
        <f>20.044-AB152</f>
        <v>11.105</v>
      </c>
      <c r="AD152" s="168">
        <f>30.797-AC152-AB152</f>
        <v>10.753</v>
      </c>
      <c r="AE152" s="168">
        <f>42.171-AD152-AC152-AB152</f>
        <v>11.373999999999999</v>
      </c>
      <c r="AF152" s="169">
        <f t="shared" si="169"/>
        <v>42.170999999999999</v>
      </c>
      <c r="AG152" s="168">
        <v>11.622999999999999</v>
      </c>
      <c r="AH152" s="472">
        <f>16.72-AG152</f>
        <v>5.0969999999999995</v>
      </c>
      <c r="AI152" s="168">
        <f>23.852-AH152-AG152</f>
        <v>7.1320000000000032</v>
      </c>
      <c r="AJ152" s="168">
        <f>30.492-SUM(AG152:AI152)</f>
        <v>6.639999999999997</v>
      </c>
      <c r="AK152" s="169">
        <f t="shared" si="170"/>
        <v>30.492000000000001</v>
      </c>
      <c r="AL152" s="168">
        <v>8.3520000000000003</v>
      </c>
      <c r="AM152" s="168">
        <f>16.292-AL152</f>
        <v>7.9400000000000013</v>
      </c>
      <c r="AN152" s="1197">
        <f>25.892-AM152-AL152</f>
        <v>9.5999999999999979</v>
      </c>
      <c r="AO152" s="472">
        <f>35.871-AN152-AM152-AL152</f>
        <v>9.9790000000000028</v>
      </c>
      <c r="AP152" s="169">
        <f t="shared" si="171"/>
        <v>35.871000000000002</v>
      </c>
      <c r="AQ152" s="472">
        <v>10.58</v>
      </c>
      <c r="AR152" s="168">
        <f>21.461-AQ152</f>
        <v>10.880999999999998</v>
      </c>
      <c r="AS152" s="1197">
        <f>35.068-AR152-AQ152</f>
        <v>13.606999999999998</v>
      </c>
      <c r="AT152" s="1197">
        <f>47.855-AS152-AQ152-AR152</f>
        <v>12.787000000000001</v>
      </c>
      <c r="AU152" s="169">
        <f t="shared" si="172"/>
        <v>47.854999999999997</v>
      </c>
      <c r="AV152" s="168">
        <f>+AV104</f>
        <v>15.015306463213259</v>
      </c>
      <c r="AW152" s="168">
        <f>+AW104</f>
        <v>17.532733657916125</v>
      </c>
      <c r="AX152" s="168">
        <f>+AX104</f>
        <v>18.354145339108502</v>
      </c>
      <c r="AY152" s="168">
        <f>+AY104</f>
        <v>18.917435606038712</v>
      </c>
      <c r="AZ152" s="169">
        <f t="shared" si="173"/>
        <v>69.819621066276596</v>
      </c>
      <c r="BA152" s="168">
        <f>+BA104</f>
        <v>17.75306499441578</v>
      </c>
      <c r="BB152" s="168">
        <f>+BB104</f>
        <v>19.126059637876057</v>
      </c>
      <c r="BC152" s="168">
        <f>+BC104</f>
        <v>20.008709211180744</v>
      </c>
      <c r="BD152" s="168">
        <f>+BD104</f>
        <v>20.638129236560331</v>
      </c>
      <c r="BE152" s="169">
        <f t="shared" si="174"/>
        <v>77.525963080032909</v>
      </c>
      <c r="BF152" s="168">
        <f>+BF104</f>
        <v>19.410004164125265</v>
      </c>
      <c r="BG152" s="168">
        <f>+BG104</f>
        <v>20.896363839800205</v>
      </c>
      <c r="BH152" s="168">
        <f>+BH104</f>
        <v>21.837707384604943</v>
      </c>
      <c r="BI152" s="168">
        <f>+BI104</f>
        <v>22.543207931825982</v>
      </c>
      <c r="BJ152" s="169">
        <f t="shared" si="175"/>
        <v>84.687283320356386</v>
      </c>
      <c r="BK152" s="473"/>
      <c r="BL152" s="473"/>
      <c r="BM152" s="473"/>
      <c r="BN152" s="473"/>
      <c r="BO152" s="473"/>
      <c r="BP152" s="473"/>
      <c r="BQ152" s="474"/>
      <c r="BR152" s="469"/>
      <c r="BS152" s="469"/>
      <c r="BZ152" s="469"/>
      <c r="CA152" s="469"/>
      <c r="CB152" s="469"/>
    </row>
    <row r="153" spans="1:80" ht="13.5" customHeight="1">
      <c r="A153" s="469"/>
      <c r="B153" s="477" t="s">
        <v>174</v>
      </c>
      <c r="C153" s="215"/>
      <c r="D153" s="168"/>
      <c r="E153" s="168"/>
      <c r="F153" s="168"/>
      <c r="G153" s="169"/>
      <c r="H153" s="215"/>
      <c r="I153" s="168"/>
      <c r="J153" s="168"/>
      <c r="K153" s="168"/>
      <c r="L153" s="169">
        <v>-8.7550000000000008</v>
      </c>
      <c r="M153" s="168">
        <v>0</v>
      </c>
      <c r="N153" s="168">
        <f>0-M153</f>
        <v>0</v>
      </c>
      <c r="O153" s="168">
        <f>-2.255-SUM(M153:N153)</f>
        <v>-2.2549999999999999</v>
      </c>
      <c r="P153" s="168">
        <f>31.133-M153-N153-O153</f>
        <v>33.387999999999998</v>
      </c>
      <c r="Q153" s="169">
        <f t="shared" si="166"/>
        <v>31.132999999999999</v>
      </c>
      <c r="R153" s="168">
        <v>0</v>
      </c>
      <c r="S153" s="168">
        <v>0</v>
      </c>
      <c r="T153" s="168">
        <v>0</v>
      </c>
      <c r="U153" s="168">
        <f>0.352-T153-S153-R153</f>
        <v>0.35199999999999998</v>
      </c>
      <c r="V153" s="169">
        <f t="shared" si="167"/>
        <v>0.35199999999999998</v>
      </c>
      <c r="W153" s="168">
        <v>0</v>
      </c>
      <c r="X153" s="471">
        <v>0</v>
      </c>
      <c r="Y153" s="471">
        <v>0</v>
      </c>
      <c r="Z153" s="168">
        <f>31.34-SUM(W153:Y153)</f>
        <v>31.34</v>
      </c>
      <c r="AA153" s="169">
        <f t="shared" si="168"/>
        <v>31.34</v>
      </c>
      <c r="AB153" s="471">
        <v>0</v>
      </c>
      <c r="AC153" s="168">
        <v>0</v>
      </c>
      <c r="AD153" s="168">
        <v>0</v>
      </c>
      <c r="AE153" s="168">
        <f>32.469-AD153-AB153-AC153</f>
        <v>32.469000000000001</v>
      </c>
      <c r="AF153" s="169">
        <f t="shared" si="169"/>
        <v>32.469000000000001</v>
      </c>
      <c r="AG153" s="168">
        <v>0</v>
      </c>
      <c r="AH153" s="472">
        <v>0</v>
      </c>
      <c r="AI153" s="168">
        <v>0</v>
      </c>
      <c r="AJ153" s="168">
        <f>55.28-SUM(AG153:AI153)</f>
        <v>55.28</v>
      </c>
      <c r="AK153" s="169">
        <f t="shared" si="170"/>
        <v>55.28</v>
      </c>
      <c r="AL153" s="168">
        <v>-6.94</v>
      </c>
      <c r="AM153" s="168">
        <f>32.4-AL153</f>
        <v>39.339999999999996</v>
      </c>
      <c r="AN153" s="1197">
        <f>49.9-AM153-AL153</f>
        <v>17.500000000000004</v>
      </c>
      <c r="AO153" s="472">
        <f>79.668-AN153-AM153-AL153</f>
        <v>29.768000000000011</v>
      </c>
      <c r="AP153" s="169">
        <f t="shared" si="171"/>
        <v>79.668000000000021</v>
      </c>
      <c r="AQ153" s="472">
        <v>20</v>
      </c>
      <c r="AR153" s="168">
        <f>40.5-AQ153</f>
        <v>20.5</v>
      </c>
      <c r="AS153" s="1197">
        <f>60-AR153-AQ153</f>
        <v>19.5</v>
      </c>
      <c r="AT153" s="1197">
        <f>596.802-AS153-AR153-AQ153</f>
        <v>536.80200000000002</v>
      </c>
      <c r="AU153" s="169">
        <f t="shared" si="172"/>
        <v>596.80200000000002</v>
      </c>
      <c r="AV153" s="168">
        <f>+AT219-AV219+AV239-AT239</f>
        <v>0</v>
      </c>
      <c r="AW153" s="168">
        <f>+AV219-AW219+AW239-AV239</f>
        <v>0</v>
      </c>
      <c r="AX153" s="168">
        <f>+AW219-AX219+AX239-AW239</f>
        <v>0</v>
      </c>
      <c r="AY153" s="168">
        <f>+AX219-AY219+AY239-AX239</f>
        <v>0</v>
      </c>
      <c r="AZ153" s="169">
        <f t="shared" si="173"/>
        <v>0</v>
      </c>
      <c r="BA153" s="168">
        <f>+AY219-BA219+BA239-AY239</f>
        <v>0</v>
      </c>
      <c r="BB153" s="168">
        <f>+BA219-BB219+BB239-BA239</f>
        <v>0</v>
      </c>
      <c r="BC153" s="168">
        <f>+BB219-BC219+BC239-BB239</f>
        <v>0</v>
      </c>
      <c r="BD153" s="168">
        <f>+BC219-BD219+BD239-BC239</f>
        <v>0</v>
      </c>
      <c r="BE153" s="169">
        <f t="shared" si="174"/>
        <v>0</v>
      </c>
      <c r="BF153" s="168">
        <f>+BD219-BF219+BF239-BD239</f>
        <v>0</v>
      </c>
      <c r="BG153" s="168">
        <f>+BF219-BG219+BG239-BF239</f>
        <v>0</v>
      </c>
      <c r="BH153" s="168">
        <f>+BG219-BH219+BH239-BG239</f>
        <v>0</v>
      </c>
      <c r="BI153" s="168">
        <f>+BH219-BI219+BI239-BH239</f>
        <v>0</v>
      </c>
      <c r="BJ153" s="169">
        <f t="shared" si="175"/>
        <v>0</v>
      </c>
      <c r="BK153" s="473"/>
      <c r="BL153" s="473"/>
      <c r="BM153" s="473"/>
      <c r="BN153" s="473"/>
      <c r="BO153" s="473"/>
      <c r="BP153" s="473"/>
      <c r="BQ153" s="474"/>
      <c r="BR153" s="469"/>
      <c r="BS153" s="469"/>
      <c r="BZ153" s="469"/>
      <c r="CA153" s="469"/>
      <c r="CB153" s="469"/>
    </row>
    <row r="154" spans="1:80" ht="13.5" customHeight="1">
      <c r="A154" s="469"/>
      <c r="B154" s="477" t="s">
        <v>175</v>
      </c>
      <c r="C154" s="215"/>
      <c r="D154" s="168"/>
      <c r="E154" s="168"/>
      <c r="F154" s="168"/>
      <c r="G154" s="169"/>
      <c r="H154" s="215"/>
      <c r="I154" s="168"/>
      <c r="J154" s="168"/>
      <c r="K154" s="168"/>
      <c r="L154" s="169">
        <v>0</v>
      </c>
      <c r="M154" s="168">
        <v>0</v>
      </c>
      <c r="N154" s="168">
        <v>0</v>
      </c>
      <c r="O154" s="168">
        <v>0</v>
      </c>
      <c r="P154" s="168">
        <v>0</v>
      </c>
      <c r="Q154" s="169">
        <f t="shared" si="166"/>
        <v>0</v>
      </c>
      <c r="R154" s="168">
        <v>0</v>
      </c>
      <c r="S154" s="168">
        <v>0</v>
      </c>
      <c r="T154" s="168">
        <v>0</v>
      </c>
      <c r="U154" s="168">
        <v>0</v>
      </c>
      <c r="V154" s="169">
        <f t="shared" si="167"/>
        <v>0</v>
      </c>
      <c r="W154" s="168">
        <v>0</v>
      </c>
      <c r="X154" s="471">
        <v>0</v>
      </c>
      <c r="Y154" s="471">
        <v>0</v>
      </c>
      <c r="Z154" s="168">
        <v>0</v>
      </c>
      <c r="AA154" s="169">
        <f>+SUM(W154:Z154)</f>
        <v>0</v>
      </c>
      <c r="AB154" s="478">
        <v>0</v>
      </c>
      <c r="AC154" s="168">
        <f>34.267-AB154</f>
        <v>34.267000000000003</v>
      </c>
      <c r="AD154" s="168">
        <f>34.267-AC154-AB154</f>
        <v>0</v>
      </c>
      <c r="AE154" s="168">
        <f>34.267-AD154-AC154-AB154</f>
        <v>0</v>
      </c>
      <c r="AF154" s="169">
        <f>+SUM(AB154:AE154)</f>
        <v>34.267000000000003</v>
      </c>
      <c r="AG154" s="480">
        <v>0</v>
      </c>
      <c r="AH154" s="472">
        <v>0</v>
      </c>
      <c r="AI154" s="168">
        <v>0</v>
      </c>
      <c r="AJ154" s="168">
        <v>0</v>
      </c>
      <c r="AK154" s="169">
        <f>+SUM(AG154:AJ154)</f>
        <v>0</v>
      </c>
      <c r="AL154" s="480">
        <v>0</v>
      </c>
      <c r="AM154" s="168">
        <v>0</v>
      </c>
      <c r="AN154" s="1197">
        <v>0</v>
      </c>
      <c r="AO154" s="472">
        <v>0</v>
      </c>
      <c r="AP154" s="169">
        <f t="shared" si="171"/>
        <v>0</v>
      </c>
      <c r="AQ154" s="1221">
        <v>0</v>
      </c>
      <c r="AR154" s="168">
        <v>0</v>
      </c>
      <c r="AS154" s="1197">
        <v>0</v>
      </c>
      <c r="AT154" s="1197">
        <v>0</v>
      </c>
      <c r="AU154" s="169">
        <f t="shared" si="172"/>
        <v>0</v>
      </c>
      <c r="AV154" s="481">
        <v>0</v>
      </c>
      <c r="AW154" s="479">
        <v>0</v>
      </c>
      <c r="AX154" s="479">
        <v>0</v>
      </c>
      <c r="AY154" s="479">
        <v>0</v>
      </c>
      <c r="AZ154" s="169">
        <f t="shared" si="173"/>
        <v>0</v>
      </c>
      <c r="BA154" s="481">
        <v>0</v>
      </c>
      <c r="BB154" s="479">
        <v>0</v>
      </c>
      <c r="BC154" s="479">
        <v>0</v>
      </c>
      <c r="BD154" s="479">
        <v>0</v>
      </c>
      <c r="BE154" s="169">
        <f t="shared" si="174"/>
        <v>0</v>
      </c>
      <c r="BF154" s="481">
        <v>0</v>
      </c>
      <c r="BG154" s="479">
        <v>0</v>
      </c>
      <c r="BH154" s="479">
        <v>0</v>
      </c>
      <c r="BI154" s="479">
        <v>0</v>
      </c>
      <c r="BJ154" s="169">
        <f t="shared" si="175"/>
        <v>0</v>
      </c>
      <c r="BK154" s="473"/>
      <c r="BL154" s="473"/>
      <c r="BM154" s="473"/>
      <c r="BN154" s="473"/>
      <c r="BO154" s="473"/>
      <c r="BP154" s="473"/>
      <c r="BQ154" s="474"/>
      <c r="BR154" s="469"/>
      <c r="BS154" s="469"/>
      <c r="BZ154" s="469"/>
      <c r="CA154" s="469"/>
      <c r="CB154" s="469"/>
    </row>
    <row r="155" spans="1:80" ht="13.5" customHeight="1">
      <c r="A155" s="469"/>
      <c r="B155" s="1299" t="s">
        <v>453</v>
      </c>
      <c r="C155" s="215"/>
      <c r="D155" s="168"/>
      <c r="E155" s="168"/>
      <c r="F155" s="168"/>
      <c r="G155" s="169"/>
      <c r="H155" s="215"/>
      <c r="I155" s="168"/>
      <c r="J155" s="168"/>
      <c r="K155" s="168"/>
      <c r="L155" s="169"/>
      <c r="M155" s="168"/>
      <c r="N155" s="168"/>
      <c r="O155" s="168"/>
      <c r="P155" s="168"/>
      <c r="Q155" s="169"/>
      <c r="R155" s="168">
        <v>0</v>
      </c>
      <c r="S155" s="471">
        <v>0</v>
      </c>
      <c r="T155" s="471">
        <v>0</v>
      </c>
      <c r="U155" s="168">
        <v>0</v>
      </c>
      <c r="V155" s="169">
        <f>+SUM(R155:U155)</f>
        <v>0</v>
      </c>
      <c r="W155" s="168">
        <v>0</v>
      </c>
      <c r="X155" s="471">
        <v>0</v>
      </c>
      <c r="Y155" s="471">
        <v>0</v>
      </c>
      <c r="Z155" s="168">
        <v>0</v>
      </c>
      <c r="AA155" s="169">
        <f>+SUM(W155:Z155)</f>
        <v>0</v>
      </c>
      <c r="AB155" s="478">
        <v>0</v>
      </c>
      <c r="AC155" s="168">
        <f>1.5-AB155</f>
        <v>1.5</v>
      </c>
      <c r="AD155" s="168">
        <f>8.311-AC155-AB155</f>
        <v>6.8109999999999999</v>
      </c>
      <c r="AE155" s="472">
        <f>-25.838-AD155-AC155-AB155</f>
        <v>-34.149000000000001</v>
      </c>
      <c r="AF155" s="169">
        <f>+SUM(AB155:AE155)</f>
        <v>-25.838000000000001</v>
      </c>
      <c r="AG155" s="480">
        <v>7.0090000000000003</v>
      </c>
      <c r="AH155" s="472">
        <f>13.733-AG155</f>
        <v>6.7240000000000002</v>
      </c>
      <c r="AI155" s="168">
        <f>21.196-AH155-AG155</f>
        <v>7.463000000000001</v>
      </c>
      <c r="AJ155" s="472">
        <f>28.171-AI155-AH155-AG155</f>
        <v>6.9749999999999979</v>
      </c>
      <c r="AK155" s="169">
        <f>+SUM(AG155:AJ155)</f>
        <v>28.170999999999999</v>
      </c>
      <c r="AL155" s="480">
        <v>5.6520000000000001</v>
      </c>
      <c r="AM155" s="168">
        <f>10.252-AL155</f>
        <v>4.6000000000000005</v>
      </c>
      <c r="AN155" s="1197">
        <f>14.88-AM155-AL155</f>
        <v>4.628000000000001</v>
      </c>
      <c r="AO155" s="472">
        <f>19.527-AN155-AM155-AL155</f>
        <v>4.6469999999999994</v>
      </c>
      <c r="AP155" s="169">
        <f t="shared" si="171"/>
        <v>19.527000000000001</v>
      </c>
      <c r="AQ155" s="1221">
        <v>4.1310000000000002</v>
      </c>
      <c r="AR155" s="168">
        <f>7.553-AQ155</f>
        <v>3.4219999999999997</v>
      </c>
      <c r="AS155" s="1197">
        <f>10.708-AR155-AQ155</f>
        <v>3.1550000000000002</v>
      </c>
      <c r="AT155" s="1197">
        <f>-421.663-AS155-AR155-AQ155</f>
        <v>-432.37099999999998</v>
      </c>
      <c r="AU155" s="169">
        <f t="shared" si="172"/>
        <v>-421.66299999999995</v>
      </c>
      <c r="AV155" s="1197">
        <f>AV229-AT229+AV230-AT230</f>
        <v>0</v>
      </c>
      <c r="AW155" s="1197">
        <f t="shared" ref="AW155:AY155" si="176">AW229-AV229+AW230-AV230</f>
        <v>0</v>
      </c>
      <c r="AX155" s="1197">
        <f t="shared" si="176"/>
        <v>0</v>
      </c>
      <c r="AY155" s="1197">
        <f t="shared" si="176"/>
        <v>0</v>
      </c>
      <c r="AZ155" s="169">
        <f t="shared" si="173"/>
        <v>0</v>
      </c>
      <c r="BA155" s="1197">
        <f>BA229-AY229+BA230-AY230</f>
        <v>0</v>
      </c>
      <c r="BB155" s="1197">
        <f t="shared" ref="BB155:BD155" si="177">BB229-BA229+BB230-BA230</f>
        <v>0</v>
      </c>
      <c r="BC155" s="1197">
        <f t="shared" si="177"/>
        <v>0</v>
      </c>
      <c r="BD155" s="1197">
        <f t="shared" si="177"/>
        <v>0</v>
      </c>
      <c r="BE155" s="169">
        <f t="shared" ref="BE155" si="178">+SUM(BA155:BD155)</f>
        <v>0</v>
      </c>
      <c r="BF155" s="1197">
        <f>BF229-BD229+BF230-BD230</f>
        <v>0</v>
      </c>
      <c r="BG155" s="1197">
        <f t="shared" ref="BG155:BI155" si="179">BG229-BF229+BG230-BF230</f>
        <v>0</v>
      </c>
      <c r="BH155" s="1197">
        <f t="shared" si="179"/>
        <v>0</v>
      </c>
      <c r="BI155" s="1197">
        <f t="shared" si="179"/>
        <v>0</v>
      </c>
      <c r="BJ155" s="169">
        <f t="shared" ref="BJ155" si="180">+SUM(BF155:BI155)</f>
        <v>0</v>
      </c>
      <c r="BK155" s="473"/>
      <c r="BL155" s="473"/>
      <c r="BM155" s="473"/>
      <c r="BN155" s="473"/>
      <c r="BO155" s="473"/>
      <c r="BP155" s="473"/>
      <c r="BQ155" s="474"/>
      <c r="BR155" s="469"/>
      <c r="BS155" s="469"/>
      <c r="BZ155" s="469"/>
      <c r="CA155" s="469"/>
      <c r="CB155" s="469"/>
    </row>
    <row r="156" spans="1:80" ht="13.5" customHeight="1">
      <c r="A156" s="469"/>
      <c r="B156" s="477" t="s">
        <v>176</v>
      </c>
      <c r="C156" s="215"/>
      <c r="D156" s="168"/>
      <c r="E156" s="168"/>
      <c r="F156" s="168"/>
      <c r="G156" s="169"/>
      <c r="H156" s="215"/>
      <c r="I156" s="168"/>
      <c r="J156" s="168"/>
      <c r="K156" s="168"/>
      <c r="L156" s="169">
        <v>0</v>
      </c>
      <c r="M156" s="168">
        <v>0.03</v>
      </c>
      <c r="N156" s="168">
        <f>0.662-M156</f>
        <v>0.63200000000000001</v>
      </c>
      <c r="O156" s="168">
        <f>0.711-SUM(M156:N156)</f>
        <v>4.8999999999999932E-2</v>
      </c>
      <c r="P156" s="168">
        <f>0.303-M156-N156-O156</f>
        <v>-0.40799999999999992</v>
      </c>
      <c r="Q156" s="169">
        <f t="shared" si="166"/>
        <v>0.30300000000000005</v>
      </c>
      <c r="R156" s="168">
        <v>0</v>
      </c>
      <c r="S156" s="168">
        <v>0</v>
      </c>
      <c r="T156" s="168">
        <v>0</v>
      </c>
      <c r="U156" s="168">
        <f>1.208-T156-S156-R156</f>
        <v>1.208</v>
      </c>
      <c r="V156" s="169">
        <f t="shared" si="167"/>
        <v>1.208</v>
      </c>
      <c r="W156" s="168">
        <v>0</v>
      </c>
      <c r="X156" s="471">
        <v>0</v>
      </c>
      <c r="Y156" s="471">
        <v>0</v>
      </c>
      <c r="Z156" s="168">
        <f>0.491-SUM(W156:Y156)</f>
        <v>0.49099999999999999</v>
      </c>
      <c r="AA156" s="169">
        <f>+SUM(W156:Z156)</f>
        <v>0.49099999999999999</v>
      </c>
      <c r="AB156" s="478">
        <v>0</v>
      </c>
      <c r="AC156" s="168">
        <v>0</v>
      </c>
      <c r="AD156" s="168">
        <f>0-AC156-AB156</f>
        <v>0</v>
      </c>
      <c r="AE156" s="168">
        <f>-13.42-AD156-AC156-AB156</f>
        <v>-13.42</v>
      </c>
      <c r="AF156" s="169">
        <f>+SUM(AB156:AE156)</f>
        <v>-13.42</v>
      </c>
      <c r="AG156" s="480">
        <f>-11.594</f>
        <v>-11.593999999999999</v>
      </c>
      <c r="AH156" s="472">
        <f>-13.753-AG156</f>
        <v>-2.1590000000000007</v>
      </c>
      <c r="AI156" s="168">
        <f>-15.797-AH156-AG156</f>
        <v>-2.0440000000000005</v>
      </c>
      <c r="AJ156" s="168">
        <f>-16.707-0.945-SUM(AG156:AI156)</f>
        <v>-1.8550000000000004</v>
      </c>
      <c r="AK156" s="169">
        <f>+SUM(AG156:AJ156)</f>
        <v>-17.652000000000001</v>
      </c>
      <c r="AL156" s="480">
        <v>0</v>
      </c>
      <c r="AM156" s="168">
        <f>0.382-AL156-8.067</f>
        <v>-7.6850000000000005</v>
      </c>
      <c r="AN156" s="1197">
        <f>-11.193+0.433-AM156-AL156</f>
        <v>-3.0749999999999993</v>
      </c>
      <c r="AO156" s="472">
        <f>0.467-12.167-AN156-AM156-AL156</f>
        <v>-0.9399999999999995</v>
      </c>
      <c r="AP156" s="169">
        <f t="shared" si="171"/>
        <v>-11.7</v>
      </c>
      <c r="AQ156" s="1221">
        <v>0.153</v>
      </c>
      <c r="AR156" s="168">
        <f>1.284-AQ156</f>
        <v>1.131</v>
      </c>
      <c r="AS156" s="1197">
        <f>-24.365+2.304-AR156-AQ156</f>
        <v>-23.344999999999999</v>
      </c>
      <c r="AT156" s="1197">
        <f>3.966-33.108-AS156-AR156-AQ156</f>
        <v>-7.0809999999999969</v>
      </c>
      <c r="AU156" s="169">
        <f t="shared" si="172"/>
        <v>-29.141999999999996</v>
      </c>
      <c r="AV156" s="481">
        <v>0</v>
      </c>
      <c r="AW156" s="479">
        <v>0</v>
      </c>
      <c r="AX156" s="479">
        <v>0</v>
      </c>
      <c r="AY156" s="479">
        <v>0</v>
      </c>
      <c r="AZ156" s="169">
        <f t="shared" si="173"/>
        <v>0</v>
      </c>
      <c r="BA156" s="481">
        <v>0</v>
      </c>
      <c r="BB156" s="479">
        <v>0</v>
      </c>
      <c r="BC156" s="479">
        <v>0</v>
      </c>
      <c r="BD156" s="479">
        <v>0</v>
      </c>
      <c r="BE156" s="169">
        <f t="shared" si="174"/>
        <v>0</v>
      </c>
      <c r="BF156" s="481">
        <v>0</v>
      </c>
      <c r="BG156" s="479">
        <v>0</v>
      </c>
      <c r="BH156" s="479">
        <v>0</v>
      </c>
      <c r="BI156" s="479">
        <v>0</v>
      </c>
      <c r="BJ156" s="169">
        <f t="shared" si="175"/>
        <v>0</v>
      </c>
      <c r="BK156" s="473"/>
      <c r="BL156" s="473"/>
      <c r="BM156" s="473"/>
      <c r="BN156" s="473"/>
      <c r="BO156" s="473"/>
      <c r="BP156" s="473"/>
      <c r="BQ156" s="474"/>
      <c r="BR156" s="469"/>
      <c r="BS156" s="469"/>
      <c r="BZ156" s="469"/>
      <c r="CA156" s="469"/>
      <c r="CB156" s="469"/>
    </row>
    <row r="157" spans="1:80" ht="13.5" customHeight="1">
      <c r="A157" s="469"/>
      <c r="B157" s="476" t="s">
        <v>177</v>
      </c>
      <c r="C157" s="215"/>
      <c r="D157" s="168"/>
      <c r="E157" s="215"/>
      <c r="F157" s="215"/>
      <c r="G157" s="169"/>
      <c r="H157" s="215"/>
      <c r="I157" s="215"/>
      <c r="J157" s="215"/>
      <c r="K157" s="215"/>
      <c r="L157" s="169"/>
      <c r="M157" s="215"/>
      <c r="N157" s="215"/>
      <c r="O157" s="215"/>
      <c r="P157" s="168"/>
      <c r="Q157" s="169"/>
      <c r="R157" s="168"/>
      <c r="S157" s="168"/>
      <c r="T157" s="168"/>
      <c r="U157" s="168"/>
      <c r="V157" s="169"/>
      <c r="W157" s="168"/>
      <c r="X157" s="471"/>
      <c r="Y157" s="471"/>
      <c r="Z157" s="168"/>
      <c r="AA157" s="169"/>
      <c r="AB157" s="471"/>
      <c r="AC157" s="479"/>
      <c r="AD157" s="479"/>
      <c r="AE157" s="168"/>
      <c r="AF157" s="169"/>
      <c r="AG157" s="471"/>
      <c r="AH157" s="472"/>
      <c r="AI157" s="479"/>
      <c r="AJ157" s="168"/>
      <c r="AK157" s="169"/>
      <c r="AL157" s="168"/>
      <c r="AM157" s="479"/>
      <c r="AN157" s="479"/>
      <c r="AO157" s="472"/>
      <c r="AP157" s="169"/>
      <c r="AQ157" s="472"/>
      <c r="AR157" s="479"/>
      <c r="AS157" s="479"/>
      <c r="AT157" s="479"/>
      <c r="AU157" s="169"/>
      <c r="AV157" s="471"/>
      <c r="AW157" s="479"/>
      <c r="AX157" s="479"/>
      <c r="AY157" s="479"/>
      <c r="AZ157" s="169"/>
      <c r="BA157" s="471"/>
      <c r="BB157" s="479"/>
      <c r="BC157" s="479"/>
      <c r="BD157" s="479"/>
      <c r="BE157" s="169"/>
      <c r="BF157" s="471"/>
      <c r="BG157" s="479"/>
      <c r="BH157" s="479"/>
      <c r="BI157" s="479"/>
      <c r="BJ157" s="169"/>
      <c r="BK157" s="473"/>
      <c r="BL157" s="473"/>
      <c r="BM157" s="473"/>
      <c r="BN157" s="473"/>
      <c r="BO157" s="473"/>
      <c r="BP157" s="473"/>
      <c r="BQ157" s="474"/>
      <c r="BR157" s="469"/>
      <c r="BS157" s="469"/>
      <c r="BZ157" s="469"/>
      <c r="CA157" s="469"/>
      <c r="CB157" s="469"/>
    </row>
    <row r="158" spans="1:80" ht="13.5" customHeight="1">
      <c r="A158" s="469"/>
      <c r="B158" s="477" t="s">
        <v>178</v>
      </c>
      <c r="C158" s="215"/>
      <c r="D158" s="168"/>
      <c r="E158" s="168"/>
      <c r="F158" s="168"/>
      <c r="G158" s="169"/>
      <c r="H158" s="215"/>
      <c r="I158" s="168"/>
      <c r="J158" s="168"/>
      <c r="K158" s="168"/>
      <c r="L158" s="169">
        <v>-80.180999999999997</v>
      </c>
      <c r="M158" s="168">
        <v>25.611000000000001</v>
      </c>
      <c r="N158" s="168">
        <f>28.162-M158</f>
        <v>2.5509999999999984</v>
      </c>
      <c r="O158" s="168">
        <f>19.403-SUM(M158:N158)</f>
        <v>-8.7590000000000003</v>
      </c>
      <c r="P158" s="168">
        <f>-25.715-M158-N158-O158</f>
        <v>-45.117999999999995</v>
      </c>
      <c r="Q158" s="169">
        <f t="shared" si="166"/>
        <v>-25.714999999999996</v>
      </c>
      <c r="R158" s="168">
        <v>15.984</v>
      </c>
      <c r="S158" s="168">
        <f>8.85-R158</f>
        <v>-7.1340000000000003</v>
      </c>
      <c r="T158" s="168">
        <f>1.578-S158-R158</f>
        <v>-7.2720000000000002</v>
      </c>
      <c r="U158" s="168">
        <f>-28.517-T158-S158-R158</f>
        <v>-30.094999999999999</v>
      </c>
      <c r="V158" s="169">
        <f t="shared" si="167"/>
        <v>-28.516999999999999</v>
      </c>
      <c r="W158" s="168">
        <v>-4.3440000000000003</v>
      </c>
      <c r="X158" s="471">
        <f>1.884-W158</f>
        <v>6.2279999999999998</v>
      </c>
      <c r="Y158" s="471">
        <f>25.734-X158-W158</f>
        <v>23.85</v>
      </c>
      <c r="Z158" s="168">
        <f>-71.614-SUM(W158:Y158)</f>
        <v>-97.348000000000013</v>
      </c>
      <c r="AA158" s="169">
        <f t="shared" si="168"/>
        <v>-71.614000000000004</v>
      </c>
      <c r="AB158" s="471">
        <v>-1.038</v>
      </c>
      <c r="AC158" s="168">
        <f>-11.865-AB158</f>
        <v>-10.827</v>
      </c>
      <c r="AD158" s="168">
        <f>-15.946-AC158-AB158</f>
        <v>-4.0809999999999995</v>
      </c>
      <c r="AE158" s="168">
        <f>-94.326-AD158-AC158-AB158</f>
        <v>-78.38</v>
      </c>
      <c r="AF158" s="169">
        <f t="shared" si="169"/>
        <v>-94.325999999999993</v>
      </c>
      <c r="AG158" s="168">
        <v>40.576999999999998</v>
      </c>
      <c r="AH158" s="472">
        <f>30.348-AG158</f>
        <v>-10.228999999999999</v>
      </c>
      <c r="AI158" s="168">
        <f>28.743-AH158-AG158</f>
        <v>-1.605000000000004</v>
      </c>
      <c r="AJ158" s="168">
        <f>-70.194-SUM(AG158:AI158)</f>
        <v>-98.936999999999998</v>
      </c>
      <c r="AK158" s="169">
        <f t="shared" si="170"/>
        <v>-70.194000000000003</v>
      </c>
      <c r="AL158" s="168">
        <v>-30.196000000000002</v>
      </c>
      <c r="AM158" s="168">
        <f>-41.879-AL158</f>
        <v>-11.682999999999996</v>
      </c>
      <c r="AN158" s="168">
        <f>-67.938-AM158-AL158</f>
        <v>-26.059000000000008</v>
      </c>
      <c r="AO158" s="472">
        <f>-212.862-AN158-AM158-AL158</f>
        <v>-144.92400000000001</v>
      </c>
      <c r="AP158" s="169">
        <f t="shared" ref="AP158:AP164" si="181">+SUM(AL158:AO158)</f>
        <v>-212.86200000000002</v>
      </c>
      <c r="AQ158" s="472">
        <v>56.473999999999997</v>
      </c>
      <c r="AR158" s="168">
        <f>65.591-AQ158</f>
        <v>9.1169999999999973</v>
      </c>
      <c r="AS158" s="168">
        <f>46.682-AR158-AQ158</f>
        <v>-18.908999999999992</v>
      </c>
      <c r="AT158" s="168">
        <f>-38.914-AS158-AR158-AQ158</f>
        <v>-85.596000000000004</v>
      </c>
      <c r="AU158" s="169">
        <f t="shared" ref="AU158:AU164" si="182">+SUM(AQ158:AT158)</f>
        <v>-38.914000000000001</v>
      </c>
      <c r="AV158" s="168">
        <f>+AT209-AV209+AT210-AV210</f>
        <v>-404.41815400122766</v>
      </c>
      <c r="AW158" s="168">
        <f>+AV209-AW209+AV210-AW210</f>
        <v>-233.09511062063598</v>
      </c>
      <c r="AX158" s="168">
        <f>+AW209-AX209+AW210-AX210</f>
        <v>-76.056637147441961</v>
      </c>
      <c r="AY158" s="168">
        <f>+AX209-AY209+AX210-AY210</f>
        <v>-52.156506197241924</v>
      </c>
      <c r="AZ158" s="169">
        <f t="shared" ref="AZ158:AZ164" si="183">+SUM(AV158:AY158)</f>
        <v>-765.72640796654753</v>
      </c>
      <c r="BA158" s="168">
        <f>+AY209-BA209+AY210-BA210</f>
        <v>107.81209366878988</v>
      </c>
      <c r="BB158" s="168">
        <f>+BA209-BB209+BA210-BB210</f>
        <v>-127.12913365372924</v>
      </c>
      <c r="BC158" s="168">
        <f>+BB209-BC209+BB210-BC210</f>
        <v>-81.726812343026722</v>
      </c>
      <c r="BD158" s="168">
        <f>+BC209-BD209+BC210-BD210</f>
        <v>-58.279631979591159</v>
      </c>
      <c r="BE158" s="169">
        <f t="shared" ref="BE158:BE164" si="184">+SUM(BA158:BD158)</f>
        <v>-159.32348430755724</v>
      </c>
      <c r="BF158" s="168">
        <f>+BD209-BF209+BD210-BF210</f>
        <v>113.71528448472827</v>
      </c>
      <c r="BG158" s="168">
        <f>+BF209-BG209+BF210-BG210</f>
        <v>-137.62589589582808</v>
      </c>
      <c r="BH158" s="168">
        <f>+BG209-BH209+BG210-BH210</f>
        <v>-87.161439333771568</v>
      </c>
      <c r="BI158" s="168">
        <f>+BH209-BI209+BH210-BI210</f>
        <v>-65.324124742689037</v>
      </c>
      <c r="BJ158" s="169">
        <f t="shared" ref="BJ158:BJ164" si="185">+SUM(BF158:BI158)</f>
        <v>-176.39617548756041</v>
      </c>
      <c r="BK158" s="473"/>
      <c r="BL158" s="473"/>
      <c r="BM158" s="473"/>
      <c r="BN158" s="473"/>
      <c r="BO158" s="473"/>
      <c r="BP158" s="473"/>
      <c r="BQ158" s="474"/>
      <c r="BR158" s="469"/>
      <c r="BS158" s="469"/>
      <c r="BZ158" s="469"/>
      <c r="CA158" s="469"/>
      <c r="CB158" s="469"/>
    </row>
    <row r="159" spans="1:80" ht="13.5" customHeight="1">
      <c r="A159" s="469"/>
      <c r="B159" s="477" t="s">
        <v>179</v>
      </c>
      <c r="C159" s="215"/>
      <c r="D159" s="168"/>
      <c r="E159" s="168"/>
      <c r="F159" s="168"/>
      <c r="G159" s="169"/>
      <c r="H159" s="215"/>
      <c r="I159" s="168"/>
      <c r="J159" s="168"/>
      <c r="K159" s="168"/>
      <c r="L159" s="169">
        <v>91.471999999999994</v>
      </c>
      <c r="M159" s="168">
        <v>-42.851999999999997</v>
      </c>
      <c r="N159" s="168">
        <f>-45.72-M159</f>
        <v>-2.8680000000000021</v>
      </c>
      <c r="O159" s="168">
        <f>-31.38-SUM(M159:N159)</f>
        <v>14.34</v>
      </c>
      <c r="P159" s="168">
        <f>-38.258-M159-N159-O159</f>
        <v>-6.8780000000000037</v>
      </c>
      <c r="Q159" s="169">
        <f t="shared" si="166"/>
        <v>-38.258000000000003</v>
      </c>
      <c r="R159" s="168">
        <v>-69.789000000000001</v>
      </c>
      <c r="S159" s="168">
        <f>-5.051-R159</f>
        <v>64.738</v>
      </c>
      <c r="T159" s="168">
        <f>-24.023-S159-R159</f>
        <v>-18.971999999999994</v>
      </c>
      <c r="U159" s="168">
        <f>-48.668-T159-S159-R159</f>
        <v>-24.644999999999996</v>
      </c>
      <c r="V159" s="169">
        <f t="shared" si="167"/>
        <v>-48.667999999999992</v>
      </c>
      <c r="W159" s="168">
        <v>76.253</v>
      </c>
      <c r="X159" s="471">
        <f>90.293-W159</f>
        <v>14.040000000000006</v>
      </c>
      <c r="Y159" s="471">
        <f>13.91-X159-W159</f>
        <v>-76.38300000000001</v>
      </c>
      <c r="Z159" s="168">
        <f>93.318-SUM(W159:Y159)</f>
        <v>79.408000000000001</v>
      </c>
      <c r="AA159" s="169">
        <f t="shared" si="168"/>
        <v>93.317999999999998</v>
      </c>
      <c r="AB159" s="471">
        <v>-6.0650000000000004</v>
      </c>
      <c r="AC159" s="168">
        <f>28.423-AB159</f>
        <v>34.488</v>
      </c>
      <c r="AD159" s="168">
        <f>109.402-AC159-AB159</f>
        <v>80.978999999999999</v>
      </c>
      <c r="AE159" s="168">
        <f>157.663-AD159-AC159-AB159</f>
        <v>48.26100000000001</v>
      </c>
      <c r="AF159" s="169">
        <f t="shared" si="169"/>
        <v>157.66300000000001</v>
      </c>
      <c r="AG159" s="168">
        <v>-24.443000000000001</v>
      </c>
      <c r="AH159" s="472">
        <f>41.38-AG159</f>
        <v>65.823000000000008</v>
      </c>
      <c r="AI159" s="168">
        <f>23.876-AH159-AG159</f>
        <v>-17.504000000000001</v>
      </c>
      <c r="AJ159" s="168">
        <f>168.319-SUM(AG159:AI159)</f>
        <v>144.44299999999998</v>
      </c>
      <c r="AK159" s="169">
        <f t="shared" si="170"/>
        <v>168.31899999999999</v>
      </c>
      <c r="AL159" s="168">
        <v>-62.256999999999998</v>
      </c>
      <c r="AM159" s="168">
        <f>-31.082-AL159</f>
        <v>31.174999999999997</v>
      </c>
      <c r="AN159" s="168">
        <f>-16.558-AM159-AL159</f>
        <v>14.524000000000001</v>
      </c>
      <c r="AO159" s="472">
        <f>79.719-AN159-AM159-AL159</f>
        <v>96.276999999999987</v>
      </c>
      <c r="AP159" s="169">
        <f t="shared" si="181"/>
        <v>79.718999999999994</v>
      </c>
      <c r="AQ159" s="472">
        <v>-41.109000000000002</v>
      </c>
      <c r="AR159" s="168">
        <f>40.831-AQ159</f>
        <v>81.94</v>
      </c>
      <c r="AS159" s="168">
        <f>4.327-AR159-AQ159</f>
        <v>-36.503999999999998</v>
      </c>
      <c r="AT159" s="168">
        <f>25.334-AS159-AR159-AQ159</f>
        <v>21.006999999999998</v>
      </c>
      <c r="AU159" s="169">
        <f t="shared" si="182"/>
        <v>25.333999999999996</v>
      </c>
      <c r="AV159" s="168">
        <f>+(AT211-AV211)+(AV226-AT226)</f>
        <v>404.2498950983906</v>
      </c>
      <c r="AW159" s="168">
        <f>+(AV211-AW211)+(AW226-AV226)</f>
        <v>189.03085498511888</v>
      </c>
      <c r="AX159" s="168">
        <f>+(AW211-AX211)+(AX226-AW226)</f>
        <v>-65.716797069671316</v>
      </c>
      <c r="AY159" s="168">
        <f>+(AX211-AY211)+(AY226-AX226)</f>
        <v>43.668529294014263</v>
      </c>
      <c r="AZ159" s="169">
        <f t="shared" si="183"/>
        <v>571.23248230785248</v>
      </c>
      <c r="BA159" s="168">
        <f>+(AY211-BA211)+(BA226-AY226)</f>
        <v>29.657011987337398</v>
      </c>
      <c r="BB159" s="168">
        <f>+(BA211-BB211)+(BB226-BA226)</f>
        <v>107.57864645770439</v>
      </c>
      <c r="BC159" s="168">
        <f>+(BB211-BC211)+(BC226-BB226)</f>
        <v>-72.566994872040993</v>
      </c>
      <c r="BD159" s="168">
        <f>+(BC211-BD211)+(BD226-BC226)</f>
        <v>48.615758349837392</v>
      </c>
      <c r="BE159" s="169">
        <f t="shared" si="184"/>
        <v>113.28442192283819</v>
      </c>
      <c r="BF159" s="168">
        <f>+(BD211-BF211)+(BF226-BD226)</f>
        <v>35.382302028409526</v>
      </c>
      <c r="BG159" s="168">
        <f>+(BF211-BG211)+(BG226-BF226)</f>
        <v>116.55073123561249</v>
      </c>
      <c r="BH159" s="168">
        <f>+(BG211-BH211)+(BH226-BG226)</f>
        <v>-80.790025444556932</v>
      </c>
      <c r="BI159" s="168">
        <f>+(BH211-BI211)+(BI226-BH226)</f>
        <v>54.280678816290504</v>
      </c>
      <c r="BJ159" s="169">
        <f t="shared" si="185"/>
        <v>125.42368663575559</v>
      </c>
      <c r="BK159" s="473"/>
      <c r="BL159" s="473"/>
      <c r="BM159" s="473"/>
      <c r="BN159" s="473"/>
      <c r="BO159" s="473"/>
      <c r="BP159" s="473"/>
      <c r="BQ159" s="474"/>
      <c r="BR159" s="469"/>
      <c r="BS159" s="469"/>
      <c r="BZ159" s="469"/>
      <c r="CA159" s="469"/>
      <c r="CB159" s="469"/>
    </row>
    <row r="160" spans="1:80" ht="13.5" customHeight="1">
      <c r="A160" s="469"/>
      <c r="B160" s="477" t="s">
        <v>180</v>
      </c>
      <c r="C160" s="215"/>
      <c r="D160" s="168"/>
      <c r="E160" s="168"/>
      <c r="F160" s="168"/>
      <c r="G160" s="169"/>
      <c r="H160" s="215"/>
      <c r="I160" s="168"/>
      <c r="J160" s="168"/>
      <c r="K160" s="168"/>
      <c r="L160" s="169">
        <v>-6.524</v>
      </c>
      <c r="M160" s="168">
        <v>-3.0449999999999999</v>
      </c>
      <c r="N160" s="168">
        <f>-7.249-M160</f>
        <v>-4.2039999999999997</v>
      </c>
      <c r="O160" s="168">
        <f>-8.243-SUM(M160:N160)</f>
        <v>-0.99400000000000066</v>
      </c>
      <c r="P160" s="168">
        <f>-11.385-M160-N160-O160</f>
        <v>-3.1419999999999995</v>
      </c>
      <c r="Q160" s="169">
        <f t="shared" si="166"/>
        <v>-11.385</v>
      </c>
      <c r="R160" s="168">
        <v>-1.4219999999999999</v>
      </c>
      <c r="S160" s="168">
        <f>-4.089-R160</f>
        <v>-2.6670000000000007</v>
      </c>
      <c r="T160" s="168">
        <f>-6.783-S160-R160</f>
        <v>-2.694</v>
      </c>
      <c r="U160" s="168">
        <f>-9.306-T160-S160-R160</f>
        <v>-2.5229999999999988</v>
      </c>
      <c r="V160" s="169">
        <f t="shared" si="167"/>
        <v>-9.3059999999999992</v>
      </c>
      <c r="W160" s="168">
        <v>-5.8150000000000004</v>
      </c>
      <c r="X160" s="471">
        <f>-8.712-W160</f>
        <v>-2.8969999999999994</v>
      </c>
      <c r="Y160" s="471">
        <f>-10.548-X160-W160</f>
        <v>-1.8360000000000003</v>
      </c>
      <c r="Z160" s="168">
        <f>-13.034-SUM(W160:Y160)</f>
        <v>-2.4860000000000007</v>
      </c>
      <c r="AA160" s="169">
        <f t="shared" si="168"/>
        <v>-13.034000000000001</v>
      </c>
      <c r="AB160" s="471">
        <v>-3.8730000000000002</v>
      </c>
      <c r="AC160" s="168">
        <f>-9.85-AB160</f>
        <v>-5.9769999999999994</v>
      </c>
      <c r="AD160" s="168">
        <f>-11.581-AC160-AB160</f>
        <v>-1.7309999999999999</v>
      </c>
      <c r="AE160" s="168">
        <f>-17.108-AD160-AC160-AB160</f>
        <v>-5.5270000000000019</v>
      </c>
      <c r="AF160" s="169">
        <f t="shared" si="169"/>
        <v>-17.108000000000001</v>
      </c>
      <c r="AG160" s="168">
        <v>-5.6509999999999998</v>
      </c>
      <c r="AH160" s="472">
        <f>-13.342-AG160</f>
        <v>-7.6910000000000007</v>
      </c>
      <c r="AI160" s="168">
        <f>-22.716-AH160-AG160</f>
        <v>-9.3740000000000006</v>
      </c>
      <c r="AJ160" s="168">
        <f>-32.892-SUM(AG160:AI160)</f>
        <v>-10.176000000000002</v>
      </c>
      <c r="AK160" s="169">
        <f t="shared" si="170"/>
        <v>-32.892000000000003</v>
      </c>
      <c r="AL160" s="168">
        <v>-15.602</v>
      </c>
      <c r="AM160" s="168">
        <f>-23.343-AL160</f>
        <v>-7.7409999999999997</v>
      </c>
      <c r="AN160" s="168">
        <f>-30.808-AM160-AL160</f>
        <v>-7.4649999999999999</v>
      </c>
      <c r="AO160" s="472">
        <f>-42.548-AN160-AM160-AL160</f>
        <v>-11.739999999999998</v>
      </c>
      <c r="AP160" s="169">
        <f t="shared" si="181"/>
        <v>-42.548000000000002</v>
      </c>
      <c r="AQ160" s="472">
        <v>-7.19</v>
      </c>
      <c r="AR160" s="168">
        <f>-13.585-AQ160</f>
        <v>-6.3950000000000005</v>
      </c>
      <c r="AS160" s="168">
        <f>-17.703-AR160-AQ160</f>
        <v>-4.1179999999999994</v>
      </c>
      <c r="AT160" s="168">
        <f>-24.502-AS160-AR160-AQ160</f>
        <v>-6.7990000000000004</v>
      </c>
      <c r="AU160" s="169">
        <f t="shared" si="182"/>
        <v>-24.501999999999999</v>
      </c>
      <c r="AV160" s="168">
        <f>+AT215-AV215</f>
        <v>-50.77469384861044</v>
      </c>
      <c r="AW160" s="168">
        <f>+AV215-AW215</f>
        <v>-1.0940107526110694</v>
      </c>
      <c r="AX160" s="168">
        <f>+AW215-AX215</f>
        <v>2.4443385108734788</v>
      </c>
      <c r="AY160" s="168">
        <f>+AX215-AY215</f>
        <v>-8.4974087666749654</v>
      </c>
      <c r="AZ160" s="169">
        <f t="shared" si="183"/>
        <v>-57.921774857022996</v>
      </c>
      <c r="BA160" s="168">
        <f>+AY215-BA215</f>
        <v>-14.575799842404834</v>
      </c>
      <c r="BB160" s="168">
        <f>+BA215-BB215</f>
        <v>9.7023660546421411</v>
      </c>
      <c r="BC160" s="168">
        <f>+BB215-BC215</f>
        <v>2.752531211325703</v>
      </c>
      <c r="BD160" s="168">
        <f>+BC215-BD215</f>
        <v>-9.3659000558516823</v>
      </c>
      <c r="BE160" s="169">
        <f t="shared" si="184"/>
        <v>-11.486802632288672</v>
      </c>
      <c r="BF160" s="168">
        <f>+BD215-BF215</f>
        <v>-16.236063231618715</v>
      </c>
      <c r="BG160" s="168">
        <f>+BF215-BG215</f>
        <v>10.709269759109418</v>
      </c>
      <c r="BH160" s="168">
        <f>+BG215-BH215</f>
        <v>3.1549344855035315</v>
      </c>
      <c r="BI160" s="168">
        <f>+BH215-BI215</f>
        <v>-10.345839610425998</v>
      </c>
      <c r="BJ160" s="169">
        <f t="shared" si="185"/>
        <v>-12.717698597431763</v>
      </c>
      <c r="BK160" s="473"/>
      <c r="BL160" s="473"/>
      <c r="BM160" s="473"/>
      <c r="BN160" s="473"/>
      <c r="BO160" s="473"/>
      <c r="BP160" s="473"/>
      <c r="BQ160" s="474"/>
      <c r="BR160" s="469"/>
      <c r="BS160" s="469"/>
      <c r="BZ160" s="469"/>
      <c r="CA160" s="469"/>
      <c r="CB160" s="469"/>
    </row>
    <row r="161" spans="1:80" ht="13.5" customHeight="1">
      <c r="A161" s="469"/>
      <c r="B161" s="477" t="s">
        <v>181</v>
      </c>
      <c r="C161" s="215"/>
      <c r="D161" s="168"/>
      <c r="E161" s="168"/>
      <c r="F161" s="168"/>
      <c r="G161" s="169"/>
      <c r="H161" s="215"/>
      <c r="I161" s="168"/>
      <c r="J161" s="168"/>
      <c r="K161" s="168"/>
      <c r="L161" s="169">
        <v>-4.9109999999999996</v>
      </c>
      <c r="M161" s="168">
        <v>-7.2309999999999999</v>
      </c>
      <c r="N161" s="168">
        <f>0.809-M161</f>
        <v>8.0399999999999991</v>
      </c>
      <c r="O161" s="168">
        <f>-0.708-SUM(M161:N161)</f>
        <v>-1.5169999999999992</v>
      </c>
      <c r="P161" s="168">
        <f>-10.532-M161-N161-O161</f>
        <v>-9.8239999999999998</v>
      </c>
      <c r="Q161" s="169">
        <f t="shared" si="166"/>
        <v>-10.532</v>
      </c>
      <c r="R161" s="168">
        <v>-26.763999999999999</v>
      </c>
      <c r="S161" s="168">
        <f>-12.621-R161</f>
        <v>14.142999999999999</v>
      </c>
      <c r="T161" s="168">
        <f>4.192-S161-R161</f>
        <v>16.813000000000002</v>
      </c>
      <c r="U161" s="168">
        <f>11.053-T161-S161-R161</f>
        <v>6.8610000000000007</v>
      </c>
      <c r="V161" s="169">
        <f t="shared" si="167"/>
        <v>11.053000000000003</v>
      </c>
      <c r="W161" s="168">
        <v>-6.2320000000000002</v>
      </c>
      <c r="X161" s="471">
        <f>-0.957-W161</f>
        <v>5.2750000000000004</v>
      </c>
      <c r="Y161" s="471">
        <f>-7.535-X161-W161</f>
        <v>-6.5780000000000003</v>
      </c>
      <c r="Z161" s="168">
        <f>-5.127-SUM(W161:Y161)</f>
        <v>2.4080000000000004</v>
      </c>
      <c r="AA161" s="169">
        <f t="shared" si="168"/>
        <v>-5.1269999999999998</v>
      </c>
      <c r="AB161" s="471">
        <v>1.524</v>
      </c>
      <c r="AC161" s="168">
        <f>-9.724-AB161</f>
        <v>-11.248000000000001</v>
      </c>
      <c r="AD161" s="168">
        <f>-10.321-AC161-AB161</f>
        <v>-0.59699999999999864</v>
      </c>
      <c r="AE161" s="168">
        <f>-25.557-AD161-AC161-AB161</f>
        <v>-15.236000000000001</v>
      </c>
      <c r="AF161" s="169">
        <f t="shared" si="169"/>
        <v>-25.556999999999999</v>
      </c>
      <c r="AG161" s="168">
        <v>-4.6440000000000001</v>
      </c>
      <c r="AH161" s="472">
        <f>-2.163-AG161</f>
        <v>2.4810000000000003</v>
      </c>
      <c r="AI161" s="168">
        <f>2.016-AH161-AG161</f>
        <v>4.1790000000000003</v>
      </c>
      <c r="AJ161" s="168">
        <f>11.324-SUM(AG161:AI161)</f>
        <v>9.3079999999999998</v>
      </c>
      <c r="AK161" s="169">
        <f t="shared" si="170"/>
        <v>11.324</v>
      </c>
      <c r="AL161" s="168">
        <v>-9.6750000000000007</v>
      </c>
      <c r="AM161" s="168">
        <f>-1.695-AL161</f>
        <v>7.98</v>
      </c>
      <c r="AN161" s="1197">
        <f>6.183-AM161-AL161</f>
        <v>7.8780000000000001</v>
      </c>
      <c r="AO161" s="472">
        <f>39.636-AN161-AM161-AL161</f>
        <v>33.453000000000003</v>
      </c>
      <c r="AP161" s="169">
        <f t="shared" si="181"/>
        <v>39.636000000000003</v>
      </c>
      <c r="AQ161" s="472">
        <v>-7.0490000000000004</v>
      </c>
      <c r="AR161" s="168">
        <f>-33.989-AQ161</f>
        <v>-26.939999999999998</v>
      </c>
      <c r="AS161" s="1197">
        <f>-82.916-AR161-AQ161</f>
        <v>-48.927</v>
      </c>
      <c r="AT161" s="1197">
        <f>-1.214-AS161-AR161-AQ161</f>
        <v>81.701999999999998</v>
      </c>
      <c r="AU161" s="169">
        <f t="shared" si="182"/>
        <v>-1.2139999999999986</v>
      </c>
      <c r="AV161" s="168">
        <f>+AT212-AV212</f>
        <v>-54.065287702077342</v>
      </c>
      <c r="AW161" s="168">
        <f>+AV212-AW212</f>
        <v>-14.684991969100054</v>
      </c>
      <c r="AX161" s="168">
        <f>+AW212-AX212</f>
        <v>-4.7915681402888737</v>
      </c>
      <c r="AY161" s="168">
        <f>+AX212-AY212</f>
        <v>-3.2858598904262237</v>
      </c>
      <c r="AZ161" s="169">
        <f t="shared" si="183"/>
        <v>-76.827707701892493</v>
      </c>
      <c r="BA161" s="168">
        <f>+AY212-BA212</f>
        <v>1.8607549582404914</v>
      </c>
      <c r="BB161" s="168">
        <f>+BA212-BB212</f>
        <v>-8.3905228211461349</v>
      </c>
      <c r="BC161" s="168">
        <f>+BB212-BC212</f>
        <v>-5.393969614639758</v>
      </c>
      <c r="BD161" s="168">
        <f>+BC212-BD212</f>
        <v>-3.8464557106530322</v>
      </c>
      <c r="BE161" s="169">
        <f t="shared" si="184"/>
        <v>-15.770193188198434</v>
      </c>
      <c r="BF161" s="168">
        <f>+BD212-BF212</f>
        <v>2.1135409526239357</v>
      </c>
      <c r="BG161" s="168">
        <f>+BF212-BG212</f>
        <v>-9.4961868168121271</v>
      </c>
      <c r="BH161" s="168">
        <f>+BG212-BH212</f>
        <v>-6.0141393140302455</v>
      </c>
      <c r="BI161" s="168">
        <f>+BH212-BI212</f>
        <v>-4.5073646072455347</v>
      </c>
      <c r="BJ161" s="169">
        <f t="shared" si="185"/>
        <v>-17.904149785463972</v>
      </c>
      <c r="BK161" s="473"/>
      <c r="BL161" s="473"/>
      <c r="BM161" s="473"/>
      <c r="BN161" s="473"/>
      <c r="BO161" s="473"/>
      <c r="BP161" s="473"/>
      <c r="BQ161" s="474"/>
      <c r="BR161" s="469"/>
      <c r="BS161" s="469"/>
      <c r="BZ161" s="469"/>
      <c r="CA161" s="469"/>
      <c r="CB161" s="469"/>
    </row>
    <row r="162" spans="1:80" ht="13.5" customHeight="1">
      <c r="A162" s="469"/>
      <c r="B162" s="477" t="s">
        <v>182</v>
      </c>
      <c r="C162" s="215"/>
      <c r="D162" s="168"/>
      <c r="E162" s="168"/>
      <c r="F162" s="168"/>
      <c r="G162" s="169"/>
      <c r="H162" s="215"/>
      <c r="I162" s="168"/>
      <c r="J162" s="168"/>
      <c r="K162" s="168"/>
      <c r="L162" s="169">
        <v>46.371000000000002</v>
      </c>
      <c r="M162" s="168">
        <v>-13.505000000000001</v>
      </c>
      <c r="N162" s="168">
        <f>-12.787-M162</f>
        <v>0.71799999999999997</v>
      </c>
      <c r="O162" s="168">
        <f>-8.234-SUM(M162:N162)</f>
        <v>4.5530000000000008</v>
      </c>
      <c r="P162" s="168">
        <f>30.693-M162-N162-O162</f>
        <v>38.927000000000007</v>
      </c>
      <c r="Q162" s="169">
        <f t="shared" si="166"/>
        <v>30.693000000000005</v>
      </c>
      <c r="R162" s="168">
        <v>-29.754000000000001</v>
      </c>
      <c r="S162" s="168">
        <f>-15.126-R162</f>
        <v>14.628000000000002</v>
      </c>
      <c r="T162" s="168">
        <f>11.333-S162-R162</f>
        <v>26.459</v>
      </c>
      <c r="U162" s="168">
        <f>-3.415-T162-S162-R162</f>
        <v>-14.748000000000001</v>
      </c>
      <c r="V162" s="169">
        <f t="shared" si="167"/>
        <v>-3.4150000000000009</v>
      </c>
      <c r="W162" s="168">
        <v>-4.516</v>
      </c>
      <c r="X162" s="471">
        <f>-5.202-W162</f>
        <v>-0.68599999999999994</v>
      </c>
      <c r="Y162" s="471">
        <f>-14.508-X162-W162</f>
        <v>-9.3059999999999992</v>
      </c>
      <c r="Z162" s="168">
        <f>-12.714-SUM(W162:Y162)</f>
        <v>1.7939999999999987</v>
      </c>
      <c r="AA162" s="169">
        <f t="shared" si="168"/>
        <v>-12.714</v>
      </c>
      <c r="AB162" s="471">
        <v>-9.1479999999999997</v>
      </c>
      <c r="AC162" s="168">
        <f>20.88-AB162</f>
        <v>30.027999999999999</v>
      </c>
      <c r="AD162" s="168">
        <f>22.628-AC162-AB162</f>
        <v>1.7480000000000011</v>
      </c>
      <c r="AE162" s="168">
        <f>53.172-AD162-AC162-AB162</f>
        <v>30.543999999999993</v>
      </c>
      <c r="AF162" s="169">
        <f t="shared" si="169"/>
        <v>53.171999999999997</v>
      </c>
      <c r="AG162" s="168">
        <v>-17.568999999999999</v>
      </c>
      <c r="AH162" s="472">
        <f>46.748-AG162</f>
        <v>64.316999999999993</v>
      </c>
      <c r="AI162" s="168">
        <f>75.578-AH162-AG162</f>
        <v>28.830000000000009</v>
      </c>
      <c r="AJ162" s="168">
        <f>57.861-SUM(AG162:AI162)</f>
        <v>-17.717000000000006</v>
      </c>
      <c r="AK162" s="169">
        <f t="shared" si="170"/>
        <v>57.860999999999997</v>
      </c>
      <c r="AL162" s="168">
        <v>6.1630000000000003</v>
      </c>
      <c r="AM162" s="168">
        <f>17.867-AL162</f>
        <v>11.704000000000001</v>
      </c>
      <c r="AN162" s="168">
        <f>24.859-AM162-AL162</f>
        <v>6.9920000000000009</v>
      </c>
      <c r="AO162" s="472">
        <f>92.749-AN162-AM162-AL162</f>
        <v>67.89</v>
      </c>
      <c r="AP162" s="169">
        <f t="shared" si="181"/>
        <v>92.748999999999995</v>
      </c>
      <c r="AQ162" s="472">
        <v>-8.5120000000000005</v>
      </c>
      <c r="AR162" s="168">
        <f>28.773-AQ162</f>
        <v>37.284999999999997</v>
      </c>
      <c r="AS162" s="168">
        <f>22.924-AR162-AQ162</f>
        <v>-5.8489999999999966</v>
      </c>
      <c r="AT162" s="168">
        <f>125.103-AS162-AR162-AQ162</f>
        <v>102.179</v>
      </c>
      <c r="AU162" s="169">
        <f t="shared" si="182"/>
        <v>125.10300000000001</v>
      </c>
      <c r="AV162" s="168">
        <f>+AV224-AT224</f>
        <v>-66.748538399508902</v>
      </c>
      <c r="AW162" s="168">
        <f t="shared" ref="AW162:AY163" si="186">+AW224-AV224</f>
        <v>71.5926940532961</v>
      </c>
      <c r="AX162" s="168">
        <f t="shared" si="186"/>
        <v>6.7491276734203893</v>
      </c>
      <c r="AY162" s="168">
        <f t="shared" si="186"/>
        <v>19.471762313636873</v>
      </c>
      <c r="AZ162" s="169">
        <f t="shared" si="183"/>
        <v>31.06504564084446</v>
      </c>
      <c r="BA162" s="168">
        <f>+BA224-AY224</f>
        <v>-51.208530398333323</v>
      </c>
      <c r="BB162" s="168">
        <f t="shared" ref="BB162:BD163" si="187">+BB224-BA224</f>
        <v>46.614015673034032</v>
      </c>
      <c r="BC162" s="168">
        <f t="shared" si="187"/>
        <v>29.966497859109836</v>
      </c>
      <c r="BD162" s="168">
        <f t="shared" si="187"/>
        <v>21.369198392516864</v>
      </c>
      <c r="BE162" s="169">
        <f t="shared" si="184"/>
        <v>46.741181526327409</v>
      </c>
      <c r="BF162" s="168">
        <f>+BF224-BD224</f>
        <v>-101.60302457071293</v>
      </c>
      <c r="BG162" s="168">
        <f t="shared" ref="BG162:BI163" si="188">+BG224-BF224</f>
        <v>45.875298631942542</v>
      </c>
      <c r="BH162" s="168">
        <f t="shared" si="188"/>
        <v>29.053813111257341</v>
      </c>
      <c r="BI162" s="168">
        <f t="shared" si="188"/>
        <v>21.774708247562899</v>
      </c>
      <c r="BJ162" s="169">
        <f t="shared" si="185"/>
        <v>-4.8992045799501511</v>
      </c>
      <c r="BK162" s="473"/>
      <c r="BL162" s="473"/>
      <c r="BM162" s="473"/>
      <c r="BN162" s="473"/>
      <c r="BO162" s="473"/>
      <c r="BP162" s="473"/>
      <c r="BQ162" s="474"/>
      <c r="BR162" s="469"/>
      <c r="BS162" s="469"/>
      <c r="BZ162" s="469"/>
      <c r="CA162" s="469"/>
      <c r="CB162" s="469"/>
    </row>
    <row r="163" spans="1:80" ht="13.5" customHeight="1">
      <c r="A163" s="469"/>
      <c r="B163" s="477" t="s">
        <v>183</v>
      </c>
      <c r="C163" s="215"/>
      <c r="D163" s="168"/>
      <c r="E163" s="168"/>
      <c r="F163" s="168"/>
      <c r="G163" s="169"/>
      <c r="H163" s="215"/>
      <c r="I163" s="168"/>
      <c r="J163" s="168"/>
      <c r="K163" s="168"/>
      <c r="L163" s="169">
        <v>-16.312000000000001</v>
      </c>
      <c r="M163" s="168">
        <v>-2.798</v>
      </c>
      <c r="N163" s="168">
        <f>-4.891-M163</f>
        <v>-2.093</v>
      </c>
      <c r="O163" s="168">
        <f>-1.932-SUM(M163:N163)</f>
        <v>2.9590000000000001</v>
      </c>
      <c r="P163" s="168">
        <f>-8.652-M163-N163-O163</f>
        <v>-6.7199999999999989</v>
      </c>
      <c r="Q163" s="169">
        <f t="shared" si="166"/>
        <v>-8.6519999999999992</v>
      </c>
      <c r="R163" s="168">
        <v>-2.8639999999999999</v>
      </c>
      <c r="S163" s="168">
        <f>-3.054-R163</f>
        <v>-0.18999999999999995</v>
      </c>
      <c r="T163" s="168">
        <f>-3.062-S163-R163</f>
        <v>-8.0000000000000071E-3</v>
      </c>
      <c r="U163" s="168">
        <f>-2.189-T163-S163-R163</f>
        <v>0.87299999999999978</v>
      </c>
      <c r="V163" s="169">
        <f t="shared" si="167"/>
        <v>-2.1890000000000001</v>
      </c>
      <c r="W163" s="168">
        <v>1.08</v>
      </c>
      <c r="X163" s="471">
        <f>1.068-W163</f>
        <v>-1.2000000000000011E-2</v>
      </c>
      <c r="Y163" s="471">
        <f>1.038-X163-W163</f>
        <v>-3.0000000000000027E-2</v>
      </c>
      <c r="Z163" s="168">
        <f>0.756-SUM(W163:Y163)</f>
        <v>-0.28200000000000003</v>
      </c>
      <c r="AA163" s="169">
        <f t="shared" si="168"/>
        <v>0.75600000000000001</v>
      </c>
      <c r="AB163" s="471">
        <v>-0.59199999999999997</v>
      </c>
      <c r="AC163" s="168">
        <f>-0.31-AB163</f>
        <v>0.28199999999999997</v>
      </c>
      <c r="AD163" s="168">
        <f>0.733-AC163-AB163</f>
        <v>1.0429999999999999</v>
      </c>
      <c r="AE163" s="168">
        <f>-0.433-AD163-AC163-AB163</f>
        <v>-1.1659999999999999</v>
      </c>
      <c r="AF163" s="169">
        <f t="shared" si="169"/>
        <v>-0.43300000000000005</v>
      </c>
      <c r="AG163" s="168">
        <v>0.64900000000000002</v>
      </c>
      <c r="AH163" s="472">
        <f>0.595-AG163</f>
        <v>-5.4000000000000048E-2</v>
      </c>
      <c r="AI163" s="168">
        <f>1.869-AH163-AG163</f>
        <v>1.274</v>
      </c>
      <c r="AJ163" s="168">
        <f>2.663-SUM(AG163:AI163)</f>
        <v>0.79399999999999982</v>
      </c>
      <c r="AK163" s="169">
        <f t="shared" si="170"/>
        <v>2.6629999999999998</v>
      </c>
      <c r="AL163" s="168">
        <v>0.52</v>
      </c>
      <c r="AM163" s="168">
        <f>-1.304-AL163</f>
        <v>-1.8240000000000001</v>
      </c>
      <c r="AN163" s="168">
        <f>-1.331-AM163-AL163</f>
        <v>-2.6999999999999913E-2</v>
      </c>
      <c r="AO163" s="168">
        <f>-1.075-AN163-AM163-AL163</f>
        <v>0.25600000000000001</v>
      </c>
      <c r="AP163" s="169">
        <f t="shared" si="181"/>
        <v>-1.075</v>
      </c>
      <c r="AQ163" s="472">
        <v>0.13700000000000001</v>
      </c>
      <c r="AR163" s="168">
        <f>-0.248-AQ163</f>
        <v>-0.38500000000000001</v>
      </c>
      <c r="AS163" s="168">
        <f>-0.586-AR163-AQ163</f>
        <v>-0.33799999999999997</v>
      </c>
      <c r="AT163" s="168">
        <f>5.39-AS163-AR163-AQ163</f>
        <v>5.9759999999999991</v>
      </c>
      <c r="AU163" s="169">
        <f t="shared" si="182"/>
        <v>5.3899999999999988</v>
      </c>
      <c r="AV163" s="168">
        <f>+AV225-AT225</f>
        <v>0</v>
      </c>
      <c r="AW163" s="168">
        <f t="shared" si="186"/>
        <v>0</v>
      </c>
      <c r="AX163" s="168">
        <f t="shared" si="186"/>
        <v>0</v>
      </c>
      <c r="AY163" s="168">
        <f t="shared" si="186"/>
        <v>0</v>
      </c>
      <c r="AZ163" s="169">
        <f t="shared" si="183"/>
        <v>0</v>
      </c>
      <c r="BA163" s="168">
        <f>+BA225-AY225</f>
        <v>0</v>
      </c>
      <c r="BB163" s="168">
        <f t="shared" si="187"/>
        <v>0</v>
      </c>
      <c r="BC163" s="168">
        <f t="shared" si="187"/>
        <v>0</v>
      </c>
      <c r="BD163" s="168">
        <f t="shared" si="187"/>
        <v>0</v>
      </c>
      <c r="BE163" s="169">
        <f t="shared" si="184"/>
        <v>0</v>
      </c>
      <c r="BF163" s="168">
        <f>+BF225-BD225</f>
        <v>0</v>
      </c>
      <c r="BG163" s="168">
        <f t="shared" si="188"/>
        <v>0</v>
      </c>
      <c r="BH163" s="168">
        <f t="shared" si="188"/>
        <v>0</v>
      </c>
      <c r="BI163" s="168">
        <f t="shared" si="188"/>
        <v>0</v>
      </c>
      <c r="BJ163" s="169">
        <f t="shared" si="185"/>
        <v>0</v>
      </c>
      <c r="BK163" s="473"/>
      <c r="BL163" s="473"/>
      <c r="BM163" s="473"/>
      <c r="BN163" s="473"/>
      <c r="BO163" s="473"/>
      <c r="BP163" s="473"/>
      <c r="BQ163" s="474"/>
      <c r="BR163" s="469"/>
      <c r="BS163" s="469"/>
      <c r="BZ163" s="469"/>
      <c r="CA163" s="469"/>
      <c r="CB163" s="469"/>
    </row>
    <row r="164" spans="1:80" ht="13.5" customHeight="1">
      <c r="A164" s="469"/>
      <c r="B164" s="477" t="s">
        <v>184</v>
      </c>
      <c r="C164" s="215"/>
      <c r="D164" s="168"/>
      <c r="E164" s="168"/>
      <c r="F164" s="168"/>
      <c r="G164" s="169"/>
      <c r="H164" s="215"/>
      <c r="I164" s="168"/>
      <c r="J164" s="168"/>
      <c r="K164" s="168"/>
      <c r="L164" s="169">
        <v>-1.1399999999999999</v>
      </c>
      <c r="M164" s="168">
        <v>0.495</v>
      </c>
      <c r="N164" s="168">
        <f>1.086-M164</f>
        <v>0.59100000000000008</v>
      </c>
      <c r="O164" s="168">
        <f>-0.694-SUM(M164:N164)</f>
        <v>-1.78</v>
      </c>
      <c r="P164" s="168">
        <f>-1.098-M164-N164-O164</f>
        <v>-0.40400000000000014</v>
      </c>
      <c r="Q164" s="169">
        <f t="shared" si="166"/>
        <v>-1.0980000000000001</v>
      </c>
      <c r="R164" s="168">
        <v>1.7190000000000001</v>
      </c>
      <c r="S164" s="168">
        <f>2.758-R164</f>
        <v>1.0389999999999999</v>
      </c>
      <c r="T164" s="168">
        <f>1.332-S164-R164</f>
        <v>-1.4259999999999999</v>
      </c>
      <c r="U164" s="168">
        <f>2.077-T164-S164-R164</f>
        <v>0.74500000000000033</v>
      </c>
      <c r="V164" s="169">
        <f t="shared" si="167"/>
        <v>2.0770000000000004</v>
      </c>
      <c r="W164" s="168">
        <v>2.0489999999999999</v>
      </c>
      <c r="X164" s="471">
        <f>1.35-W164</f>
        <v>-0.69899999999999984</v>
      </c>
      <c r="Y164" s="471">
        <f>0.132-X164-W164</f>
        <v>-1.218</v>
      </c>
      <c r="Z164" s="168">
        <f>-0.682-SUM(W164:Y164)</f>
        <v>-0.81400000000000017</v>
      </c>
      <c r="AA164" s="169">
        <f t="shared" si="168"/>
        <v>-0.68200000000000005</v>
      </c>
      <c r="AB164" s="471">
        <v>0.94799999999999995</v>
      </c>
      <c r="AC164" s="168">
        <f>0.31-AB164</f>
        <v>-0.6379999999999999</v>
      </c>
      <c r="AD164" s="168">
        <f>-1.161-AC164-AB164</f>
        <v>-1.4710000000000001</v>
      </c>
      <c r="AE164" s="168">
        <f>-3.935-AD164-AC164-AB164</f>
        <v>-2.774</v>
      </c>
      <c r="AF164" s="169">
        <f t="shared" si="169"/>
        <v>-3.9350000000000001</v>
      </c>
      <c r="AG164" s="168">
        <v>3.6080000000000001</v>
      </c>
      <c r="AH164" s="472">
        <f>3.582-AG164</f>
        <v>-2.6000000000000245E-2</v>
      </c>
      <c r="AI164" s="168">
        <f>3.689-AH164-AG164</f>
        <v>0.10700000000000021</v>
      </c>
      <c r="AJ164" s="168">
        <f>11.703-SUM(AG164:AI164)</f>
        <v>8.0139999999999993</v>
      </c>
      <c r="AK164" s="169">
        <f t="shared" si="170"/>
        <v>11.702999999999999</v>
      </c>
      <c r="AL164" s="168">
        <v>3.82</v>
      </c>
      <c r="AM164" s="168">
        <f>-1.528-AL164</f>
        <v>-5.3479999999999999</v>
      </c>
      <c r="AN164" s="168">
        <f>-4.713-AM164-AL164</f>
        <v>-3.1850000000000001</v>
      </c>
      <c r="AO164" s="168">
        <f>-9.722-AN164-AM164-AL164</f>
        <v>-5.0089999999999986</v>
      </c>
      <c r="AP164" s="169">
        <f t="shared" si="181"/>
        <v>-9.7219999999999978</v>
      </c>
      <c r="AQ164" s="472">
        <v>-3.1680000000000001</v>
      </c>
      <c r="AR164" s="168">
        <f>-15.155-AQ164</f>
        <v>-11.986999999999998</v>
      </c>
      <c r="AS164" s="168">
        <f>-17.39-AR164-AQ164</f>
        <v>-2.2350000000000021</v>
      </c>
      <c r="AT164" s="168">
        <f>-31.759-AS164-AR164-AQ164</f>
        <v>-14.369</v>
      </c>
      <c r="AU164" s="169">
        <f t="shared" si="182"/>
        <v>-31.759</v>
      </c>
      <c r="AV164" s="168">
        <f>+AV233+AV240-AT233-AT240</f>
        <v>0</v>
      </c>
      <c r="AW164" s="168">
        <f>+AW233+AW240-AV233-AV240</f>
        <v>0</v>
      </c>
      <c r="AX164" s="168">
        <f>+AX233+AX240-AW233-AW240</f>
        <v>0</v>
      </c>
      <c r="AY164" s="168">
        <f>+AY233+AY240-AX233-AX240</f>
        <v>0</v>
      </c>
      <c r="AZ164" s="169">
        <f t="shared" si="183"/>
        <v>0</v>
      </c>
      <c r="BA164" s="168">
        <f>+BA233+BA240-AY233-AY240</f>
        <v>0</v>
      </c>
      <c r="BB164" s="168">
        <f>+BB233+BB240-BA233-BA240</f>
        <v>0</v>
      </c>
      <c r="BC164" s="168">
        <f>+BC233+BC240-BB233-BB240</f>
        <v>0</v>
      </c>
      <c r="BD164" s="168">
        <f>+BD233+BD240-BC233-BC240</f>
        <v>0</v>
      </c>
      <c r="BE164" s="169">
        <f t="shared" si="184"/>
        <v>0</v>
      </c>
      <c r="BF164" s="168">
        <f>+BF233+BF240-BD233-BD240</f>
        <v>0</v>
      </c>
      <c r="BG164" s="168">
        <f>+BG233+BG240-BF233-BF240</f>
        <v>0</v>
      </c>
      <c r="BH164" s="168">
        <f>+BH233+BH240-BG233-BG240</f>
        <v>0</v>
      </c>
      <c r="BI164" s="168">
        <f>+BI233+BI240-BH233-BH240</f>
        <v>0</v>
      </c>
      <c r="BJ164" s="169">
        <f t="shared" si="185"/>
        <v>0</v>
      </c>
      <c r="BK164" s="473"/>
      <c r="BL164" s="473"/>
      <c r="BM164" s="473"/>
      <c r="BN164" s="473"/>
      <c r="BO164" s="473"/>
      <c r="BP164" s="473"/>
      <c r="BQ164" s="474"/>
      <c r="BR164" s="469"/>
      <c r="BS164" s="469"/>
      <c r="BZ164" s="469"/>
      <c r="CA164" s="469"/>
      <c r="CB164" s="469"/>
    </row>
    <row r="165" spans="1:80" ht="13.5" customHeight="1">
      <c r="A165" s="469"/>
      <c r="B165" s="482" t="s">
        <v>185</v>
      </c>
      <c r="C165" s="483"/>
      <c r="D165" s="483"/>
      <c r="E165" s="483"/>
      <c r="F165" s="484"/>
      <c r="G165" s="193"/>
      <c r="H165" s="289"/>
      <c r="I165" s="289"/>
      <c r="J165" s="289"/>
      <c r="K165" s="289"/>
      <c r="L165" s="193">
        <f>SUM(L146:L164)</f>
        <v>196.33600000000004</v>
      </c>
      <c r="M165" s="289">
        <f t="shared" ref="M165:T165" si="189">SUM(M146:M164)</f>
        <v>2.0150000000000068</v>
      </c>
      <c r="N165" s="289">
        <f t="shared" si="189"/>
        <v>67.984999999999985</v>
      </c>
      <c r="O165" s="289">
        <f t="shared" si="189"/>
        <v>79.700000000000017</v>
      </c>
      <c r="P165" s="485">
        <f t="shared" si="189"/>
        <v>83.754000000000019</v>
      </c>
      <c r="Q165" s="193">
        <f>SUM(Q146:Q164)</f>
        <v>233.45399999999998</v>
      </c>
      <c r="R165" s="486">
        <f>SUM(R146:R164)</f>
        <v>-50.673999999999992</v>
      </c>
      <c r="S165" s="486">
        <f>SUM(S146:S164)</f>
        <v>183.34900000000002</v>
      </c>
      <c r="T165" s="487">
        <f t="shared" si="189"/>
        <v>114.22499999999999</v>
      </c>
      <c r="U165" s="485">
        <f>SUM(U146:U164)</f>
        <v>46.213999999999999</v>
      </c>
      <c r="V165" s="193">
        <f>SUM(V146:V164)</f>
        <v>293.11399999999998</v>
      </c>
      <c r="W165" s="486">
        <f>SUM(W146:W164)</f>
        <v>156.45200000000003</v>
      </c>
      <c r="X165" s="488">
        <f t="shared" ref="X165:AZ165" si="190">SUM(X146:X164)</f>
        <v>142.577</v>
      </c>
      <c r="Y165" s="485">
        <f t="shared" si="190"/>
        <v>42.733999999999995</v>
      </c>
      <c r="Z165" s="485">
        <f t="shared" si="190"/>
        <v>138.85899999999998</v>
      </c>
      <c r="AA165" s="193">
        <f t="shared" si="190"/>
        <v>480.62199999999984</v>
      </c>
      <c r="AB165" s="485">
        <f t="shared" si="190"/>
        <v>84.695999999999998</v>
      </c>
      <c r="AC165" s="485">
        <f t="shared" si="190"/>
        <v>171.76400000000001</v>
      </c>
      <c r="AD165" s="485">
        <f t="shared" si="190"/>
        <v>206.33699999999996</v>
      </c>
      <c r="AE165" s="485">
        <f>SUM(AE146:AE164)</f>
        <v>130.108</v>
      </c>
      <c r="AF165" s="193">
        <f t="shared" si="190"/>
        <v>592.90500000000031</v>
      </c>
      <c r="AG165" s="485">
        <f t="shared" si="190"/>
        <v>101.84100000000002</v>
      </c>
      <c r="AH165" s="489">
        <f t="shared" si="190"/>
        <v>250.53599999999997</v>
      </c>
      <c r="AI165" s="485">
        <f t="shared" si="190"/>
        <v>154.184</v>
      </c>
      <c r="AJ165" s="485">
        <f t="shared" si="190"/>
        <v>251.31700000000006</v>
      </c>
      <c r="AK165" s="193">
        <f t="shared" si="190"/>
        <v>757.87799999999982</v>
      </c>
      <c r="AL165" s="485">
        <f t="shared" si="190"/>
        <v>29.282999999999994</v>
      </c>
      <c r="AM165" s="485">
        <f t="shared" si="190"/>
        <v>219.20299999999995</v>
      </c>
      <c r="AN165" s="485">
        <f t="shared" si="190"/>
        <v>181.90900000000002</v>
      </c>
      <c r="AO165" s="485">
        <f t="shared" si="190"/>
        <v>238.19499999999994</v>
      </c>
      <c r="AP165" s="193">
        <f t="shared" si="190"/>
        <v>668.5899999999998</v>
      </c>
      <c r="AQ165" s="489">
        <f t="shared" si="190"/>
        <v>143.66799999999998</v>
      </c>
      <c r="AR165" s="485">
        <f>SUM(AR146:AR164)</f>
        <v>291.24999999999994</v>
      </c>
      <c r="AS165" s="485">
        <f>SUM(AS146:AS164)</f>
        <v>92.74800000000009</v>
      </c>
      <c r="AT165" s="485">
        <f t="shared" si="190"/>
        <v>257.1450000000001</v>
      </c>
      <c r="AU165" s="193">
        <f t="shared" si="190"/>
        <v>784.81100000000004</v>
      </c>
      <c r="AV165" s="485">
        <f t="shared" si="190"/>
        <v>83.872437995424264</v>
      </c>
      <c r="AW165" s="485">
        <f t="shared" si="190"/>
        <v>324.42092564919852</v>
      </c>
      <c r="AX165" s="485">
        <f t="shared" si="190"/>
        <v>197.1159754097913</v>
      </c>
      <c r="AY165" s="485">
        <f t="shared" si="190"/>
        <v>350.28565232652568</v>
      </c>
      <c r="AZ165" s="193">
        <f t="shared" si="190"/>
        <v>955.69499138093965</v>
      </c>
      <c r="BA165" s="485">
        <f t="shared" ref="BA165:BJ165" si="191">SUM(BA146:BA164)</f>
        <v>400.14579994498649</v>
      </c>
      <c r="BB165" s="485">
        <f t="shared" si="191"/>
        <v>390.71429521308772</v>
      </c>
      <c r="BC165" s="485">
        <f t="shared" si="191"/>
        <v>261.05168646550516</v>
      </c>
      <c r="BD165" s="485">
        <f t="shared" si="191"/>
        <v>406.91907497975126</v>
      </c>
      <c r="BE165" s="193">
        <f t="shared" si="191"/>
        <v>1458.8308566033309</v>
      </c>
      <c r="BF165" s="485">
        <f t="shared" si="191"/>
        <v>411.04802382255446</v>
      </c>
      <c r="BG165" s="485">
        <f t="shared" si="191"/>
        <v>442.77003124030068</v>
      </c>
      <c r="BH165" s="485">
        <f t="shared" si="191"/>
        <v>302.51363972406932</v>
      </c>
      <c r="BI165" s="485">
        <f t="shared" si="191"/>
        <v>462.65696086859407</v>
      </c>
      <c r="BJ165" s="193">
        <f t="shared" si="191"/>
        <v>1618.9886556555184</v>
      </c>
      <c r="BK165" s="473"/>
      <c r="BL165" s="473"/>
      <c r="BM165" s="473"/>
      <c r="BN165" s="473"/>
      <c r="BO165" s="473"/>
      <c r="BP165" s="473"/>
      <c r="BQ165" s="474"/>
      <c r="BR165" s="469"/>
      <c r="BS165" s="469"/>
      <c r="BZ165" s="469"/>
      <c r="CA165" s="469"/>
      <c r="CB165" s="469"/>
    </row>
    <row r="166" spans="1:80" ht="13.5" customHeight="1">
      <c r="A166" s="469"/>
      <c r="B166" s="490"/>
      <c r="C166" s="109"/>
      <c r="D166" s="109"/>
      <c r="E166" s="109"/>
      <c r="F166" s="109"/>
      <c r="G166" s="491"/>
      <c r="H166" s="109"/>
      <c r="I166" s="109"/>
      <c r="J166" s="109"/>
      <c r="K166" s="109"/>
      <c r="L166" s="491"/>
      <c r="M166" s="109"/>
      <c r="N166" s="109"/>
      <c r="O166" s="109"/>
      <c r="P166" s="109"/>
      <c r="Q166" s="491"/>
      <c r="R166" s="109"/>
      <c r="S166" s="109"/>
      <c r="T166" s="109"/>
      <c r="U166" s="109"/>
      <c r="V166" s="491"/>
      <c r="W166" s="492"/>
      <c r="X166" s="493"/>
      <c r="Y166" s="492"/>
      <c r="Z166" s="109"/>
      <c r="AA166" s="494"/>
      <c r="AB166" s="492"/>
      <c r="AC166" s="109"/>
      <c r="AD166" s="109"/>
      <c r="AE166" s="109"/>
      <c r="AF166" s="494"/>
      <c r="AG166" s="492"/>
      <c r="AH166" s="495"/>
      <c r="AI166" s="492"/>
      <c r="AJ166" s="492"/>
      <c r="AK166" s="494"/>
      <c r="AL166" s="109"/>
      <c r="AM166" s="492"/>
      <c r="AN166" s="492"/>
      <c r="AO166" s="492"/>
      <c r="AP166" s="494"/>
      <c r="AQ166" s="495"/>
      <c r="AR166" s="492"/>
      <c r="AS166" s="1248"/>
      <c r="AT166" s="1248"/>
      <c r="AU166" s="494"/>
      <c r="AV166" s="492"/>
      <c r="AW166" s="492"/>
      <c r="AX166" s="492"/>
      <c r="AY166" s="492"/>
      <c r="AZ166" s="494"/>
      <c r="BA166" s="492"/>
      <c r="BB166" s="492"/>
      <c r="BC166" s="492"/>
      <c r="BD166" s="492"/>
      <c r="BE166" s="494"/>
      <c r="BF166" s="492"/>
      <c r="BG166" s="492"/>
      <c r="BH166" s="492"/>
      <c r="BI166" s="492"/>
      <c r="BJ166" s="494"/>
      <c r="BK166" s="473"/>
      <c r="BL166" s="473"/>
      <c r="BM166" s="473"/>
      <c r="BN166" s="473"/>
      <c r="BO166" s="473"/>
      <c r="BP166" s="473"/>
      <c r="BQ166" s="474"/>
      <c r="BR166" s="469"/>
      <c r="BS166" s="469"/>
      <c r="BZ166" s="469"/>
      <c r="CA166" s="469"/>
      <c r="CB166" s="469"/>
    </row>
    <row r="167" spans="1:80" ht="13.5" customHeight="1">
      <c r="A167" s="469"/>
      <c r="B167" s="467" t="s">
        <v>186</v>
      </c>
      <c r="C167" s="109"/>
      <c r="D167" s="109"/>
      <c r="E167" s="109"/>
      <c r="F167" s="109"/>
      <c r="G167" s="169"/>
      <c r="H167" s="109"/>
      <c r="I167" s="109"/>
      <c r="J167" s="109"/>
      <c r="K167" s="109"/>
      <c r="L167" s="169"/>
      <c r="M167" s="109"/>
      <c r="N167" s="109"/>
      <c r="O167" s="109"/>
      <c r="P167" s="109"/>
      <c r="Q167" s="169"/>
      <c r="R167" s="109"/>
      <c r="S167" s="109"/>
      <c r="T167" s="109"/>
      <c r="U167" s="109"/>
      <c r="V167" s="169"/>
      <c r="W167" s="492"/>
      <c r="X167" s="109"/>
      <c r="Y167" s="109"/>
      <c r="Z167" s="109"/>
      <c r="AA167" s="172"/>
      <c r="AB167" s="492"/>
      <c r="AC167" s="109"/>
      <c r="AD167" s="109"/>
      <c r="AE167" s="109"/>
      <c r="AF167" s="172"/>
      <c r="AG167" s="492"/>
      <c r="AH167" s="495"/>
      <c r="AI167" s="109"/>
      <c r="AJ167" s="492"/>
      <c r="AK167" s="172"/>
      <c r="AL167" s="109"/>
      <c r="AM167" s="109"/>
      <c r="AN167" s="109"/>
      <c r="AO167" s="492"/>
      <c r="AP167" s="172"/>
      <c r="AQ167" s="495"/>
      <c r="AR167" s="109"/>
      <c r="AS167" s="109"/>
      <c r="AT167" s="109"/>
      <c r="AU167" s="172"/>
      <c r="AV167" s="492"/>
      <c r="AW167" s="109"/>
      <c r="AX167" s="109"/>
      <c r="AY167" s="492"/>
      <c r="AZ167" s="172"/>
      <c r="BA167" s="492"/>
      <c r="BB167" s="109"/>
      <c r="BC167" s="109"/>
      <c r="BD167" s="492"/>
      <c r="BE167" s="172"/>
      <c r="BF167" s="492"/>
      <c r="BG167" s="109"/>
      <c r="BH167" s="109"/>
      <c r="BI167" s="492"/>
      <c r="BJ167" s="172"/>
      <c r="BK167" s="473"/>
      <c r="BL167" s="473"/>
      <c r="BM167" s="473"/>
      <c r="BN167" s="473"/>
      <c r="BO167" s="473"/>
      <c r="BP167" s="473"/>
      <c r="BQ167" s="474"/>
      <c r="BR167" s="469"/>
      <c r="BS167" s="469"/>
      <c r="BZ167" s="469"/>
      <c r="CA167" s="469"/>
      <c r="CB167" s="469"/>
    </row>
    <row r="168" spans="1:80" ht="13.5" customHeight="1">
      <c r="A168" s="469"/>
      <c r="B168" s="477" t="s">
        <v>187</v>
      </c>
      <c r="C168" s="168"/>
      <c r="D168" s="168"/>
      <c r="E168" s="168"/>
      <c r="F168" s="168"/>
      <c r="G168" s="169"/>
      <c r="H168" s="168"/>
      <c r="I168" s="168"/>
      <c r="J168" s="168"/>
      <c r="K168" s="168"/>
      <c r="L168" s="169">
        <v>-33.655000000000001</v>
      </c>
      <c r="M168" s="168">
        <v>-7.915</v>
      </c>
      <c r="N168" s="168">
        <f>-28.568-M168</f>
        <v>-20.653000000000002</v>
      </c>
      <c r="O168" s="168">
        <f>-46.232-SUM(M168:N168)</f>
        <v>-17.663999999999998</v>
      </c>
      <c r="P168" s="168">
        <f>-62.714-M168-N168-O168</f>
        <v>-16.482000000000003</v>
      </c>
      <c r="Q168" s="169">
        <f>+SUM(M168:P168)</f>
        <v>-62.713999999999999</v>
      </c>
      <c r="R168" s="168">
        <v>-15.614000000000001</v>
      </c>
      <c r="S168" s="168">
        <f>-24.492-R168</f>
        <v>-8.8780000000000001</v>
      </c>
      <c r="T168" s="168">
        <f>-38.245-S168-R168</f>
        <v>-13.752999999999997</v>
      </c>
      <c r="U168" s="168">
        <f>-51.435-R168-S168-T168</f>
        <v>-13.190000000000001</v>
      </c>
      <c r="V168" s="169">
        <f>+SUM(R168:U168)</f>
        <v>-51.435000000000002</v>
      </c>
      <c r="W168" s="480">
        <v>-12.342000000000001</v>
      </c>
      <c r="X168" s="471">
        <f>-30.597-W168</f>
        <v>-18.255000000000003</v>
      </c>
      <c r="Y168" s="471">
        <f>-46.97-X168-W168</f>
        <v>-16.372999999999998</v>
      </c>
      <c r="Z168" s="168">
        <f>-61.578-SUM(W168:Y168)</f>
        <v>-14.608000000000004</v>
      </c>
      <c r="AA168" s="169">
        <f>+SUM(W168:Z168)</f>
        <v>-61.578000000000003</v>
      </c>
      <c r="AB168" s="478">
        <v>-28.940999999999999</v>
      </c>
      <c r="AC168" s="168">
        <f>-48.85-AB168</f>
        <v>-19.909000000000002</v>
      </c>
      <c r="AD168" s="168">
        <f>-76.984-AC168-AB168</f>
        <v>-28.13399999999999</v>
      </c>
      <c r="AE168" s="168">
        <f>-103.179-AD168-AC168-AB168</f>
        <v>-26.195000000000011</v>
      </c>
      <c r="AF168" s="169">
        <f>+SUM(AB168:AE168)</f>
        <v>-103.179</v>
      </c>
      <c r="AG168" s="480">
        <v>-15.669</v>
      </c>
      <c r="AH168" s="472">
        <f>-42.013-AG168</f>
        <v>-26.343999999999998</v>
      </c>
      <c r="AI168" s="168">
        <f>-64.344-AH168-AG168</f>
        <v>-22.331</v>
      </c>
      <c r="AJ168" s="168">
        <f>-84.73-SUM(AG168:AI168)</f>
        <v>-20.38600000000001</v>
      </c>
      <c r="AK168" s="169">
        <f>+SUM(AG168:AJ168)</f>
        <v>-84.73</v>
      </c>
      <c r="AL168" s="480">
        <v>-27.882999999999999</v>
      </c>
      <c r="AM168" s="168">
        <f>-62.883-AL168</f>
        <v>-35</v>
      </c>
      <c r="AN168" s="472">
        <f>-93.822-AM168-AL168</f>
        <v>-30.939000000000004</v>
      </c>
      <c r="AO168" s="472">
        <f>-118.194-AN168-AM168-AL168</f>
        <v>-24.371999999999996</v>
      </c>
      <c r="AP168" s="169">
        <f>+SUM(AL168:AO168)</f>
        <v>-118.194</v>
      </c>
      <c r="AQ168" s="1221">
        <v>-27.870999999999999</v>
      </c>
      <c r="AR168" s="168">
        <f>-58.901-AQ168</f>
        <v>-31.030000000000005</v>
      </c>
      <c r="AS168" s="472">
        <f>-81.882-AR168-AQ168</f>
        <v>-22.981000000000005</v>
      </c>
      <c r="AT168" s="472">
        <f>-110.805-AS168-AR168-AQ168</f>
        <v>-28.922999999999998</v>
      </c>
      <c r="AU168" s="169">
        <f>+SUM(AQ168:AT168)</f>
        <v>-110.80500000000001</v>
      </c>
      <c r="AV168" s="481">
        <f>-AV15*AV267</f>
        <v>-45.880103082040513</v>
      </c>
      <c r="AW168" s="479">
        <f>-AW15*AW267</f>
        <v>-53.572241732521498</v>
      </c>
      <c r="AX168" s="479">
        <f>-AX15*AX267</f>
        <v>-56.082110758387095</v>
      </c>
      <c r="AY168" s="479">
        <f>-AY15*AY267</f>
        <v>-57.803275462896075</v>
      </c>
      <c r="AZ168" s="169">
        <f>+SUM(AV168:AY168)</f>
        <v>-213.33773103584517</v>
      </c>
      <c r="BA168" s="481">
        <f>-BA15*BA267</f>
        <v>-54.245476371826001</v>
      </c>
      <c r="BB168" s="479">
        <f>-BB15*BB267</f>
        <v>-58.440737782399069</v>
      </c>
      <c r="BC168" s="479">
        <f>-BC15*BC267</f>
        <v>-61.137722589718948</v>
      </c>
      <c r="BD168" s="479">
        <f>-BD15*BD267</f>
        <v>-63.060950445045464</v>
      </c>
      <c r="BE168" s="169">
        <f>+SUM(BA168:BD168)</f>
        <v>-236.88488718898947</v>
      </c>
      <c r="BF168" s="481">
        <f>-BF15*BF267</f>
        <v>-59.30834605704942</v>
      </c>
      <c r="BG168" s="479">
        <f>-BG15*BG267</f>
        <v>-63.850000621611741</v>
      </c>
      <c r="BH168" s="479">
        <f>-BH15*BH267</f>
        <v>-66.726328119626217</v>
      </c>
      <c r="BI168" s="479">
        <f>-BI15*BI267</f>
        <v>-68.882024236134939</v>
      </c>
      <c r="BJ168" s="169">
        <f>+SUM(BF168:BI168)</f>
        <v>-258.76669903442234</v>
      </c>
      <c r="BK168" s="473"/>
      <c r="BL168" s="473"/>
      <c r="BM168" s="473"/>
      <c r="BN168" s="473"/>
      <c r="BO168" s="473"/>
      <c r="BP168" s="473"/>
      <c r="BQ168" s="496"/>
      <c r="BR168" s="469"/>
      <c r="BS168" s="469"/>
      <c r="BZ168" s="469"/>
      <c r="CA168" s="469"/>
      <c r="CB168" s="469"/>
    </row>
    <row r="169" spans="1:80" ht="14.25" customHeight="1">
      <c r="A169" s="469"/>
      <c r="B169" s="477" t="s">
        <v>188</v>
      </c>
      <c r="C169" s="497"/>
      <c r="D169" s="215"/>
      <c r="E169" s="215"/>
      <c r="F169" s="215"/>
      <c r="G169" s="169"/>
      <c r="H169" s="497"/>
      <c r="I169" s="215"/>
      <c r="J169" s="215"/>
      <c r="K169" s="168"/>
      <c r="L169" s="169">
        <v>-0.98499999999999999</v>
      </c>
      <c r="M169" s="497">
        <v>0</v>
      </c>
      <c r="N169" s="215">
        <f>-0.736-M169</f>
        <v>-0.73599999999999999</v>
      </c>
      <c r="O169" s="215">
        <f>-1.226-SUM(M169:N169)</f>
        <v>-0.49</v>
      </c>
      <c r="P169" s="168">
        <f>-3.906-M169-N169-O169</f>
        <v>-2.6799999999999997</v>
      </c>
      <c r="Q169" s="169">
        <f>+SUM(M169:P169)</f>
        <v>-3.9059999999999997</v>
      </c>
      <c r="R169" s="480">
        <v>0</v>
      </c>
      <c r="S169" s="168">
        <f>-5.454-R169</f>
        <v>-5.4539999999999997</v>
      </c>
      <c r="T169" s="168">
        <f>-10.53-R169-S169</f>
        <v>-5.0759999999999996</v>
      </c>
      <c r="U169" s="168">
        <f>-13.213-R169-S169-T169</f>
        <v>-2.6829999999999998</v>
      </c>
      <c r="V169" s="169">
        <f>+SUM(R169:U169)</f>
        <v>-13.212999999999999</v>
      </c>
      <c r="W169" s="480">
        <v>0</v>
      </c>
      <c r="X169" s="471">
        <f>-5.953-W169</f>
        <v>-5.9530000000000003</v>
      </c>
      <c r="Y169" s="471">
        <f>-6.555-X169-W169</f>
        <v>-0.60199999999999942</v>
      </c>
      <c r="Z169" s="168">
        <f>-7.892-SUM(W169:Y169)</f>
        <v>-1.3370000000000006</v>
      </c>
      <c r="AA169" s="169">
        <f>+SUM(W169:Z169)</f>
        <v>-7.8920000000000003</v>
      </c>
      <c r="AB169" s="478">
        <v>-17.393999999999998</v>
      </c>
      <c r="AC169" s="168">
        <f>-27.068-AB169</f>
        <v>-9.674000000000003</v>
      </c>
      <c r="AD169" s="168">
        <f>-27.399-AC169-AB169</f>
        <v>-0.33099999999999952</v>
      </c>
      <c r="AE169" s="168">
        <f>-29.596-AD169-AC169-AB169</f>
        <v>-2.1969999999999992</v>
      </c>
      <c r="AF169" s="169">
        <f>+SUM(AB169:AE169)</f>
        <v>-29.596</v>
      </c>
      <c r="AG169" s="480">
        <v>-1.425</v>
      </c>
      <c r="AH169" s="472">
        <f>-37.154-AG169</f>
        <v>-35.729000000000006</v>
      </c>
      <c r="AI169" s="168">
        <f>-39.312-AH169-AG169</f>
        <v>-2.1579999999999915</v>
      </c>
      <c r="AJ169" s="168">
        <f>-41.997-SUM(AG169:AI169)</f>
        <v>-2.6850000000000023</v>
      </c>
      <c r="AK169" s="169">
        <f>+SUM(AG169:AJ169)</f>
        <v>-41.997</v>
      </c>
      <c r="AL169" s="480">
        <v>-7.5999999999999998E-2</v>
      </c>
      <c r="AM169" s="168">
        <f>-0.883-AL169</f>
        <v>-0.80700000000000005</v>
      </c>
      <c r="AN169" s="472">
        <f>-2.179-AM169-AL169</f>
        <v>-1.2959999999999998</v>
      </c>
      <c r="AO169" s="472">
        <f>-23.627-AN169-AM169-AL169</f>
        <v>-21.448</v>
      </c>
      <c r="AP169" s="169">
        <f>+SUM(AL169:AO169)</f>
        <v>-23.626999999999999</v>
      </c>
      <c r="AQ169" s="1221">
        <v>-4.3390000000000004</v>
      </c>
      <c r="AR169" s="168">
        <f>-19.57-AQ169</f>
        <v>-15.231</v>
      </c>
      <c r="AS169" s="472">
        <f>-38.165-AR169-AQ169</f>
        <v>-18.594999999999999</v>
      </c>
      <c r="AT169" s="472">
        <f>-41.784-AS169-AR169-AQ169</f>
        <v>-3.6189999999999998</v>
      </c>
      <c r="AU169" s="169">
        <f>+SUM(AQ169:AT169)</f>
        <v>-41.783999999999999</v>
      </c>
      <c r="AV169" s="481">
        <v>0</v>
      </c>
      <c r="AW169" s="479">
        <v>0</v>
      </c>
      <c r="AX169" s="479">
        <v>0</v>
      </c>
      <c r="AY169" s="479">
        <v>0</v>
      </c>
      <c r="AZ169" s="169">
        <f>+SUM(AV169:AY169)</f>
        <v>0</v>
      </c>
      <c r="BA169" s="481">
        <v>0</v>
      </c>
      <c r="BB169" s="479">
        <v>0</v>
      </c>
      <c r="BC169" s="479">
        <v>0</v>
      </c>
      <c r="BD169" s="479">
        <v>0</v>
      </c>
      <c r="BE169" s="169">
        <f>+SUM(BA169:BD169)</f>
        <v>0</v>
      </c>
      <c r="BF169" s="481">
        <v>0</v>
      </c>
      <c r="BG169" s="479">
        <v>0</v>
      </c>
      <c r="BH169" s="479">
        <v>0</v>
      </c>
      <c r="BI169" s="479">
        <v>0</v>
      </c>
      <c r="BJ169" s="169">
        <f>+SUM(BF169:BI169)</f>
        <v>0</v>
      </c>
      <c r="BK169" s="473"/>
      <c r="BL169" s="473"/>
      <c r="BM169" s="473"/>
      <c r="BN169" s="473"/>
      <c r="BO169" s="473"/>
      <c r="BP169" s="473"/>
      <c r="BQ169" s="474"/>
      <c r="BR169" s="469"/>
      <c r="BS169" s="469"/>
      <c r="BZ169" s="469"/>
      <c r="CA169" s="469"/>
      <c r="CB169" s="469"/>
    </row>
    <row r="170" spans="1:80" ht="14.25" customHeight="1">
      <c r="A170" s="469"/>
      <c r="B170" s="477" t="s">
        <v>189</v>
      </c>
      <c r="C170" s="497"/>
      <c r="D170" s="215"/>
      <c r="E170" s="215"/>
      <c r="F170" s="215"/>
      <c r="G170" s="169"/>
      <c r="H170" s="497"/>
      <c r="I170" s="215"/>
      <c r="J170" s="215"/>
      <c r="K170" s="168"/>
      <c r="L170" s="169">
        <v>0</v>
      </c>
      <c r="M170" s="497">
        <v>-3.3</v>
      </c>
      <c r="N170" s="215">
        <f>-3.3-M170</f>
        <v>0</v>
      </c>
      <c r="O170" s="215">
        <f>-3.3-SUM(M170:N170)</f>
        <v>0</v>
      </c>
      <c r="P170" s="168">
        <f>-3.3-M170-N170-O170</f>
        <v>0</v>
      </c>
      <c r="Q170" s="169">
        <f>+SUM(M170:P170)</f>
        <v>-3.3</v>
      </c>
      <c r="R170" s="480">
        <v>0</v>
      </c>
      <c r="S170" s="168">
        <v>0</v>
      </c>
      <c r="T170" s="168">
        <v>0</v>
      </c>
      <c r="U170" s="168">
        <f>-0.313-R170-S170-T170</f>
        <v>-0.313</v>
      </c>
      <c r="V170" s="169">
        <f>+SUM(R170:U170)</f>
        <v>-0.313</v>
      </c>
      <c r="W170" s="480">
        <v>-0.124</v>
      </c>
      <c r="X170" s="471">
        <f>-1.677-W170</f>
        <v>-1.5529999999999999</v>
      </c>
      <c r="Y170" s="471">
        <f>-3.174-X170-W170</f>
        <v>-1.4969999999999999</v>
      </c>
      <c r="Z170" s="168">
        <f>-3.174-SUM(W170:Y170)</f>
        <v>0</v>
      </c>
      <c r="AA170" s="169">
        <f>+SUM(W170:Z170)</f>
        <v>-3.1739999999999999</v>
      </c>
      <c r="AB170" s="478">
        <v>0</v>
      </c>
      <c r="AC170" s="168">
        <f>-7.487-AB170</f>
        <v>-7.4870000000000001</v>
      </c>
      <c r="AD170" s="168">
        <f>-7.487-AC170-AB170</f>
        <v>0</v>
      </c>
      <c r="AE170" s="168">
        <f>-7.487-AD170-AC170-AB170</f>
        <v>0</v>
      </c>
      <c r="AF170" s="169">
        <f>+SUM(AB170:AE170)</f>
        <v>-7.4870000000000001</v>
      </c>
      <c r="AG170" s="480">
        <v>0</v>
      </c>
      <c r="AH170" s="472">
        <v>0</v>
      </c>
      <c r="AI170" s="168">
        <v>0</v>
      </c>
      <c r="AJ170" s="168">
        <v>0</v>
      </c>
      <c r="AK170" s="169">
        <f>+SUM(AG170:AJ170)</f>
        <v>0</v>
      </c>
      <c r="AL170" s="480">
        <v>-21.523</v>
      </c>
      <c r="AM170" s="168">
        <f>-21.523-AL170</f>
        <v>0</v>
      </c>
      <c r="AN170" s="472">
        <f>-21.523-AM170-AL170</f>
        <v>0</v>
      </c>
      <c r="AO170" s="472">
        <f>-21.523-AN170-AM170-AL170</f>
        <v>0</v>
      </c>
      <c r="AP170" s="169">
        <f>+SUM(AL170:AO170)</f>
        <v>-21.523</v>
      </c>
      <c r="AQ170" s="1221">
        <v>0</v>
      </c>
      <c r="AR170" s="168">
        <f>0-AQ170</f>
        <v>0</v>
      </c>
      <c r="AS170" s="472">
        <f>0-AR170-AQ170</f>
        <v>0</v>
      </c>
      <c r="AT170" s="472">
        <v>0</v>
      </c>
      <c r="AU170" s="169">
        <f>+SUM(AQ170:AT170)</f>
        <v>0</v>
      </c>
      <c r="AV170" s="481">
        <v>0</v>
      </c>
      <c r="AW170" s="479">
        <v>0</v>
      </c>
      <c r="AX170" s="479">
        <v>0</v>
      </c>
      <c r="AY170" s="479">
        <v>0</v>
      </c>
      <c r="AZ170" s="169">
        <f>+SUM(AV170:AY170)</f>
        <v>0</v>
      </c>
      <c r="BA170" s="481">
        <v>0</v>
      </c>
      <c r="BB170" s="479">
        <v>0</v>
      </c>
      <c r="BC170" s="479">
        <v>0</v>
      </c>
      <c r="BD170" s="479">
        <v>0</v>
      </c>
      <c r="BE170" s="169">
        <f>+SUM(BA170:BD170)</f>
        <v>0</v>
      </c>
      <c r="BF170" s="481">
        <v>0</v>
      </c>
      <c r="BG170" s="479">
        <v>0</v>
      </c>
      <c r="BH170" s="479">
        <v>0</v>
      </c>
      <c r="BI170" s="479">
        <v>0</v>
      </c>
      <c r="BJ170" s="169">
        <f>+SUM(BF170:BI170)</f>
        <v>0</v>
      </c>
      <c r="BK170" s="473"/>
      <c r="BL170" s="473"/>
      <c r="BM170" s="473"/>
      <c r="BN170" s="473"/>
      <c r="BO170" s="473"/>
      <c r="BP170" s="473"/>
      <c r="BQ170" s="474"/>
      <c r="BR170" s="469"/>
      <c r="BS170" s="469"/>
      <c r="BZ170" s="469"/>
      <c r="CA170" s="469"/>
      <c r="CB170" s="469"/>
    </row>
    <row r="171" spans="1:80" ht="13.5" customHeight="1">
      <c r="A171" s="469"/>
      <c r="B171" s="477" t="s">
        <v>190</v>
      </c>
      <c r="C171" s="497"/>
      <c r="D171" s="215"/>
      <c r="E171" s="215"/>
      <c r="F171" s="215"/>
      <c r="G171" s="169"/>
      <c r="H171" s="497"/>
      <c r="I171" s="215"/>
      <c r="J171" s="215"/>
      <c r="K171" s="168"/>
      <c r="L171" s="169">
        <v>0</v>
      </c>
      <c r="M171" s="497">
        <v>-0.51200000000000001</v>
      </c>
      <c r="N171" s="215">
        <f>0-M171</f>
        <v>0.51200000000000001</v>
      </c>
      <c r="O171" s="215">
        <f>0-M171-N171</f>
        <v>0</v>
      </c>
      <c r="P171" s="168">
        <f>0-M171-N171-O171</f>
        <v>0</v>
      </c>
      <c r="Q171" s="169">
        <f>+SUM(M171:P171)</f>
        <v>0</v>
      </c>
      <c r="R171" s="480">
        <v>-2.8290000000000002</v>
      </c>
      <c r="S171" s="168">
        <f>0-R171</f>
        <v>2.8290000000000002</v>
      </c>
      <c r="T171" s="168">
        <f>0-R171-S171</f>
        <v>0</v>
      </c>
      <c r="U171" s="168">
        <f>0-R171-S171-T171</f>
        <v>0</v>
      </c>
      <c r="V171" s="169">
        <f>+SUM(R171:U171)</f>
        <v>0</v>
      </c>
      <c r="W171" s="480">
        <v>-3.2000000000000001E-2</v>
      </c>
      <c r="X171" s="471">
        <f>0-W171</f>
        <v>3.2000000000000001E-2</v>
      </c>
      <c r="Y171" s="471">
        <v>0</v>
      </c>
      <c r="Z171" s="168">
        <v>0</v>
      </c>
      <c r="AA171" s="169">
        <f>+SUM(W171:Z171)</f>
        <v>0</v>
      </c>
      <c r="AB171" s="478">
        <v>0</v>
      </c>
      <c r="AC171" s="168">
        <v>0</v>
      </c>
      <c r="AD171" s="168">
        <v>0</v>
      </c>
      <c r="AE171" s="168">
        <v>0</v>
      </c>
      <c r="AF171" s="169">
        <f>+SUM(AB171:AE171)</f>
        <v>0</v>
      </c>
      <c r="AG171" s="480">
        <v>0</v>
      </c>
      <c r="AH171" s="472">
        <v>0</v>
      </c>
      <c r="AI171" s="168">
        <v>0</v>
      </c>
      <c r="AJ171" s="168">
        <v>0</v>
      </c>
      <c r="AK171" s="169">
        <f>+SUM(AG171:AJ171)</f>
        <v>0</v>
      </c>
      <c r="AL171" s="480">
        <v>0</v>
      </c>
      <c r="AM171" s="168">
        <v>0</v>
      </c>
      <c r="AN171" s="472">
        <v>0</v>
      </c>
      <c r="AO171" s="472">
        <v>0</v>
      </c>
      <c r="AP171" s="169">
        <f>+SUM(AL171:AO171)</f>
        <v>0</v>
      </c>
      <c r="AQ171" s="1221">
        <v>0</v>
      </c>
      <c r="AR171" s="168">
        <v>0</v>
      </c>
      <c r="AS171" s="472">
        <v>0</v>
      </c>
      <c r="AT171" s="472">
        <v>0</v>
      </c>
      <c r="AU171" s="169">
        <f>+SUM(AQ171:AT171)</f>
        <v>0</v>
      </c>
      <c r="AV171" s="481">
        <v>0</v>
      </c>
      <c r="AW171" s="479">
        <v>0</v>
      </c>
      <c r="AX171" s="479">
        <v>0</v>
      </c>
      <c r="AY171" s="479">
        <v>0</v>
      </c>
      <c r="AZ171" s="169">
        <f>+SUM(AV171:AY171)</f>
        <v>0</v>
      </c>
      <c r="BA171" s="481">
        <v>0</v>
      </c>
      <c r="BB171" s="479">
        <v>0</v>
      </c>
      <c r="BC171" s="479">
        <v>0</v>
      </c>
      <c r="BD171" s="479">
        <v>0</v>
      </c>
      <c r="BE171" s="169">
        <f>+SUM(BA171:BD171)</f>
        <v>0</v>
      </c>
      <c r="BF171" s="481">
        <v>0</v>
      </c>
      <c r="BG171" s="479">
        <v>0</v>
      </c>
      <c r="BH171" s="479">
        <v>0</v>
      </c>
      <c r="BI171" s="479">
        <v>0</v>
      </c>
      <c r="BJ171" s="169">
        <f>+SUM(BF171:BI171)</f>
        <v>0</v>
      </c>
      <c r="BK171" s="473"/>
      <c r="BL171" s="473"/>
      <c r="BM171" s="473"/>
      <c r="BN171" s="473"/>
      <c r="BO171" s="473"/>
      <c r="BP171" s="473"/>
      <c r="BQ171" s="474"/>
      <c r="BR171" s="469"/>
      <c r="BS171" s="469"/>
      <c r="BZ171" s="469"/>
      <c r="CA171" s="469"/>
      <c r="CB171" s="469"/>
    </row>
    <row r="172" spans="1:80" ht="14.25" customHeight="1">
      <c r="A172" s="469"/>
      <c r="B172" s="477" t="s">
        <v>191</v>
      </c>
      <c r="C172" s="497"/>
      <c r="D172" s="215"/>
      <c r="E172" s="215"/>
      <c r="F172" s="215"/>
      <c r="G172" s="169"/>
      <c r="H172" s="497"/>
      <c r="I172" s="215"/>
      <c r="J172" s="215"/>
      <c r="K172" s="168"/>
      <c r="L172" s="169">
        <v>-662.51099999999997</v>
      </c>
      <c r="M172" s="497">
        <v>0</v>
      </c>
      <c r="N172" s="215">
        <f>0-M172</f>
        <v>0</v>
      </c>
      <c r="O172" s="215">
        <f>0-SUM(M172:N172)</f>
        <v>0</v>
      </c>
      <c r="P172" s="168">
        <v>0</v>
      </c>
      <c r="Q172" s="169">
        <f>+SUM(M172:P172)</f>
        <v>0</v>
      </c>
      <c r="R172" s="480">
        <v>0</v>
      </c>
      <c r="S172" s="168">
        <v>0</v>
      </c>
      <c r="T172" s="168">
        <v>0</v>
      </c>
      <c r="U172" s="168">
        <f>-352.33-R172-S172-T172</f>
        <v>-352.33</v>
      </c>
      <c r="V172" s="169">
        <f>+SUM(R172:U172)</f>
        <v>-352.33</v>
      </c>
      <c r="W172" s="480">
        <v>0</v>
      </c>
      <c r="X172" s="471">
        <v>0</v>
      </c>
      <c r="Y172" s="471">
        <f>-155.654-X172-W172</f>
        <v>-155.654</v>
      </c>
      <c r="Z172" s="168">
        <f>-155.654-SUM(W172:Y172)</f>
        <v>0</v>
      </c>
      <c r="AA172" s="169">
        <f>+SUM(W172:Z172)</f>
        <v>-155.654</v>
      </c>
      <c r="AB172" s="478">
        <v>0</v>
      </c>
      <c r="AC172" s="168">
        <f>-1658.694-AB172</f>
        <v>-1658.694</v>
      </c>
      <c r="AD172" s="168">
        <f>-1658.694-AC172-AB172</f>
        <v>0</v>
      </c>
      <c r="AE172" s="168">
        <f>-1658.694-AD172-AC172-AB172</f>
        <v>0</v>
      </c>
      <c r="AF172" s="169">
        <f>+SUM(AB172:AE172)</f>
        <v>-1658.694</v>
      </c>
      <c r="AG172" s="480">
        <v>0</v>
      </c>
      <c r="AH172" s="472">
        <v>0</v>
      </c>
      <c r="AI172" s="168">
        <v>0</v>
      </c>
      <c r="AJ172" s="168">
        <v>0</v>
      </c>
      <c r="AK172" s="169">
        <f>+SUM(AG172:AJ172)</f>
        <v>0</v>
      </c>
      <c r="AL172" s="480">
        <v>0</v>
      </c>
      <c r="AM172" s="168">
        <v>0</v>
      </c>
      <c r="AN172" s="472">
        <v>0</v>
      </c>
      <c r="AO172" s="472">
        <v>-406.77699999999999</v>
      </c>
      <c r="AP172" s="169">
        <f>+SUM(AL172:AO172)</f>
        <v>-406.77699999999999</v>
      </c>
      <c r="AQ172" s="1221">
        <v>0</v>
      </c>
      <c r="AR172" s="168">
        <f>-531.534-AQ172</f>
        <v>-531.53399999999999</v>
      </c>
      <c r="AS172" s="472">
        <f>-531.534-AR172-AQ172</f>
        <v>0</v>
      </c>
      <c r="AT172" s="472">
        <v>-1145.7</v>
      </c>
      <c r="AU172" s="169">
        <f>+SUM(AQ172:AT172)</f>
        <v>-1677.2339999999999</v>
      </c>
      <c r="AV172" s="481">
        <f>-1474-284-1603</f>
        <v>-3361</v>
      </c>
      <c r="AW172" s="479">
        <v>0</v>
      </c>
      <c r="AX172" s="479">
        <v>0</v>
      </c>
      <c r="AY172" s="479">
        <v>0</v>
      </c>
      <c r="AZ172" s="169">
        <f>+SUM(AV172:AY172)</f>
        <v>-3361</v>
      </c>
      <c r="BA172" s="481">
        <v>0</v>
      </c>
      <c r="BB172" s="479">
        <v>0</v>
      </c>
      <c r="BC172" s="479">
        <v>0</v>
      </c>
      <c r="BD172" s="479">
        <v>0</v>
      </c>
      <c r="BE172" s="169">
        <f>+SUM(BA172:BD172)</f>
        <v>0</v>
      </c>
      <c r="BF172" s="481">
        <v>0</v>
      </c>
      <c r="BG172" s="479">
        <v>0</v>
      </c>
      <c r="BH172" s="479">
        <v>0</v>
      </c>
      <c r="BI172" s="479">
        <v>0</v>
      </c>
      <c r="BJ172" s="169">
        <f>+SUM(BF172:BI172)</f>
        <v>0</v>
      </c>
      <c r="BK172" s="473"/>
      <c r="BL172" s="473"/>
      <c r="BM172" s="473"/>
      <c r="BN172" s="473"/>
      <c r="BO172" s="473"/>
      <c r="BP172" s="473"/>
      <c r="BQ172" s="474"/>
      <c r="BR172" s="469"/>
      <c r="BS172" s="469"/>
      <c r="BZ172" s="469"/>
      <c r="CA172" s="469"/>
      <c r="CB172" s="469"/>
    </row>
    <row r="173" spans="1:80" ht="13.5" customHeight="1">
      <c r="A173" s="469"/>
      <c r="B173" s="482" t="s">
        <v>192</v>
      </c>
      <c r="C173" s="498"/>
      <c r="D173" s="289"/>
      <c r="E173" s="289"/>
      <c r="F173" s="289"/>
      <c r="G173" s="193"/>
      <c r="H173" s="498"/>
      <c r="I173" s="289"/>
      <c r="J173" s="485"/>
      <c r="K173" s="289"/>
      <c r="L173" s="193">
        <f t="shared" ref="L173:V173" si="192">SUM(L168:L172)</f>
        <v>-697.15099999999995</v>
      </c>
      <c r="M173" s="498">
        <f t="shared" si="192"/>
        <v>-11.727</v>
      </c>
      <c r="N173" s="289">
        <f t="shared" si="192"/>
        <v>-20.877000000000002</v>
      </c>
      <c r="O173" s="485">
        <f t="shared" si="192"/>
        <v>-18.153999999999996</v>
      </c>
      <c r="P173" s="485">
        <f t="shared" si="192"/>
        <v>-19.162000000000003</v>
      </c>
      <c r="Q173" s="193">
        <f t="shared" si="192"/>
        <v>-69.92</v>
      </c>
      <c r="R173" s="485">
        <f t="shared" si="192"/>
        <v>-18.443000000000001</v>
      </c>
      <c r="S173" s="289">
        <f t="shared" si="192"/>
        <v>-11.503</v>
      </c>
      <c r="T173" s="485">
        <f t="shared" si="192"/>
        <v>-18.828999999999997</v>
      </c>
      <c r="U173" s="485">
        <f t="shared" si="192"/>
        <v>-368.51599999999996</v>
      </c>
      <c r="V173" s="193">
        <f t="shared" si="192"/>
        <v>-417.291</v>
      </c>
      <c r="W173" s="485">
        <f>SUM(W168:W172)</f>
        <v>-12.498000000000001</v>
      </c>
      <c r="X173" s="289">
        <f t="shared" ref="X173:AZ173" si="193">SUM(X168:X172)</f>
        <v>-25.729000000000003</v>
      </c>
      <c r="Y173" s="485">
        <f t="shared" si="193"/>
        <v>-174.126</v>
      </c>
      <c r="Z173" s="485">
        <f t="shared" si="193"/>
        <v>-15.945000000000004</v>
      </c>
      <c r="AA173" s="193">
        <f t="shared" si="193"/>
        <v>-228.298</v>
      </c>
      <c r="AB173" s="289">
        <f t="shared" si="193"/>
        <v>-46.334999999999994</v>
      </c>
      <c r="AC173" s="289">
        <f t="shared" si="193"/>
        <v>-1695.7639999999999</v>
      </c>
      <c r="AD173" s="289">
        <f t="shared" si="193"/>
        <v>-28.464999999999989</v>
      </c>
      <c r="AE173" s="485">
        <f t="shared" si="193"/>
        <v>-28.39200000000001</v>
      </c>
      <c r="AF173" s="193">
        <f t="shared" si="193"/>
        <v>-1798.9559999999999</v>
      </c>
      <c r="AG173" s="289">
        <f t="shared" si="193"/>
        <v>-17.094000000000001</v>
      </c>
      <c r="AH173" s="499">
        <f t="shared" si="193"/>
        <v>-62.073000000000008</v>
      </c>
      <c r="AI173" s="485">
        <f t="shared" si="193"/>
        <v>-24.48899999999999</v>
      </c>
      <c r="AJ173" s="485">
        <f t="shared" si="193"/>
        <v>-23.071000000000012</v>
      </c>
      <c r="AK173" s="193">
        <f t="shared" si="193"/>
        <v>-126.727</v>
      </c>
      <c r="AL173" s="289">
        <f t="shared" si="193"/>
        <v>-49.481999999999999</v>
      </c>
      <c r="AM173" s="485">
        <f t="shared" si="193"/>
        <v>-35.807000000000002</v>
      </c>
      <c r="AN173" s="489">
        <f t="shared" si="193"/>
        <v>-32.235000000000007</v>
      </c>
      <c r="AO173" s="489">
        <f t="shared" si="193"/>
        <v>-452.59699999999998</v>
      </c>
      <c r="AP173" s="193">
        <f t="shared" si="193"/>
        <v>-570.12099999999998</v>
      </c>
      <c r="AQ173" s="499">
        <f t="shared" si="193"/>
        <v>-32.21</v>
      </c>
      <c r="AR173" s="485">
        <f>SUM(AR168:AR172)</f>
        <v>-577.79499999999996</v>
      </c>
      <c r="AS173" s="489">
        <f>SUM(AS168:AS172)</f>
        <v>-41.576000000000008</v>
      </c>
      <c r="AT173" s="485">
        <f t="shared" si="193"/>
        <v>-1178.242</v>
      </c>
      <c r="AU173" s="193">
        <f t="shared" si="193"/>
        <v>-1829.8229999999999</v>
      </c>
      <c r="AV173" s="289">
        <f t="shared" si="193"/>
        <v>-3406.8801030820405</v>
      </c>
      <c r="AW173" s="289">
        <f t="shared" si="193"/>
        <v>-53.572241732521498</v>
      </c>
      <c r="AX173" s="485">
        <f t="shared" si="193"/>
        <v>-56.082110758387095</v>
      </c>
      <c r="AY173" s="485">
        <f t="shared" si="193"/>
        <v>-57.803275462896075</v>
      </c>
      <c r="AZ173" s="193">
        <f t="shared" si="193"/>
        <v>-3574.3377310358451</v>
      </c>
      <c r="BA173" s="289">
        <f t="shared" ref="BA173:BJ173" si="194">SUM(BA168:BA172)</f>
        <v>-54.245476371826001</v>
      </c>
      <c r="BB173" s="289">
        <f t="shared" si="194"/>
        <v>-58.440737782399069</v>
      </c>
      <c r="BC173" s="485">
        <f t="shared" si="194"/>
        <v>-61.137722589718948</v>
      </c>
      <c r="BD173" s="485">
        <f t="shared" si="194"/>
        <v>-63.060950445045464</v>
      </c>
      <c r="BE173" s="193">
        <f t="shared" si="194"/>
        <v>-236.88488718898947</v>
      </c>
      <c r="BF173" s="289">
        <f t="shared" si="194"/>
        <v>-59.30834605704942</v>
      </c>
      <c r="BG173" s="289">
        <f t="shared" si="194"/>
        <v>-63.850000621611741</v>
      </c>
      <c r="BH173" s="485">
        <f t="shared" si="194"/>
        <v>-66.726328119626217</v>
      </c>
      <c r="BI173" s="485">
        <f t="shared" si="194"/>
        <v>-68.882024236134939</v>
      </c>
      <c r="BJ173" s="193">
        <f t="shared" si="194"/>
        <v>-258.76669903442234</v>
      </c>
      <c r="BK173" s="473"/>
      <c r="BL173" s="473"/>
      <c r="BM173" s="473"/>
      <c r="BN173" s="473"/>
      <c r="BO173" s="473"/>
      <c r="BP173" s="473"/>
      <c r="BQ173" s="474"/>
      <c r="BR173" s="469"/>
      <c r="BS173" s="469"/>
      <c r="BZ173" s="469"/>
      <c r="CA173" s="469"/>
      <c r="CB173" s="469"/>
    </row>
    <row r="174" spans="1:80" ht="13.5" customHeight="1">
      <c r="A174" s="469"/>
      <c r="B174" s="490"/>
      <c r="C174" s="109"/>
      <c r="D174" s="109"/>
      <c r="E174" s="109"/>
      <c r="F174" s="109"/>
      <c r="G174" s="169"/>
      <c r="H174" s="109"/>
      <c r="I174" s="109"/>
      <c r="J174" s="109"/>
      <c r="K174" s="109"/>
      <c r="L174" s="169"/>
      <c r="M174" s="109"/>
      <c r="N174" s="109"/>
      <c r="O174" s="109"/>
      <c r="P174" s="109"/>
      <c r="Q174" s="169"/>
      <c r="R174" s="109"/>
      <c r="S174" s="109"/>
      <c r="T174" s="109"/>
      <c r="U174" s="109"/>
      <c r="V174" s="169"/>
      <c r="W174" s="492"/>
      <c r="X174" s="492"/>
      <c r="Y174" s="492"/>
      <c r="Z174" s="109"/>
      <c r="AA174" s="172"/>
      <c r="AB174" s="492"/>
      <c r="AC174" s="109"/>
      <c r="AD174" s="109"/>
      <c r="AE174" s="109"/>
      <c r="AF174" s="172"/>
      <c r="AG174" s="109"/>
      <c r="AH174" s="495"/>
      <c r="AI174" s="492"/>
      <c r="AJ174" s="492"/>
      <c r="AK174" s="172"/>
      <c r="AL174" s="109"/>
      <c r="AM174" s="492"/>
      <c r="AN174" s="495"/>
      <c r="AO174" s="495"/>
      <c r="AP174" s="172"/>
      <c r="AQ174" s="495"/>
      <c r="AR174" s="492"/>
      <c r="AS174" s="495"/>
      <c r="AT174" s="492"/>
      <c r="AU174" s="172"/>
      <c r="AV174" s="492"/>
      <c r="AW174" s="492"/>
      <c r="AX174" s="492"/>
      <c r="AY174" s="492"/>
      <c r="AZ174" s="172"/>
      <c r="BA174" s="492"/>
      <c r="BB174" s="492"/>
      <c r="BC174" s="492"/>
      <c r="BD174" s="492"/>
      <c r="BE174" s="172"/>
      <c r="BF174" s="492"/>
      <c r="BG174" s="492"/>
      <c r="BH174" s="492"/>
      <c r="BI174" s="492"/>
      <c r="BJ174" s="172"/>
      <c r="BK174" s="473"/>
      <c r="BL174" s="473"/>
      <c r="BM174" s="473"/>
      <c r="BN174" s="473"/>
      <c r="BO174" s="473"/>
      <c r="BP174" s="473"/>
      <c r="BQ174" s="474"/>
      <c r="BR174" s="469"/>
      <c r="BS174" s="469"/>
      <c r="BZ174" s="469"/>
      <c r="CA174" s="469"/>
      <c r="CB174" s="469"/>
    </row>
    <row r="175" spans="1:80" ht="13.5" customHeight="1">
      <c r="A175" s="469"/>
      <c r="B175" s="467" t="s">
        <v>193</v>
      </c>
      <c r="C175" s="109"/>
      <c r="D175" s="109"/>
      <c r="E175" s="109"/>
      <c r="F175" s="109"/>
      <c r="G175" s="169"/>
      <c r="H175" s="109"/>
      <c r="I175" s="109"/>
      <c r="J175" s="109"/>
      <c r="K175" s="109"/>
      <c r="L175" s="169"/>
      <c r="M175" s="109"/>
      <c r="N175" s="109"/>
      <c r="O175" s="109"/>
      <c r="P175" s="109"/>
      <c r="Q175" s="169"/>
      <c r="R175" s="109"/>
      <c r="S175" s="109"/>
      <c r="T175" s="109"/>
      <c r="U175" s="109"/>
      <c r="V175" s="169"/>
      <c r="W175" s="492"/>
      <c r="X175" s="492"/>
      <c r="Y175" s="492"/>
      <c r="Z175" s="109"/>
      <c r="AA175" s="172"/>
      <c r="AB175" s="492"/>
      <c r="AC175" s="109"/>
      <c r="AD175" s="109"/>
      <c r="AE175" s="492"/>
      <c r="AF175" s="172"/>
      <c r="AG175" s="109"/>
      <c r="AH175" s="495"/>
      <c r="AI175" s="492"/>
      <c r="AJ175" s="492"/>
      <c r="AK175" s="172"/>
      <c r="AL175" s="109"/>
      <c r="AM175" s="492"/>
      <c r="AN175" s="495"/>
      <c r="AO175" s="495"/>
      <c r="AP175" s="172"/>
      <c r="AQ175" s="495"/>
      <c r="AR175" s="492"/>
      <c r="AS175" s="495"/>
      <c r="AT175" s="492"/>
      <c r="AU175" s="172"/>
      <c r="AV175" s="492"/>
      <c r="AW175" s="492"/>
      <c r="AX175" s="492"/>
      <c r="AY175" s="492"/>
      <c r="AZ175" s="172"/>
      <c r="BA175" s="492"/>
      <c r="BB175" s="492"/>
      <c r="BC175" s="492"/>
      <c r="BD175" s="492"/>
      <c r="BE175" s="172"/>
      <c r="BF175" s="492"/>
      <c r="BG175" s="492"/>
      <c r="BH175" s="492"/>
      <c r="BI175" s="492"/>
      <c r="BJ175" s="172"/>
      <c r="BK175" s="473"/>
      <c r="BL175" s="473"/>
      <c r="BM175" s="473"/>
      <c r="BN175" s="473"/>
      <c r="BO175" s="473"/>
      <c r="BP175" s="473"/>
      <c r="BQ175" s="474"/>
      <c r="BR175" s="469"/>
      <c r="BS175" s="469"/>
      <c r="BZ175" s="469"/>
      <c r="CA175" s="469"/>
      <c r="CB175" s="469"/>
    </row>
    <row r="176" spans="1:80" ht="13.5" customHeight="1">
      <c r="A176" s="469"/>
      <c r="B176" s="477" t="s">
        <v>194</v>
      </c>
      <c r="C176" s="215"/>
      <c r="D176" s="215"/>
      <c r="E176" s="215"/>
      <c r="F176" s="215"/>
      <c r="G176" s="169"/>
      <c r="H176" s="215"/>
      <c r="I176" s="215"/>
      <c r="J176" s="215"/>
      <c r="K176" s="168"/>
      <c r="L176" s="169">
        <v>0</v>
      </c>
      <c r="M176" s="215">
        <v>0</v>
      </c>
      <c r="N176" s="215">
        <v>0</v>
      </c>
      <c r="O176" s="215">
        <v>0</v>
      </c>
      <c r="P176" s="168">
        <v>0</v>
      </c>
      <c r="Q176" s="169">
        <f>+SUM(M176:P176)</f>
        <v>0</v>
      </c>
      <c r="R176" s="168">
        <f>460.913</f>
        <v>460.91300000000001</v>
      </c>
      <c r="S176" s="215">
        <f>460.913-R176</f>
        <v>0</v>
      </c>
      <c r="T176" s="215">
        <f>460.913-S176-R176</f>
        <v>0</v>
      </c>
      <c r="U176" s="168">
        <f>460.913-R176-S176-T176</f>
        <v>0</v>
      </c>
      <c r="V176" s="169">
        <f>+SUM(R176:U176)</f>
        <v>460.91300000000001</v>
      </c>
      <c r="W176" s="168">
        <v>0</v>
      </c>
      <c r="X176" s="500">
        <v>0</v>
      </c>
      <c r="Y176" s="500">
        <v>0</v>
      </c>
      <c r="Z176" s="215">
        <v>0</v>
      </c>
      <c r="AA176" s="169">
        <f t="shared" ref="AA176:AA187" si="195">+SUM(W176:Z176)</f>
        <v>0</v>
      </c>
      <c r="AB176" s="500">
        <v>0</v>
      </c>
      <c r="AC176" s="215">
        <v>0</v>
      </c>
      <c r="AD176" s="215">
        <v>0</v>
      </c>
      <c r="AE176" s="215">
        <v>0</v>
      </c>
      <c r="AF176" s="169">
        <f t="shared" ref="AF176:AF187" si="196">+SUM(AB176:AE176)</f>
        <v>0</v>
      </c>
      <c r="AG176" s="215">
        <v>0</v>
      </c>
      <c r="AH176" s="273">
        <v>0</v>
      </c>
      <c r="AI176" s="215">
        <v>0</v>
      </c>
      <c r="AJ176" s="215">
        <v>0</v>
      </c>
      <c r="AK176" s="169">
        <f t="shared" ref="AK176:AK187" si="197">+SUM(AG176:AJ176)</f>
        <v>0</v>
      </c>
      <c r="AL176" s="215">
        <v>0</v>
      </c>
      <c r="AM176" s="215">
        <v>0</v>
      </c>
      <c r="AN176" s="273">
        <v>0</v>
      </c>
      <c r="AO176" s="273">
        <v>0</v>
      </c>
      <c r="AP176" s="169">
        <f t="shared" ref="AP176:AP187" si="198">+SUM(AL176:AO176)</f>
        <v>0</v>
      </c>
      <c r="AQ176" s="273">
        <v>0</v>
      </c>
      <c r="AR176" s="215">
        <v>0</v>
      </c>
      <c r="AS176" s="273">
        <v>0</v>
      </c>
      <c r="AT176" s="273">
        <v>0</v>
      </c>
      <c r="AU176" s="169">
        <f t="shared" ref="AU176:AU187" si="199">+SUM(AQ176:AT176)</f>
        <v>0</v>
      </c>
      <c r="AV176" s="501">
        <v>0</v>
      </c>
      <c r="AW176" s="501">
        <v>0</v>
      </c>
      <c r="AX176" s="501">
        <v>0</v>
      </c>
      <c r="AY176" s="501">
        <v>0</v>
      </c>
      <c r="AZ176" s="169">
        <f t="shared" ref="AZ176:AZ187" si="200">+SUM(AV176:AY176)</f>
        <v>0</v>
      </c>
      <c r="BA176" s="501">
        <v>0</v>
      </c>
      <c r="BB176" s="501">
        <v>0</v>
      </c>
      <c r="BC176" s="501">
        <v>0</v>
      </c>
      <c r="BD176" s="501">
        <v>0</v>
      </c>
      <c r="BE176" s="169">
        <f t="shared" ref="BE176:BE187" si="201">+SUM(BA176:BD176)</f>
        <v>0</v>
      </c>
      <c r="BF176" s="501">
        <v>0</v>
      </c>
      <c r="BG176" s="501">
        <v>0</v>
      </c>
      <c r="BH176" s="501">
        <v>0</v>
      </c>
      <c r="BI176" s="501">
        <v>0</v>
      </c>
      <c r="BJ176" s="169">
        <f t="shared" ref="BJ176:BJ187" si="202">+SUM(BF176:BI176)</f>
        <v>0</v>
      </c>
      <c r="BK176" s="473"/>
      <c r="BL176" s="473"/>
      <c r="BM176" s="473"/>
      <c r="BN176" s="473"/>
      <c r="BO176" s="473"/>
      <c r="BP176" s="473"/>
      <c r="BQ176" s="474"/>
      <c r="BR176" s="469"/>
      <c r="BS176" s="469"/>
      <c r="BZ176" s="469"/>
      <c r="CA176" s="469"/>
      <c r="CB176" s="469"/>
    </row>
    <row r="177" spans="1:80" ht="13.5" customHeight="1">
      <c r="A177" s="469"/>
      <c r="B177" s="477" t="s">
        <v>195</v>
      </c>
      <c r="C177" s="215"/>
      <c r="D177" s="215"/>
      <c r="E177" s="215"/>
      <c r="F177" s="215"/>
      <c r="G177" s="169"/>
      <c r="H177" s="215"/>
      <c r="I177" s="215"/>
      <c r="J177" s="215"/>
      <c r="K177" s="168"/>
      <c r="L177" s="169">
        <v>0</v>
      </c>
      <c r="M177" s="215">
        <v>0</v>
      </c>
      <c r="N177" s="215">
        <v>0</v>
      </c>
      <c r="O177" s="215">
        <v>0</v>
      </c>
      <c r="P177" s="168">
        <v>0</v>
      </c>
      <c r="Q177" s="169">
        <f>+SUM(M177:P177)</f>
        <v>0</v>
      </c>
      <c r="R177" s="168">
        <v>33.512</v>
      </c>
      <c r="S177" s="215">
        <f>33.512-R177</f>
        <v>0</v>
      </c>
      <c r="T177" s="215">
        <f>33.512-R177-S177</f>
        <v>0</v>
      </c>
      <c r="U177" s="168">
        <f>33.512-R177-S177-T177</f>
        <v>0</v>
      </c>
      <c r="V177" s="169">
        <f>+SUM(R177:U177)</f>
        <v>33.512</v>
      </c>
      <c r="W177" s="168">
        <v>0</v>
      </c>
      <c r="X177" s="500">
        <v>0</v>
      </c>
      <c r="Y177" s="500">
        <v>0</v>
      </c>
      <c r="Z177" s="215">
        <v>0</v>
      </c>
      <c r="AA177" s="169">
        <f t="shared" si="195"/>
        <v>0</v>
      </c>
      <c r="AB177" s="500">
        <v>0.23599999999999999</v>
      </c>
      <c r="AC177" s="215">
        <f>0.321-AB177</f>
        <v>8.500000000000002E-2</v>
      </c>
      <c r="AD177" s="215">
        <f>2.774-AC177-AB177</f>
        <v>2.4530000000000003</v>
      </c>
      <c r="AE177" s="215">
        <f>2.627-AD177-AC177-AB177</f>
        <v>-0.14700000000000052</v>
      </c>
      <c r="AF177" s="169">
        <f t="shared" si="196"/>
        <v>2.6269999999999998</v>
      </c>
      <c r="AG177" s="215">
        <v>6.03</v>
      </c>
      <c r="AH177" s="273">
        <f>9.628-AG177</f>
        <v>3.5979999999999999</v>
      </c>
      <c r="AI177" s="215">
        <f>12.739-AH177-AG177</f>
        <v>3.1110000000000015</v>
      </c>
      <c r="AJ177" s="215">
        <f>13.63-200.219-AI177-AH177-AG177</f>
        <v>-199.328</v>
      </c>
      <c r="AK177" s="169">
        <f t="shared" si="197"/>
        <v>-186.589</v>
      </c>
      <c r="AL177" s="215">
        <v>3.7949999999999999</v>
      </c>
      <c r="AM177" s="215">
        <f>8.538-AL177</f>
        <v>4.7430000000000003</v>
      </c>
      <c r="AN177" s="273">
        <f>12.34-AM177-AL177</f>
        <v>3.8019999999999996</v>
      </c>
      <c r="AO177" s="273">
        <f>15.389-AN177-AM177-AL177</f>
        <v>3.0489999999999995</v>
      </c>
      <c r="AP177" s="169">
        <f t="shared" si="198"/>
        <v>15.388999999999999</v>
      </c>
      <c r="AQ177" s="273">
        <v>0</v>
      </c>
      <c r="AR177" s="215">
        <f>10.096-AQ177</f>
        <v>10.096</v>
      </c>
      <c r="AS177" s="273">
        <f>10.847-AR177-AQ177</f>
        <v>0.75099999999999945</v>
      </c>
      <c r="AT177" s="273">
        <f>14.566-AS177-AR177-AQ177</f>
        <v>3.7190000000000012</v>
      </c>
      <c r="AU177" s="169">
        <f t="shared" si="199"/>
        <v>14.566000000000001</v>
      </c>
      <c r="AV177" s="501">
        <v>0</v>
      </c>
      <c r="AW177" s="501">
        <v>0</v>
      </c>
      <c r="AX177" s="501">
        <v>0</v>
      </c>
      <c r="AY177" s="501">
        <v>0</v>
      </c>
      <c r="AZ177" s="169">
        <f t="shared" si="200"/>
        <v>0</v>
      </c>
      <c r="BA177" s="501">
        <v>0</v>
      </c>
      <c r="BB177" s="501">
        <v>0</v>
      </c>
      <c r="BC177" s="501">
        <v>0</v>
      </c>
      <c r="BD177" s="501">
        <v>0</v>
      </c>
      <c r="BE177" s="169">
        <f t="shared" si="201"/>
        <v>0</v>
      </c>
      <c r="BF177" s="501">
        <v>0</v>
      </c>
      <c r="BG177" s="501">
        <v>0</v>
      </c>
      <c r="BH177" s="501">
        <v>0</v>
      </c>
      <c r="BI177" s="501">
        <v>0</v>
      </c>
      <c r="BJ177" s="169">
        <f t="shared" si="202"/>
        <v>0</v>
      </c>
      <c r="BK177" s="473"/>
      <c r="BL177" s="473"/>
      <c r="BM177" s="473"/>
      <c r="BN177" s="473"/>
      <c r="BO177" s="473"/>
      <c r="BP177" s="473"/>
      <c r="BQ177" s="474"/>
      <c r="BR177" s="469"/>
      <c r="BS177" s="469"/>
      <c r="BZ177" s="469"/>
      <c r="CA177" s="469"/>
      <c r="CB177" s="469"/>
    </row>
    <row r="178" spans="1:80" ht="13.5" customHeight="1">
      <c r="A178" s="469"/>
      <c r="B178" s="477" t="s">
        <v>196</v>
      </c>
      <c r="C178" s="215"/>
      <c r="D178" s="215"/>
      <c r="E178" s="215"/>
      <c r="F178" s="215"/>
      <c r="G178" s="169"/>
      <c r="H178" s="215"/>
      <c r="I178" s="215"/>
      <c r="J178" s="215"/>
      <c r="K178" s="168"/>
      <c r="L178" s="169">
        <v>1755.751</v>
      </c>
      <c r="M178" s="215">
        <v>0</v>
      </c>
      <c r="N178" s="215">
        <f>0-M178</f>
        <v>0</v>
      </c>
      <c r="O178" s="215">
        <f>0-SUM(M178:N178)</f>
        <v>0</v>
      </c>
      <c r="P178" s="168">
        <v>0</v>
      </c>
      <c r="Q178" s="169">
        <f t="shared" ref="Q178:Q187" si="203">+SUM(M178:P178)</f>
        <v>0</v>
      </c>
      <c r="R178" s="168">
        <v>1248.75</v>
      </c>
      <c r="S178" s="215">
        <f>1248.75-R178</f>
        <v>0</v>
      </c>
      <c r="T178" s="215">
        <f>1248.75-S178-R178</f>
        <v>0</v>
      </c>
      <c r="U178" s="168">
        <f>1338.75-R178-S178-T178</f>
        <v>90</v>
      </c>
      <c r="V178" s="169">
        <f t="shared" ref="V178:V187" si="204">+SUM(R178:U178)</f>
        <v>1338.75</v>
      </c>
      <c r="W178" s="168">
        <v>0</v>
      </c>
      <c r="X178" s="500">
        <f>1850-W178</f>
        <v>1850</v>
      </c>
      <c r="Y178" s="500">
        <f>1850-X178-W178</f>
        <v>0</v>
      </c>
      <c r="Z178" s="215">
        <f>1850-SUM(W178:Y178)</f>
        <v>0</v>
      </c>
      <c r="AA178" s="169">
        <f t="shared" si="195"/>
        <v>1850</v>
      </c>
      <c r="AB178" s="500">
        <v>0</v>
      </c>
      <c r="AC178" s="215">
        <f>3443-AB178</f>
        <v>3443</v>
      </c>
      <c r="AD178" s="215">
        <f>3443-AC178-AB178</f>
        <v>0</v>
      </c>
      <c r="AE178" s="215">
        <f>3443-AD178-AC178-AB178</f>
        <v>0</v>
      </c>
      <c r="AF178" s="169">
        <f t="shared" si="196"/>
        <v>3443</v>
      </c>
      <c r="AG178" s="215">
        <v>0</v>
      </c>
      <c r="AH178" s="273">
        <v>0</v>
      </c>
      <c r="AI178" s="215">
        <v>0</v>
      </c>
      <c r="AJ178" s="215">
        <f>177-SUM(AG178:AI178)</f>
        <v>177</v>
      </c>
      <c r="AK178" s="169">
        <f t="shared" si="197"/>
        <v>177</v>
      </c>
      <c r="AL178" s="215">
        <v>765</v>
      </c>
      <c r="AM178" s="215">
        <f>855-AL178</f>
        <v>90</v>
      </c>
      <c r="AN178" s="273">
        <f>1180-AM178-AL178</f>
        <v>325</v>
      </c>
      <c r="AO178" s="273">
        <f>3234.375+1250-AN178-AM178-AL178</f>
        <v>3304.375</v>
      </c>
      <c r="AP178" s="169">
        <f t="shared" si="198"/>
        <v>4484.375</v>
      </c>
      <c r="AQ178" s="273">
        <v>570</v>
      </c>
      <c r="AR178" s="215">
        <f>3051-AQ178</f>
        <v>2481</v>
      </c>
      <c r="AS178" s="273">
        <f>1270+5405-AR178-AQ178</f>
        <v>3624</v>
      </c>
      <c r="AT178" s="273">
        <f>1270+1135.205+8442-AS178-AR178-AQ178</f>
        <v>4172.2049999999999</v>
      </c>
      <c r="AU178" s="169">
        <f t="shared" si="199"/>
        <v>10847.205</v>
      </c>
      <c r="AV178" s="501">
        <v>3850</v>
      </c>
      <c r="AW178" s="501">
        <v>0</v>
      </c>
      <c r="AX178" s="501">
        <v>0</v>
      </c>
      <c r="AY178" s="501">
        <v>0</v>
      </c>
      <c r="AZ178" s="169">
        <f t="shared" si="200"/>
        <v>3850</v>
      </c>
      <c r="BA178" s="501">
        <v>0</v>
      </c>
      <c r="BB178" s="501">
        <v>0</v>
      </c>
      <c r="BC178" s="501">
        <v>0</v>
      </c>
      <c r="BD178" s="501">
        <v>0</v>
      </c>
      <c r="BE178" s="169">
        <f t="shared" si="201"/>
        <v>0</v>
      </c>
      <c r="BF178" s="501">
        <v>0</v>
      </c>
      <c r="BG178" s="501">
        <v>0</v>
      </c>
      <c r="BH178" s="501">
        <v>0</v>
      </c>
      <c r="BI178" s="501">
        <v>0</v>
      </c>
      <c r="BJ178" s="169">
        <f t="shared" si="202"/>
        <v>0</v>
      </c>
      <c r="BK178" s="473"/>
      <c r="BL178" s="473"/>
      <c r="BM178" s="473"/>
      <c r="BN178" s="473"/>
      <c r="BO178" s="473"/>
      <c r="BP178" s="473"/>
      <c r="BQ178" s="474"/>
      <c r="BR178" s="469"/>
      <c r="BS178" s="469"/>
      <c r="BZ178" s="469"/>
      <c r="CA178" s="469"/>
      <c r="CB178" s="469"/>
    </row>
    <row r="179" spans="1:80" ht="13.5" customHeight="1">
      <c r="A179" s="469"/>
      <c r="B179" s="477" t="s">
        <v>197</v>
      </c>
      <c r="C179" s="215"/>
      <c r="D179" s="215"/>
      <c r="E179" s="215"/>
      <c r="F179" s="215"/>
      <c r="G179" s="169"/>
      <c r="H179" s="215"/>
      <c r="I179" s="215"/>
      <c r="J179" s="215"/>
      <c r="K179" s="168"/>
      <c r="L179" s="169">
        <v>-1237.771</v>
      </c>
      <c r="M179" s="215">
        <v>-3.972</v>
      </c>
      <c r="N179" s="215">
        <f>-9.009-M179</f>
        <v>-5.0370000000000008</v>
      </c>
      <c r="O179" s="215">
        <f>-15.443-SUM(M179:N179)</f>
        <v>-6.4339999999999993</v>
      </c>
      <c r="P179" s="168">
        <f>-20.373-M179-N179-O179</f>
        <v>-4.93</v>
      </c>
      <c r="Q179" s="169">
        <f>+SUM(M179:P179)</f>
        <v>-20.372999999999998</v>
      </c>
      <c r="R179" s="168">
        <f>-1761.784</f>
        <v>-1761.7840000000001</v>
      </c>
      <c r="S179" s="215">
        <f>-1780.4-R179</f>
        <v>-18.615999999999985</v>
      </c>
      <c r="T179" s="215">
        <f>-1793.074-S179-R179</f>
        <v>-12.673999999999978</v>
      </c>
      <c r="U179" s="168">
        <f>-1859.199-R179-S179-T179</f>
        <v>-66.125</v>
      </c>
      <c r="V179" s="169">
        <f>+SUM(R179:U179)</f>
        <v>-1859.1990000000001</v>
      </c>
      <c r="W179" s="168">
        <v>-56.680999999999997</v>
      </c>
      <c r="X179" s="500">
        <f>-1255.078-W179</f>
        <v>-1198.3969999999999</v>
      </c>
      <c r="Y179" s="500">
        <f>-1280.366-X179-W179</f>
        <v>-25.288000000000054</v>
      </c>
      <c r="Z179" s="168">
        <f>-1304.966-SUM(W179:Y179)</f>
        <v>-24.599999999999909</v>
      </c>
      <c r="AA179" s="169">
        <f t="shared" si="195"/>
        <v>-1304.9659999999999</v>
      </c>
      <c r="AB179" s="500">
        <v>-24.606999999999999</v>
      </c>
      <c r="AC179" s="215">
        <f>-1806.241-AB179</f>
        <v>-1781.634</v>
      </c>
      <c r="AD179" s="215">
        <f>-1838.906-AC179-AB179</f>
        <v>-32.664999999999935</v>
      </c>
      <c r="AE179" s="215">
        <f>-1870.54-AD179-AC179-AB179</f>
        <v>-31.633999999999986</v>
      </c>
      <c r="AF179" s="169">
        <f t="shared" si="196"/>
        <v>-1870.54</v>
      </c>
      <c r="AG179" s="215">
        <f>-230.823</f>
        <v>-230.82300000000001</v>
      </c>
      <c r="AH179" s="273">
        <f>-262.946-AG179</f>
        <v>-32.123000000000019</v>
      </c>
      <c r="AI179" s="215">
        <f>-295.208-AH179-AG179</f>
        <v>-32.262000000000029</v>
      </c>
      <c r="AJ179" s="215">
        <f>-503.462-SUM(AG179:AI179)</f>
        <v>-208.25399999999991</v>
      </c>
      <c r="AK179" s="169">
        <f t="shared" si="197"/>
        <v>-503.46199999999999</v>
      </c>
      <c r="AL179" s="215">
        <f>-765-41.767</f>
        <v>-806.76700000000005</v>
      </c>
      <c r="AM179" s="215">
        <f>-855-69.521-AL179</f>
        <v>-117.75399999999991</v>
      </c>
      <c r="AN179" s="273">
        <f>-1180-98.019-AM179-AL179</f>
        <v>-353.49800000000005</v>
      </c>
      <c r="AO179" s="273">
        <f>-3084.922-1250-AN179-AM179-AL179</f>
        <v>-3056.9030000000002</v>
      </c>
      <c r="AP179" s="169">
        <f t="shared" si="198"/>
        <v>-4334.9220000000005</v>
      </c>
      <c r="AQ179" s="273">
        <f>-35.588-570</f>
        <v>-605.58799999999997</v>
      </c>
      <c r="AR179" s="215">
        <f>-2693-70.228-AQ179</f>
        <v>-2157.6400000000003</v>
      </c>
      <c r="AS179" s="273">
        <f>-5046-107.969-AR179-AQ179</f>
        <v>-2390.741</v>
      </c>
      <c r="AT179" s="273">
        <f>-143.708-AS179-AR179-AQ179-8217</f>
        <v>-3206.7389999999996</v>
      </c>
      <c r="AU179" s="169">
        <f t="shared" si="199"/>
        <v>-8360.7079999999987</v>
      </c>
      <c r="AV179" s="501">
        <v>-1000</v>
      </c>
      <c r="AW179" s="501">
        <v>0</v>
      </c>
      <c r="AX179" s="501">
        <f>+AW179</f>
        <v>0</v>
      </c>
      <c r="AY179" s="501">
        <f>+AX179</f>
        <v>0</v>
      </c>
      <c r="AZ179" s="169">
        <f t="shared" si="200"/>
        <v>-1000</v>
      </c>
      <c r="BA179" s="501">
        <v>-100</v>
      </c>
      <c r="BB179" s="501">
        <f>+BA179</f>
        <v>-100</v>
      </c>
      <c r="BC179" s="501">
        <f>+BB179</f>
        <v>-100</v>
      </c>
      <c r="BD179" s="501">
        <f>+BC179</f>
        <v>-100</v>
      </c>
      <c r="BE179" s="169">
        <f t="shared" si="201"/>
        <v>-400</v>
      </c>
      <c r="BF179" s="501">
        <v>0</v>
      </c>
      <c r="BG179" s="501">
        <f>+BF179</f>
        <v>0</v>
      </c>
      <c r="BH179" s="501">
        <f>+BG179</f>
        <v>0</v>
      </c>
      <c r="BI179" s="501">
        <f>+BH179</f>
        <v>0</v>
      </c>
      <c r="BJ179" s="169">
        <f t="shared" si="202"/>
        <v>0</v>
      </c>
      <c r="BK179" s="473"/>
      <c r="BL179" s="473"/>
      <c r="BM179" s="473"/>
      <c r="BN179" s="473"/>
      <c r="BO179" s="473"/>
      <c r="BP179" s="473"/>
      <c r="BQ179" s="474"/>
      <c r="BR179" s="469"/>
      <c r="BS179" s="469"/>
      <c r="BZ179" s="469"/>
      <c r="CA179" s="469"/>
      <c r="CB179" s="469"/>
    </row>
    <row r="180" spans="1:80" ht="13.5" customHeight="1">
      <c r="A180" s="469"/>
      <c r="B180" s="477" t="s">
        <v>198</v>
      </c>
      <c r="C180" s="215"/>
      <c r="D180" s="215"/>
      <c r="E180" s="215"/>
      <c r="F180" s="215"/>
      <c r="G180" s="169"/>
      <c r="H180" s="215"/>
      <c r="I180" s="215"/>
      <c r="J180" s="215"/>
      <c r="K180" s="168"/>
      <c r="L180" s="169">
        <v>-43.564999999999998</v>
      </c>
      <c r="M180" s="215">
        <v>0</v>
      </c>
      <c r="N180" s="215">
        <f>-6.276-M180</f>
        <v>-6.2759999999999998</v>
      </c>
      <c r="O180" s="215">
        <f>-6.276-SUM(M180:N180)</f>
        <v>0</v>
      </c>
      <c r="P180" s="168">
        <f>-6.276-M180-N180-O180</f>
        <v>0</v>
      </c>
      <c r="Q180" s="169">
        <f t="shared" si="203"/>
        <v>-6.2759999999999998</v>
      </c>
      <c r="R180" s="168">
        <v>-28.949000000000002</v>
      </c>
      <c r="S180" s="215">
        <f>-28.949-R180</f>
        <v>0</v>
      </c>
      <c r="T180" s="215">
        <f>-28.949-S180-R180</f>
        <v>0</v>
      </c>
      <c r="U180" s="168">
        <f>-28.949-R180-S180-T180</f>
        <v>0</v>
      </c>
      <c r="V180" s="169">
        <f t="shared" si="204"/>
        <v>-28.949000000000002</v>
      </c>
      <c r="W180" s="168">
        <v>0</v>
      </c>
      <c r="X180" s="500">
        <f>-26.288-W180</f>
        <v>-26.288</v>
      </c>
      <c r="Y180" s="500">
        <f>-26.288-X180-W180</f>
        <v>0</v>
      </c>
      <c r="Z180" s="215">
        <f>-26.288-SUM(W180:Y180)</f>
        <v>0</v>
      </c>
      <c r="AA180" s="169">
        <f t="shared" si="195"/>
        <v>-26.288</v>
      </c>
      <c r="AB180" s="500">
        <v>0</v>
      </c>
      <c r="AC180" s="215">
        <f>-38.059-AB180</f>
        <v>-38.058999999999997</v>
      </c>
      <c r="AD180" s="215">
        <f>-38.069-AC180-AB180</f>
        <v>-1.0000000000005116E-2</v>
      </c>
      <c r="AE180" s="215">
        <f>-38.092-AD180-AC180-AB180</f>
        <v>-2.2999999999996135E-2</v>
      </c>
      <c r="AF180" s="169">
        <f t="shared" si="196"/>
        <v>-38.091999999999999</v>
      </c>
      <c r="AG180" s="215">
        <v>0</v>
      </c>
      <c r="AH180" s="215">
        <v>0</v>
      </c>
      <c r="AI180" s="215">
        <v>0</v>
      </c>
      <c r="AJ180" s="215">
        <v>0</v>
      </c>
      <c r="AK180" s="169">
        <f t="shared" si="197"/>
        <v>0</v>
      </c>
      <c r="AL180" s="215">
        <v>0</v>
      </c>
      <c r="AM180" s="215">
        <v>0</v>
      </c>
      <c r="AN180" s="273">
        <v>0</v>
      </c>
      <c r="AO180" s="273">
        <f>-20.115-AN180-AM180-AL180</f>
        <v>-20.114999999999998</v>
      </c>
      <c r="AP180" s="169">
        <f t="shared" si="198"/>
        <v>-20.114999999999998</v>
      </c>
      <c r="AQ180" s="273">
        <v>-1.0980000000000001</v>
      </c>
      <c r="AR180" s="215">
        <f>-1.098-AQ180</f>
        <v>0</v>
      </c>
      <c r="AS180" s="273">
        <f>-24.148-AR180-AQ180</f>
        <v>-23.05</v>
      </c>
      <c r="AT180" s="273">
        <f>-27.621-AS180-AR180-AQ180</f>
        <v>-3.4729999999999981</v>
      </c>
      <c r="AU180" s="169">
        <f t="shared" si="199"/>
        <v>-27.620999999999999</v>
      </c>
      <c r="AV180" s="501">
        <v>0</v>
      </c>
      <c r="AW180" s="501">
        <v>0</v>
      </c>
      <c r="AX180" s="501">
        <v>0</v>
      </c>
      <c r="AY180" s="501">
        <v>0</v>
      </c>
      <c r="AZ180" s="169">
        <f t="shared" si="200"/>
        <v>0</v>
      </c>
      <c r="BA180" s="501">
        <v>0</v>
      </c>
      <c r="BB180" s="501">
        <v>0</v>
      </c>
      <c r="BC180" s="501">
        <v>0</v>
      </c>
      <c r="BD180" s="501">
        <v>0</v>
      </c>
      <c r="BE180" s="169">
        <f t="shared" si="201"/>
        <v>0</v>
      </c>
      <c r="BF180" s="501">
        <v>0</v>
      </c>
      <c r="BG180" s="501">
        <v>0</v>
      </c>
      <c r="BH180" s="501">
        <v>0</v>
      </c>
      <c r="BI180" s="501">
        <v>0</v>
      </c>
      <c r="BJ180" s="169">
        <f t="shared" si="202"/>
        <v>0</v>
      </c>
      <c r="BK180" s="473"/>
      <c r="BL180" s="1280"/>
      <c r="BM180" s="473"/>
      <c r="BN180" s="473"/>
      <c r="BO180" s="473"/>
      <c r="BP180" s="473"/>
      <c r="BQ180" s="474"/>
      <c r="BR180" s="469"/>
      <c r="BS180" s="469"/>
      <c r="BZ180" s="469"/>
      <c r="CA180" s="469"/>
      <c r="CB180" s="469"/>
    </row>
    <row r="181" spans="1:80" ht="13.5" customHeight="1">
      <c r="A181" s="469"/>
      <c r="B181" s="477" t="s">
        <v>199</v>
      </c>
      <c r="C181" s="215"/>
      <c r="D181" s="215"/>
      <c r="E181" s="215"/>
      <c r="F181" s="215"/>
      <c r="G181" s="169"/>
      <c r="H181" s="215"/>
      <c r="I181" s="215"/>
      <c r="J181" s="215"/>
      <c r="K181" s="168"/>
      <c r="L181" s="169">
        <v>0</v>
      </c>
      <c r="M181" s="215">
        <v>0</v>
      </c>
      <c r="N181" s="215">
        <v>0</v>
      </c>
      <c r="O181" s="215">
        <v>0</v>
      </c>
      <c r="P181" s="168">
        <v>0</v>
      </c>
      <c r="Q181" s="169">
        <f>+SUM(M181:P181)</f>
        <v>0</v>
      </c>
      <c r="R181" s="215">
        <f>-33.512</f>
        <v>-33.512</v>
      </c>
      <c r="S181" s="215">
        <f>-33.512-R181</f>
        <v>0</v>
      </c>
      <c r="T181" s="215">
        <f>-33.512-S181-R181</f>
        <v>0</v>
      </c>
      <c r="U181" s="168">
        <f>-33.512-R181-S181-T181</f>
        <v>0</v>
      </c>
      <c r="V181" s="169">
        <f>+SUM(R181:U181)</f>
        <v>-33.512</v>
      </c>
      <c r="W181" s="215">
        <v>0</v>
      </c>
      <c r="X181" s="500">
        <v>0</v>
      </c>
      <c r="Y181" s="500">
        <v>0</v>
      </c>
      <c r="Z181" s="215">
        <v>0</v>
      </c>
      <c r="AA181" s="169">
        <f t="shared" si="195"/>
        <v>0</v>
      </c>
      <c r="AB181" s="500">
        <v>0</v>
      </c>
      <c r="AC181" s="215">
        <v>0</v>
      </c>
      <c r="AD181" s="215">
        <v>0</v>
      </c>
      <c r="AE181" s="215">
        <v>0</v>
      </c>
      <c r="AF181" s="169">
        <f t="shared" si="196"/>
        <v>0</v>
      </c>
      <c r="AG181" s="215">
        <v>0</v>
      </c>
      <c r="AH181" s="273">
        <v>0</v>
      </c>
      <c r="AI181" s="215">
        <v>0</v>
      </c>
      <c r="AJ181" s="215">
        <v>0</v>
      </c>
      <c r="AK181" s="169">
        <f t="shared" si="197"/>
        <v>0</v>
      </c>
      <c r="AL181" s="215">
        <v>0</v>
      </c>
      <c r="AM181" s="215">
        <v>0</v>
      </c>
      <c r="AN181" s="273">
        <v>0</v>
      </c>
      <c r="AO181" s="273">
        <v>0</v>
      </c>
      <c r="AP181" s="169">
        <f t="shared" si="198"/>
        <v>0</v>
      </c>
      <c r="AQ181" s="273">
        <v>6.63</v>
      </c>
      <c r="AR181" s="215">
        <f>0-AQ181</f>
        <v>-6.63</v>
      </c>
      <c r="AS181" s="273">
        <f>0-AR181-AQ181</f>
        <v>0</v>
      </c>
      <c r="AT181" s="273">
        <f>0-AS181-AR181-AQ181</f>
        <v>0</v>
      </c>
      <c r="AU181" s="169">
        <f t="shared" si="199"/>
        <v>0</v>
      </c>
      <c r="AV181" s="501">
        <v>0</v>
      </c>
      <c r="AW181" s="501">
        <v>0</v>
      </c>
      <c r="AX181" s="501">
        <v>0</v>
      </c>
      <c r="AY181" s="501">
        <v>0</v>
      </c>
      <c r="AZ181" s="169">
        <f t="shared" si="200"/>
        <v>0</v>
      </c>
      <c r="BA181" s="501">
        <v>0</v>
      </c>
      <c r="BB181" s="501">
        <v>0</v>
      </c>
      <c r="BC181" s="501">
        <v>0</v>
      </c>
      <c r="BD181" s="501">
        <v>0</v>
      </c>
      <c r="BE181" s="169">
        <f t="shared" si="201"/>
        <v>0</v>
      </c>
      <c r="BF181" s="501">
        <v>0</v>
      </c>
      <c r="BG181" s="501">
        <v>0</v>
      </c>
      <c r="BH181" s="501">
        <v>0</v>
      </c>
      <c r="BI181" s="501">
        <v>0</v>
      </c>
      <c r="BJ181" s="169">
        <f t="shared" si="202"/>
        <v>0</v>
      </c>
      <c r="BK181" s="473"/>
      <c r="BL181" s="473"/>
      <c r="BM181" s="473"/>
      <c r="BN181" s="473"/>
      <c r="BO181" s="473"/>
      <c r="BP181" s="473"/>
      <c r="BQ181" s="474"/>
      <c r="BR181" s="469"/>
      <c r="BS181" s="469"/>
      <c r="BZ181" s="469"/>
      <c r="CA181" s="469"/>
      <c r="CB181" s="469"/>
    </row>
    <row r="182" spans="1:80" ht="13.5" customHeight="1">
      <c r="A182" s="469"/>
      <c r="B182" s="477" t="s">
        <v>200</v>
      </c>
      <c r="C182" s="215"/>
      <c r="D182" s="215"/>
      <c r="E182" s="215"/>
      <c r="F182" s="215"/>
      <c r="G182" s="169"/>
      <c r="H182" s="215"/>
      <c r="I182" s="215"/>
      <c r="J182" s="215"/>
      <c r="K182" s="168"/>
      <c r="L182" s="169">
        <v>0</v>
      </c>
      <c r="M182" s="215">
        <v>0</v>
      </c>
      <c r="N182" s="215">
        <v>0</v>
      </c>
      <c r="O182" s="215">
        <v>0</v>
      </c>
      <c r="P182" s="168">
        <v>0</v>
      </c>
      <c r="Q182" s="169">
        <f t="shared" si="203"/>
        <v>0</v>
      </c>
      <c r="R182" s="215">
        <v>-11.929</v>
      </c>
      <c r="S182" s="215">
        <f>-14.045-R182</f>
        <v>-2.1159999999999997</v>
      </c>
      <c r="T182" s="215">
        <f>-16.126-R182-S182</f>
        <v>-2.0810000000000013</v>
      </c>
      <c r="U182" s="168">
        <f>-17.906-R182-S182-T182</f>
        <v>-1.7799999999999976</v>
      </c>
      <c r="V182" s="169">
        <f t="shared" si="204"/>
        <v>-17.905999999999999</v>
      </c>
      <c r="W182" s="215">
        <v>-9.4019999999999992</v>
      </c>
      <c r="X182" s="500">
        <f>-400-11.122-W182</f>
        <v>-401.72</v>
      </c>
      <c r="Y182" s="500">
        <f>-400.592-12.739-X182-W182</f>
        <v>-2.2089999999999339</v>
      </c>
      <c r="Z182" s="215">
        <f>-503.225-15.224-SUM(W182:Y182)</f>
        <v>-105.11800000000011</v>
      </c>
      <c r="AA182" s="169">
        <f t="shared" si="195"/>
        <v>-518.44900000000007</v>
      </c>
      <c r="AB182" s="500">
        <f>-34.366-13.289</f>
        <v>-47.655000000000001</v>
      </c>
      <c r="AC182" s="215">
        <f>-34.366-14.978-AB182</f>
        <v>-1.6890000000000001</v>
      </c>
      <c r="AD182" s="215">
        <f>-34.366-16.699-AC182-AB182</f>
        <v>-1.7209999999999965</v>
      </c>
      <c r="AE182" s="215">
        <f>-59.364-17.801+4.492-AD182-AC182-AB182</f>
        <v>-21.608000000000004</v>
      </c>
      <c r="AF182" s="169">
        <f t="shared" si="196"/>
        <v>-72.673000000000002</v>
      </c>
      <c r="AG182" s="215">
        <v>-15.618</v>
      </c>
      <c r="AH182" s="273">
        <f>-15.867-AG182</f>
        <v>-0.24900000000000055</v>
      </c>
      <c r="AI182" s="215">
        <f>-161.156-16.119-AH182-AG182</f>
        <v>-161.40800000000002</v>
      </c>
      <c r="AJ182" s="215">
        <f>-200.406-SUM(AG182:AI182)</f>
        <v>-23.131</v>
      </c>
      <c r="AK182" s="169">
        <f t="shared" si="197"/>
        <v>-200.40600000000001</v>
      </c>
      <c r="AL182" s="215">
        <f>-5.605-0.012</f>
        <v>-5.617</v>
      </c>
      <c r="AM182" s="215">
        <f>-5.784-AL182-0.012</f>
        <v>-0.17899999999999983</v>
      </c>
      <c r="AN182" s="273">
        <f>-25.008-6.036-AM182-AL182</f>
        <v>-25.247999999999998</v>
      </c>
      <c r="AO182" s="273">
        <f>-81.369-6.248-AN182-AM182-AL182</f>
        <v>-56.573000000000008</v>
      </c>
      <c r="AP182" s="169">
        <f t="shared" si="198"/>
        <v>-87.617000000000004</v>
      </c>
      <c r="AQ182" s="273">
        <v>-5.6769999999999996</v>
      </c>
      <c r="AR182" s="215">
        <f>-5.691-AQ182</f>
        <v>-1.4000000000000234E-2</v>
      </c>
      <c r="AS182" s="273">
        <f>-1268.057-9.187-AR182-AQ182</f>
        <v>-1271.5530000000001</v>
      </c>
      <c r="AT182" s="273">
        <f>-1268.057-10.092-AS182-AR182-AQ182</f>
        <v>-0.9050000000000038</v>
      </c>
      <c r="AU182" s="169">
        <f t="shared" si="199"/>
        <v>-1278.1490000000001</v>
      </c>
      <c r="AV182" s="501">
        <v>0</v>
      </c>
      <c r="AW182" s="501">
        <v>0</v>
      </c>
      <c r="AX182" s="501">
        <v>0</v>
      </c>
      <c r="AY182" s="501">
        <v>0</v>
      </c>
      <c r="AZ182" s="169">
        <f t="shared" si="200"/>
        <v>0</v>
      </c>
      <c r="BA182" s="501">
        <v>0</v>
      </c>
      <c r="BB182" s="501">
        <v>0</v>
      </c>
      <c r="BC182" s="501">
        <v>0</v>
      </c>
      <c r="BD182" s="501">
        <v>0</v>
      </c>
      <c r="BE182" s="169">
        <f t="shared" si="201"/>
        <v>0</v>
      </c>
      <c r="BF182" s="501">
        <v>0</v>
      </c>
      <c r="BG182" s="501">
        <v>0</v>
      </c>
      <c r="BH182" s="501">
        <v>0</v>
      </c>
      <c r="BI182" s="501">
        <v>0</v>
      </c>
      <c r="BJ182" s="169">
        <f t="shared" si="202"/>
        <v>0</v>
      </c>
      <c r="BK182" s="473"/>
      <c r="BL182" s="473"/>
      <c r="BM182" s="473"/>
      <c r="BN182" s="473"/>
      <c r="BO182" s="473"/>
      <c r="BP182" s="473"/>
      <c r="BQ182" s="474"/>
      <c r="BR182" s="469"/>
      <c r="BS182" s="469"/>
      <c r="BZ182" s="469"/>
      <c r="CA182" s="469"/>
      <c r="CB182" s="469"/>
    </row>
    <row r="183" spans="1:80" ht="13.5" customHeight="1">
      <c r="A183" s="469"/>
      <c r="B183" s="1299" t="s">
        <v>454</v>
      </c>
      <c r="C183" s="215"/>
      <c r="D183" s="215"/>
      <c r="E183" s="215"/>
      <c r="F183" s="215"/>
      <c r="G183" s="169"/>
      <c r="H183" s="215"/>
      <c r="I183" s="215"/>
      <c r="J183" s="215"/>
      <c r="K183" s="168"/>
      <c r="L183" s="169"/>
      <c r="M183" s="215"/>
      <c r="N183" s="215"/>
      <c r="O183" s="215"/>
      <c r="P183" s="168"/>
      <c r="Q183" s="169"/>
      <c r="R183" s="215">
        <v>0</v>
      </c>
      <c r="S183" s="215">
        <v>0</v>
      </c>
      <c r="T183" s="215">
        <v>0</v>
      </c>
      <c r="U183" s="215">
        <v>0</v>
      </c>
      <c r="V183" s="169">
        <f t="shared" ref="V183:V184" si="205">+SUM(R183:U183)</f>
        <v>0</v>
      </c>
      <c r="W183" s="215">
        <v>0</v>
      </c>
      <c r="X183" s="215">
        <v>0</v>
      </c>
      <c r="Y183" s="215">
        <v>0</v>
      </c>
      <c r="Z183" s="215">
        <f>-112.562-Y183-X183-W183</f>
        <v>-112.562</v>
      </c>
      <c r="AA183" s="169">
        <f t="shared" si="195"/>
        <v>-112.562</v>
      </c>
      <c r="AB183" s="500">
        <v>0</v>
      </c>
      <c r="AC183" s="215">
        <v>0</v>
      </c>
      <c r="AD183" s="215">
        <v>0</v>
      </c>
      <c r="AE183" s="273">
        <f>0-AD183-AC183-AB183</f>
        <v>0</v>
      </c>
      <c r="AF183" s="169">
        <f t="shared" si="196"/>
        <v>0</v>
      </c>
      <c r="AG183" s="215">
        <v>0</v>
      </c>
      <c r="AH183" s="273">
        <f>0-AG183</f>
        <v>0</v>
      </c>
      <c r="AI183" s="215">
        <f>-44.8-AH183-AG183</f>
        <v>-44.8</v>
      </c>
      <c r="AJ183" s="273">
        <f>-94.022-AI183-AH183-AG183</f>
        <v>-49.222000000000008</v>
      </c>
      <c r="AK183" s="169">
        <f t="shared" si="197"/>
        <v>-94.022000000000006</v>
      </c>
      <c r="AL183" s="215">
        <v>0</v>
      </c>
      <c r="AM183" s="215">
        <f>-41.163-AL183</f>
        <v>-41.162999999999997</v>
      </c>
      <c r="AN183" s="273">
        <f>-158.115-AM183-AL183</f>
        <v>-116.95200000000001</v>
      </c>
      <c r="AO183" s="273">
        <f>-159.274-AN183-AM183-AL183</f>
        <v>-1.1589999999999918</v>
      </c>
      <c r="AP183" s="169">
        <f t="shared" si="198"/>
        <v>-159.274</v>
      </c>
      <c r="AQ183" s="273">
        <v>-15.118</v>
      </c>
      <c r="AR183" s="215">
        <f>-68.804-AQ183</f>
        <v>-53.686</v>
      </c>
      <c r="AS183" s="273">
        <f>-84.878-AR183-AQ183</f>
        <v>-16.073999999999998</v>
      </c>
      <c r="AT183" s="273">
        <f>-93.902-AS183-AR183-AQ183</f>
        <v>-9.0240000000000027</v>
      </c>
      <c r="AU183" s="169">
        <f t="shared" si="199"/>
        <v>-93.902000000000001</v>
      </c>
      <c r="AV183" s="501">
        <v>0</v>
      </c>
      <c r="AW183" s="501">
        <v>0</v>
      </c>
      <c r="AX183" s="501">
        <v>0</v>
      </c>
      <c r="AY183" s="501">
        <v>0</v>
      </c>
      <c r="AZ183" s="169">
        <f t="shared" si="200"/>
        <v>0</v>
      </c>
      <c r="BA183" s="501">
        <v>0</v>
      </c>
      <c r="BB183" s="501">
        <v>0</v>
      </c>
      <c r="BC183" s="501">
        <v>0</v>
      </c>
      <c r="BD183" s="501">
        <v>0</v>
      </c>
      <c r="BE183" s="169">
        <f t="shared" si="201"/>
        <v>0</v>
      </c>
      <c r="BF183" s="501">
        <v>0</v>
      </c>
      <c r="BG183" s="501">
        <v>0</v>
      </c>
      <c r="BH183" s="501">
        <v>0</v>
      </c>
      <c r="BI183" s="501">
        <v>0</v>
      </c>
      <c r="BJ183" s="169">
        <f t="shared" si="202"/>
        <v>0</v>
      </c>
      <c r="BK183" s="473"/>
      <c r="BL183" s="473"/>
      <c r="BM183" s="473"/>
      <c r="BN183" s="473"/>
      <c r="BO183" s="473"/>
      <c r="BP183" s="473"/>
      <c r="BQ183" s="474"/>
      <c r="BR183" s="469"/>
      <c r="BS183" s="469"/>
      <c r="BZ183" s="469"/>
      <c r="CA183" s="469"/>
      <c r="CB183" s="469"/>
    </row>
    <row r="184" spans="1:80" ht="13.5" customHeight="1">
      <c r="A184" s="469"/>
      <c r="B184" s="1299" t="s">
        <v>455</v>
      </c>
      <c r="C184" s="215"/>
      <c r="D184" s="215"/>
      <c r="E184" s="215"/>
      <c r="F184" s="215"/>
      <c r="G184" s="169"/>
      <c r="H184" s="215"/>
      <c r="I184" s="215"/>
      <c r="J184" s="215"/>
      <c r="K184" s="168"/>
      <c r="L184" s="169"/>
      <c r="M184" s="215"/>
      <c r="N184" s="215"/>
      <c r="O184" s="215"/>
      <c r="P184" s="168"/>
      <c r="Q184" s="169"/>
      <c r="R184" s="215">
        <v>0</v>
      </c>
      <c r="S184" s="215">
        <v>0</v>
      </c>
      <c r="T184" s="215">
        <v>0</v>
      </c>
      <c r="U184" s="215">
        <v>0</v>
      </c>
      <c r="V184" s="169">
        <f t="shared" si="205"/>
        <v>0</v>
      </c>
      <c r="W184" s="215">
        <v>0</v>
      </c>
      <c r="X184" s="215">
        <v>0</v>
      </c>
      <c r="Y184" s="215">
        <v>0</v>
      </c>
      <c r="Z184" s="215">
        <v>0</v>
      </c>
      <c r="AA184" s="169">
        <f t="shared" si="195"/>
        <v>0</v>
      </c>
      <c r="AB184" s="500">
        <v>-8.6389999999999993</v>
      </c>
      <c r="AC184" s="215">
        <f>-8.639-AB184</f>
        <v>0</v>
      </c>
      <c r="AD184" s="215">
        <f>-8.639-AC184-AB184</f>
        <v>0</v>
      </c>
      <c r="AE184" s="273">
        <f>-8.639-AD184-AC184-AB184</f>
        <v>0</v>
      </c>
      <c r="AF184" s="169">
        <f t="shared" si="196"/>
        <v>-8.6389999999999993</v>
      </c>
      <c r="AG184" s="215">
        <v>-22.805</v>
      </c>
      <c r="AH184" s="273">
        <f>-22.805-AG184</f>
        <v>0</v>
      </c>
      <c r="AI184" s="215">
        <f>-22.805-AH184-AG184</f>
        <v>0</v>
      </c>
      <c r="AJ184" s="273">
        <f>-22.805-AI184-AH184-AG184</f>
        <v>0</v>
      </c>
      <c r="AK184" s="169">
        <f t="shared" si="197"/>
        <v>-22.805</v>
      </c>
      <c r="AL184" s="215">
        <v>-53.473999999999997</v>
      </c>
      <c r="AM184" s="215">
        <f>-53.474-AL184</f>
        <v>0</v>
      </c>
      <c r="AN184" s="273">
        <f>-53.474-AM184-AL184</f>
        <v>0</v>
      </c>
      <c r="AO184" s="273">
        <f>-53.474-AN184-AM184-AL184</f>
        <v>0</v>
      </c>
      <c r="AP184" s="169">
        <f t="shared" si="198"/>
        <v>-53.473999999999997</v>
      </c>
      <c r="AQ184" s="273">
        <v>-55.695</v>
      </c>
      <c r="AR184" s="215">
        <f>-55.695-AQ184</f>
        <v>0</v>
      </c>
      <c r="AS184" s="273">
        <f>-55.695-AR184-AQ184</f>
        <v>0</v>
      </c>
      <c r="AT184" s="273">
        <f>-46.472-AS184-AR184-AQ184</f>
        <v>9.222999999999999</v>
      </c>
      <c r="AU184" s="169">
        <f t="shared" si="199"/>
        <v>-46.472000000000001</v>
      </c>
      <c r="AV184" s="501">
        <v>0</v>
      </c>
      <c r="AW184" s="501">
        <v>0</v>
      </c>
      <c r="AX184" s="501">
        <v>0</v>
      </c>
      <c r="AY184" s="501">
        <v>0</v>
      </c>
      <c r="AZ184" s="169">
        <f t="shared" si="200"/>
        <v>0</v>
      </c>
      <c r="BA184" s="501">
        <v>0</v>
      </c>
      <c r="BB184" s="501">
        <v>0</v>
      </c>
      <c r="BC184" s="501">
        <v>0</v>
      </c>
      <c r="BD184" s="501">
        <v>0</v>
      </c>
      <c r="BE184" s="169">
        <f t="shared" si="201"/>
        <v>0</v>
      </c>
      <c r="BF184" s="501">
        <v>0</v>
      </c>
      <c r="BG184" s="501">
        <v>0</v>
      </c>
      <c r="BH184" s="501">
        <v>0</v>
      </c>
      <c r="BI184" s="501">
        <v>0</v>
      </c>
      <c r="BJ184" s="169">
        <f t="shared" si="202"/>
        <v>0</v>
      </c>
      <c r="BK184" s="473"/>
      <c r="BL184" s="473"/>
      <c r="BM184" s="473"/>
      <c r="BN184" s="473"/>
      <c r="BO184" s="473"/>
      <c r="BP184" s="473"/>
      <c r="BQ184" s="474"/>
      <c r="BR184" s="469"/>
      <c r="BS184" s="469"/>
      <c r="BZ184" s="469"/>
      <c r="CA184" s="469"/>
      <c r="CB184" s="469"/>
    </row>
    <row r="185" spans="1:80" ht="13.5" customHeight="1">
      <c r="A185" s="469"/>
      <c r="B185" s="477" t="s">
        <v>201</v>
      </c>
      <c r="C185" s="215"/>
      <c r="D185" s="215"/>
      <c r="E185" s="215"/>
      <c r="F185" s="215"/>
      <c r="G185" s="169"/>
      <c r="H185" s="215"/>
      <c r="I185" s="215"/>
      <c r="J185" s="215"/>
      <c r="K185" s="168"/>
      <c r="L185" s="169">
        <v>0</v>
      </c>
      <c r="M185" s="215">
        <v>0</v>
      </c>
      <c r="N185" s="215">
        <v>0</v>
      </c>
      <c r="O185" s="215">
        <v>0</v>
      </c>
      <c r="P185" s="168">
        <v>0</v>
      </c>
      <c r="Q185" s="169">
        <f>+SUM(M185:P185)</f>
        <v>0</v>
      </c>
      <c r="R185" s="168">
        <v>10.244</v>
      </c>
      <c r="S185" s="215">
        <f>11.9-R185</f>
        <v>1.6560000000000006</v>
      </c>
      <c r="T185" s="215">
        <f>13.436-S185-R185</f>
        <v>1.5359999999999996</v>
      </c>
      <c r="U185" s="168">
        <f>14.747-R185-S185-T185</f>
        <v>1.3109999999999999</v>
      </c>
      <c r="V185" s="169">
        <f>+SUM(R185:U185)</f>
        <v>14.747</v>
      </c>
      <c r="W185" s="168">
        <v>3.6070000000000002</v>
      </c>
      <c r="X185" s="500">
        <f>5.166-W185</f>
        <v>1.5590000000000002</v>
      </c>
      <c r="Y185" s="500">
        <f>6.754-X185-W185</f>
        <v>1.5879999999999992</v>
      </c>
      <c r="Z185" s="215">
        <f>5.464-SUM(W185:Y185)</f>
        <v>-1.2899999999999991</v>
      </c>
      <c r="AA185" s="169">
        <f t="shared" si="195"/>
        <v>5.4640000000000004</v>
      </c>
      <c r="AB185" s="500">
        <v>7.8449999999999998</v>
      </c>
      <c r="AC185" s="215">
        <f>9.299-AB185</f>
        <v>1.4539999999999997</v>
      </c>
      <c r="AD185" s="215">
        <f>11.845-AC185-AB185</f>
        <v>2.546000000000002</v>
      </c>
      <c r="AE185" s="215">
        <f>13.42-AD185-AC185-AB185</f>
        <v>1.5749999999999984</v>
      </c>
      <c r="AF185" s="169">
        <f t="shared" si="196"/>
        <v>13.420000000000002</v>
      </c>
      <c r="AG185" s="215">
        <v>11.593999999999999</v>
      </c>
      <c r="AH185" s="273">
        <f>13.753-AG185</f>
        <v>2.1590000000000007</v>
      </c>
      <c r="AI185" s="215">
        <f>15.797-AH185-AG185</f>
        <v>2.0440000000000005</v>
      </c>
      <c r="AJ185" s="215">
        <f>16.707-16.527-SUM(AG185:AI185)</f>
        <v>-15.617000000000001</v>
      </c>
      <c r="AK185" s="169">
        <f t="shared" si="197"/>
        <v>0.17999999999999972</v>
      </c>
      <c r="AL185" s="215">
        <v>6.94</v>
      </c>
      <c r="AM185" s="215">
        <f>8.067-AL185</f>
        <v>1.1269999999999998</v>
      </c>
      <c r="AN185" s="273">
        <f>11.193-AM185-AL185</f>
        <v>3.1259999999999986</v>
      </c>
      <c r="AO185" s="273">
        <f>12.167-AN185-AM185-AL185</f>
        <v>0.9740000000000002</v>
      </c>
      <c r="AP185" s="169">
        <f t="shared" si="198"/>
        <v>12.166999999999998</v>
      </c>
      <c r="AQ185" s="273">
        <v>0</v>
      </c>
      <c r="AR185" s="215">
        <f>0-AQ185</f>
        <v>0</v>
      </c>
      <c r="AS185" s="273">
        <f>0-AR185-AQ185</f>
        <v>0</v>
      </c>
      <c r="AT185" s="273">
        <v>0</v>
      </c>
      <c r="AU185" s="169">
        <f t="shared" si="199"/>
        <v>0</v>
      </c>
      <c r="AV185" s="501">
        <v>0</v>
      </c>
      <c r="AW185" s="501">
        <v>0</v>
      </c>
      <c r="AX185" s="501">
        <v>0</v>
      </c>
      <c r="AY185" s="501">
        <v>0</v>
      </c>
      <c r="AZ185" s="169">
        <f t="shared" si="200"/>
        <v>0</v>
      </c>
      <c r="BA185" s="501">
        <v>0</v>
      </c>
      <c r="BB185" s="501">
        <v>0</v>
      </c>
      <c r="BC185" s="501">
        <v>0</v>
      </c>
      <c r="BD185" s="501">
        <v>0</v>
      </c>
      <c r="BE185" s="169">
        <f t="shared" si="201"/>
        <v>0</v>
      </c>
      <c r="BF185" s="501">
        <v>0</v>
      </c>
      <c r="BG185" s="501">
        <v>0</v>
      </c>
      <c r="BH185" s="501">
        <v>0</v>
      </c>
      <c r="BI185" s="501">
        <v>0</v>
      </c>
      <c r="BJ185" s="169">
        <f t="shared" si="202"/>
        <v>0</v>
      </c>
      <c r="BK185" s="473"/>
      <c r="BL185" s="473"/>
      <c r="BM185" s="473"/>
      <c r="BN185" s="473"/>
      <c r="BO185" s="473"/>
      <c r="BP185" s="473"/>
      <c r="BQ185" s="474"/>
      <c r="BR185" s="469"/>
      <c r="BS185" s="469"/>
      <c r="BZ185" s="469"/>
      <c r="CA185" s="469"/>
      <c r="CB185" s="469"/>
    </row>
    <row r="186" spans="1:80" ht="13.5" customHeight="1">
      <c r="A186" s="469"/>
      <c r="B186" s="477" t="s">
        <v>202</v>
      </c>
      <c r="C186" s="215"/>
      <c r="D186" s="215"/>
      <c r="E186" s="215"/>
      <c r="F186" s="215"/>
      <c r="G186" s="169"/>
      <c r="H186" s="215"/>
      <c r="I186" s="215"/>
      <c r="J186" s="215"/>
      <c r="K186" s="168"/>
      <c r="L186" s="169">
        <v>0</v>
      </c>
      <c r="M186" s="215">
        <v>0</v>
      </c>
      <c r="N186" s="215">
        <v>0</v>
      </c>
      <c r="O186" s="215">
        <v>0</v>
      </c>
      <c r="P186" s="168">
        <v>0</v>
      </c>
      <c r="Q186" s="169">
        <f>+SUM(M186:P186)</f>
        <v>0</v>
      </c>
      <c r="R186" s="168">
        <v>-40.085999999999999</v>
      </c>
      <c r="S186" s="215">
        <f>-40.086-R186</f>
        <v>0</v>
      </c>
      <c r="T186" s="215">
        <f>-40.086-R186-S186</f>
        <v>0</v>
      </c>
      <c r="U186" s="168">
        <f>-40.086-R186-S186-T186</f>
        <v>0</v>
      </c>
      <c r="V186" s="169">
        <f>+SUM(R186:U186)</f>
        <v>-40.085999999999999</v>
      </c>
      <c r="W186" s="168">
        <v>0</v>
      </c>
      <c r="X186" s="500">
        <v>0</v>
      </c>
      <c r="Y186" s="500">
        <v>0</v>
      </c>
      <c r="Z186" s="215">
        <v>0</v>
      </c>
      <c r="AA186" s="169">
        <f t="shared" si="195"/>
        <v>0</v>
      </c>
      <c r="AB186" s="500">
        <v>0</v>
      </c>
      <c r="AC186" s="215">
        <v>0</v>
      </c>
      <c r="AD186" s="215">
        <f>0-AC186-AB186</f>
        <v>0</v>
      </c>
      <c r="AE186" s="215">
        <f>0-AD186-AC186-AB186</f>
        <v>0</v>
      </c>
      <c r="AF186" s="169">
        <f t="shared" si="196"/>
        <v>0</v>
      </c>
      <c r="AG186" s="215">
        <v>0</v>
      </c>
      <c r="AH186" s="273">
        <f>0-AG186</f>
        <v>0</v>
      </c>
      <c r="AI186" s="215">
        <f>-12.732-AH186-AG186</f>
        <v>-12.731999999999999</v>
      </c>
      <c r="AJ186" s="215">
        <f>-12.892-SUM(AG186:AI186)</f>
        <v>-0.16000000000000014</v>
      </c>
      <c r="AK186" s="169">
        <f t="shared" si="197"/>
        <v>-12.891999999999999</v>
      </c>
      <c r="AL186" s="215">
        <v>0</v>
      </c>
      <c r="AM186" s="215">
        <f>0-AL186</f>
        <v>0</v>
      </c>
      <c r="AN186" s="273">
        <f>0-AM186-AL186</f>
        <v>0</v>
      </c>
      <c r="AO186" s="273">
        <f>0-AN186-AM186-AL186</f>
        <v>0</v>
      </c>
      <c r="AP186" s="169">
        <f t="shared" si="198"/>
        <v>0</v>
      </c>
      <c r="AQ186" s="273">
        <v>0</v>
      </c>
      <c r="AR186" s="215">
        <f>0-AQ186</f>
        <v>0</v>
      </c>
      <c r="AS186" s="273">
        <f>0-AR186-AQ186</f>
        <v>0</v>
      </c>
      <c r="AT186" s="273">
        <v>0</v>
      </c>
      <c r="AU186" s="169">
        <f t="shared" si="199"/>
        <v>0</v>
      </c>
      <c r="AV186" s="501">
        <v>0</v>
      </c>
      <c r="AW186" s="501">
        <v>0</v>
      </c>
      <c r="AX186" s="501">
        <v>0</v>
      </c>
      <c r="AY186" s="501">
        <v>0</v>
      </c>
      <c r="AZ186" s="169">
        <f t="shared" si="200"/>
        <v>0</v>
      </c>
      <c r="BA186" s="501">
        <v>0</v>
      </c>
      <c r="BB186" s="501">
        <v>0</v>
      </c>
      <c r="BC186" s="501">
        <v>0</v>
      </c>
      <c r="BD186" s="501">
        <v>0</v>
      </c>
      <c r="BE186" s="169">
        <f t="shared" si="201"/>
        <v>0</v>
      </c>
      <c r="BF186" s="501">
        <v>0</v>
      </c>
      <c r="BG186" s="501">
        <v>0</v>
      </c>
      <c r="BH186" s="501">
        <v>0</v>
      </c>
      <c r="BI186" s="501">
        <v>0</v>
      </c>
      <c r="BJ186" s="169">
        <f t="shared" si="202"/>
        <v>0</v>
      </c>
      <c r="BK186" s="473"/>
      <c r="BL186" s="473"/>
      <c r="BM186" s="473"/>
      <c r="BN186" s="473"/>
      <c r="BO186" s="473"/>
      <c r="BP186" s="473"/>
      <c r="BQ186" s="474"/>
      <c r="BR186" s="469"/>
      <c r="BS186" s="469"/>
      <c r="BZ186" s="469"/>
      <c r="CA186" s="469"/>
      <c r="CB186" s="469"/>
    </row>
    <row r="187" spans="1:80" ht="13.5" customHeight="1">
      <c r="A187" s="469"/>
      <c r="B187" s="477" t="s">
        <v>203</v>
      </c>
      <c r="C187" s="215"/>
      <c r="D187" s="215"/>
      <c r="E187" s="215"/>
      <c r="F187" s="215"/>
      <c r="G187" s="169"/>
      <c r="H187" s="215"/>
      <c r="I187" s="215"/>
      <c r="J187" s="215"/>
      <c r="K187" s="168"/>
      <c r="L187" s="169">
        <v>-26.257000000000001</v>
      </c>
      <c r="M187" s="215">
        <v>-2.8000000000000001E-2</v>
      </c>
      <c r="N187" s="215">
        <f>-2.792-M187</f>
        <v>-2.7639999999999998</v>
      </c>
      <c r="O187" s="215">
        <f>-2.792-SUM(M187:N187)</f>
        <v>0</v>
      </c>
      <c r="P187" s="168">
        <f>-2.848-M187-N187-O187</f>
        <v>-5.600000000000005E-2</v>
      </c>
      <c r="Q187" s="169">
        <f t="shared" si="203"/>
        <v>-2.8479999999999999</v>
      </c>
      <c r="R187" s="168">
        <v>-22.228999999999999</v>
      </c>
      <c r="S187" s="215">
        <f>-22.538-R187</f>
        <v>-0.30900000000000105</v>
      </c>
      <c r="T187" s="215">
        <f>-32.781-S187-R187</f>
        <v>-10.242999999999995</v>
      </c>
      <c r="U187" s="168">
        <f>-47.584-R187-S187-T187</f>
        <v>-14.803000000000008</v>
      </c>
      <c r="V187" s="169">
        <f t="shared" si="204"/>
        <v>-47.584000000000003</v>
      </c>
      <c r="W187" s="168">
        <v>-6.7960000000000003</v>
      </c>
      <c r="X187" s="500">
        <f>-17.947-W187</f>
        <v>-11.151</v>
      </c>
      <c r="Y187" s="500">
        <f>-28.978-X187-W187</f>
        <v>-11.031000000000002</v>
      </c>
      <c r="Z187" s="215">
        <f>-41.154-SUM(W187:Y187)</f>
        <v>-12.176000000000002</v>
      </c>
      <c r="AA187" s="169">
        <f t="shared" si="195"/>
        <v>-41.154000000000003</v>
      </c>
      <c r="AB187" s="500">
        <v>0</v>
      </c>
      <c r="AC187" s="215">
        <f>-5.47-AB187</f>
        <v>-5.47</v>
      </c>
      <c r="AD187" s="215">
        <f>-13.153-AC187-AB187</f>
        <v>-7.6830000000000007</v>
      </c>
      <c r="AE187" s="215">
        <f>-22.911+-AD187-AC187-AB187</f>
        <v>-9.7580000000000027</v>
      </c>
      <c r="AF187" s="169">
        <f t="shared" si="196"/>
        <v>-22.911000000000001</v>
      </c>
      <c r="AG187" s="215">
        <f>-2.528-2.627</f>
        <v>-5.1549999999999994</v>
      </c>
      <c r="AH187" s="273">
        <f>-3.132-2.627-AG187</f>
        <v>-0.60400000000000098</v>
      </c>
      <c r="AI187" s="215">
        <f>-2.627-AH187-AG187</f>
        <v>3.1320000000000006</v>
      </c>
      <c r="AJ187" s="215">
        <f>-2.627-SUM(AG187:AI187)</f>
        <v>0</v>
      </c>
      <c r="AK187" s="169">
        <f t="shared" si="197"/>
        <v>-2.6269999999999998</v>
      </c>
      <c r="AL187" s="215">
        <v>-4.22</v>
      </c>
      <c r="AM187" s="215">
        <f>-4.22-AL187</f>
        <v>0</v>
      </c>
      <c r="AN187" s="273">
        <f>-9.018-0.012-AM187-AL187</f>
        <v>-4.8100000000000014</v>
      </c>
      <c r="AO187" s="273">
        <f>-12.934-0.012-AN187-AM187-AL187</f>
        <v>-3.9159999999999995</v>
      </c>
      <c r="AP187" s="169">
        <f t="shared" si="198"/>
        <v>-12.946000000000002</v>
      </c>
      <c r="AQ187" s="273">
        <v>-5.7789999999999999</v>
      </c>
      <c r="AR187" s="215">
        <f>-10.725-AQ187</f>
        <v>-4.9459999999999997</v>
      </c>
      <c r="AS187" s="273">
        <f>-12.508-AR187-AQ187</f>
        <v>-1.7829999999999995</v>
      </c>
      <c r="AT187" s="273">
        <f>-22.552-AS187-AR187-AQ187</f>
        <v>-10.043999999999999</v>
      </c>
      <c r="AU187" s="169">
        <f t="shared" si="199"/>
        <v>-22.552</v>
      </c>
      <c r="AV187" s="501">
        <v>0</v>
      </c>
      <c r="AW187" s="501">
        <v>0</v>
      </c>
      <c r="AX187" s="501">
        <v>0</v>
      </c>
      <c r="AY187" s="501">
        <v>0</v>
      </c>
      <c r="AZ187" s="169">
        <f t="shared" si="200"/>
        <v>0</v>
      </c>
      <c r="BA187" s="501">
        <v>0</v>
      </c>
      <c r="BB187" s="501">
        <v>0</v>
      </c>
      <c r="BC187" s="501">
        <v>0</v>
      </c>
      <c r="BD187" s="501">
        <v>0</v>
      </c>
      <c r="BE187" s="169">
        <f t="shared" si="201"/>
        <v>0</v>
      </c>
      <c r="BF187" s="501">
        <v>0</v>
      </c>
      <c r="BG187" s="501">
        <v>0</v>
      </c>
      <c r="BH187" s="501">
        <v>0</v>
      </c>
      <c r="BI187" s="501">
        <v>0</v>
      </c>
      <c r="BJ187" s="169">
        <f t="shared" si="202"/>
        <v>0</v>
      </c>
      <c r="BK187" s="473"/>
      <c r="BL187" s="473"/>
      <c r="BM187" s="473"/>
      <c r="BN187" s="473"/>
      <c r="BO187" s="473"/>
      <c r="BP187" s="473"/>
      <c r="BQ187" s="474"/>
      <c r="BR187" s="469"/>
      <c r="BS187" s="469"/>
      <c r="BZ187" s="469"/>
      <c r="CA187" s="469"/>
      <c r="CB187" s="469"/>
    </row>
    <row r="188" spans="1:80" ht="13.5" customHeight="1">
      <c r="A188" s="469"/>
      <c r="B188" s="482" t="s">
        <v>204</v>
      </c>
      <c r="C188" s="498"/>
      <c r="D188" s="289"/>
      <c r="E188" s="289"/>
      <c r="F188" s="289"/>
      <c r="G188" s="193"/>
      <c r="H188" s="289"/>
      <c r="I188" s="289"/>
      <c r="J188" s="289"/>
      <c r="K188" s="289"/>
      <c r="L188" s="193">
        <f>SUM(L176:L187)</f>
        <v>448.15800000000002</v>
      </c>
      <c r="M188" s="498">
        <f t="shared" ref="M188:W188" si="206">SUM(M176:M187)</f>
        <v>-4</v>
      </c>
      <c r="N188" s="289">
        <f t="shared" si="206"/>
        <v>-14.077</v>
      </c>
      <c r="O188" s="289">
        <f t="shared" si="206"/>
        <v>-6.4339999999999993</v>
      </c>
      <c r="P188" s="289">
        <f t="shared" si="206"/>
        <v>-4.9859999999999998</v>
      </c>
      <c r="Q188" s="193">
        <f t="shared" si="206"/>
        <v>-29.496999999999996</v>
      </c>
      <c r="R188" s="289">
        <f t="shared" si="206"/>
        <v>-145.07000000000016</v>
      </c>
      <c r="S188" s="289">
        <f t="shared" si="206"/>
        <v>-19.384999999999987</v>
      </c>
      <c r="T188" s="289">
        <f t="shared" si="206"/>
        <v>-23.461999999999975</v>
      </c>
      <c r="U188" s="289">
        <f t="shared" si="206"/>
        <v>8.6029999999999944</v>
      </c>
      <c r="V188" s="193">
        <f t="shared" si="206"/>
        <v>-179.31400000000011</v>
      </c>
      <c r="W188" s="289">
        <f t="shared" si="206"/>
        <v>-69.272000000000006</v>
      </c>
      <c r="X188" s="289">
        <f>SUM(X176:X187)</f>
        <v>214.00300000000001</v>
      </c>
      <c r="Y188" s="289">
        <f t="shared" ref="Y188:AJ188" si="207">SUM(Y176:Y187)</f>
        <v>-36.939999999999984</v>
      </c>
      <c r="Z188" s="289">
        <f t="shared" si="207"/>
        <v>-255.74600000000004</v>
      </c>
      <c r="AA188" s="193">
        <f t="shared" si="207"/>
        <v>-147.95499999999998</v>
      </c>
      <c r="AB188" s="502">
        <f t="shared" si="207"/>
        <v>-72.819999999999993</v>
      </c>
      <c r="AC188" s="289">
        <f t="shared" si="207"/>
        <v>1617.6869999999999</v>
      </c>
      <c r="AD188" s="289">
        <f t="shared" si="207"/>
        <v>-37.079999999999934</v>
      </c>
      <c r="AE188" s="289">
        <f t="shared" si="207"/>
        <v>-61.594999999999999</v>
      </c>
      <c r="AF188" s="193">
        <f t="shared" si="207"/>
        <v>1446.192</v>
      </c>
      <c r="AG188" s="289">
        <f t="shared" si="207"/>
        <v>-256.77699999999999</v>
      </c>
      <c r="AH188" s="499">
        <f t="shared" si="207"/>
        <v>-27.219000000000023</v>
      </c>
      <c r="AI188" s="289">
        <f t="shared" si="207"/>
        <v>-242.91500000000002</v>
      </c>
      <c r="AJ188" s="289">
        <f t="shared" si="207"/>
        <v>-318.71199999999999</v>
      </c>
      <c r="AK188" s="193">
        <f>SUM(AK176:AK187)</f>
        <v>-845.62299999999993</v>
      </c>
      <c r="AL188" s="289">
        <f t="shared" ref="AL188:AU188" si="208">SUM(AL176:AL187)</f>
        <v>-94.343000000000089</v>
      </c>
      <c r="AM188" s="289">
        <f t="shared" si="208"/>
        <v>-63.225999999999907</v>
      </c>
      <c r="AN188" s="499">
        <f t="shared" si="208"/>
        <v>-168.58000000000004</v>
      </c>
      <c r="AO188" s="499">
        <f t="shared" si="208"/>
        <v>169.73199999999972</v>
      </c>
      <c r="AP188" s="193">
        <f t="shared" si="208"/>
        <v>-156.41700000000037</v>
      </c>
      <c r="AQ188" s="499">
        <f t="shared" si="208"/>
        <v>-112.32499999999996</v>
      </c>
      <c r="AR188" s="289">
        <f>SUM(AR176:AR187)</f>
        <v>268.17999999999967</v>
      </c>
      <c r="AS188" s="499">
        <f>SUM(AS176:AS187)</f>
        <v>-78.449999999999847</v>
      </c>
      <c r="AT188" s="499">
        <f t="shared" si="208"/>
        <v>954.96200000000044</v>
      </c>
      <c r="AU188" s="193">
        <f t="shared" si="208"/>
        <v>1032.3670000000018</v>
      </c>
      <c r="AV188" s="289">
        <f t="shared" ref="AV188:BE188" si="209">SUM(AV176:AV187)</f>
        <v>2850</v>
      </c>
      <c r="AW188" s="289">
        <f t="shared" si="209"/>
        <v>0</v>
      </c>
      <c r="AX188" s="289">
        <f t="shared" si="209"/>
        <v>0</v>
      </c>
      <c r="AY188" s="289">
        <f t="shared" si="209"/>
        <v>0</v>
      </c>
      <c r="AZ188" s="193">
        <f t="shared" si="209"/>
        <v>2850</v>
      </c>
      <c r="BA188" s="289">
        <f t="shared" si="209"/>
        <v>-100</v>
      </c>
      <c r="BB188" s="289">
        <f t="shared" si="209"/>
        <v>-100</v>
      </c>
      <c r="BC188" s="289">
        <f t="shared" si="209"/>
        <v>-100</v>
      </c>
      <c r="BD188" s="289">
        <f t="shared" si="209"/>
        <v>-100</v>
      </c>
      <c r="BE188" s="193">
        <f t="shared" si="209"/>
        <v>-400</v>
      </c>
      <c r="BF188" s="289">
        <f>SUM(BF176:BF187)</f>
        <v>0</v>
      </c>
      <c r="BG188" s="289">
        <f>SUM(BG176:BG187)</f>
        <v>0</v>
      </c>
      <c r="BH188" s="289">
        <f>SUM(BH176:BH187)</f>
        <v>0</v>
      </c>
      <c r="BI188" s="289">
        <f>SUM(BI176:BI187)</f>
        <v>0</v>
      </c>
      <c r="BJ188" s="193">
        <f>SUM(BJ176:BJ187)</f>
        <v>0</v>
      </c>
      <c r="BK188" s="473"/>
      <c r="BL188" s="473"/>
      <c r="BM188" s="473"/>
      <c r="BN188" s="473"/>
      <c r="BO188" s="473"/>
      <c r="BP188" s="473"/>
      <c r="BQ188" s="474"/>
      <c r="BR188" s="469"/>
      <c r="BS188" s="469"/>
      <c r="BZ188" s="469"/>
      <c r="CA188" s="469"/>
      <c r="CB188" s="469"/>
    </row>
    <row r="189" spans="1:80" ht="13.5" customHeight="1" thickBot="1">
      <c r="A189" s="469"/>
      <c r="B189" s="490"/>
      <c r="C189" s="109"/>
      <c r="D189" s="109"/>
      <c r="E189" s="109"/>
      <c r="F189" s="109"/>
      <c r="G189" s="169"/>
      <c r="H189" s="109"/>
      <c r="I189" s="109"/>
      <c r="J189" s="109"/>
      <c r="K189" s="109"/>
      <c r="L189" s="169"/>
      <c r="M189" s="109"/>
      <c r="N189" s="109"/>
      <c r="O189" s="109"/>
      <c r="P189" s="109"/>
      <c r="Q189" s="169"/>
      <c r="R189" s="109"/>
      <c r="S189" s="109"/>
      <c r="T189" s="109"/>
      <c r="U189" s="109"/>
      <c r="V189" s="169"/>
      <c r="W189" s="109"/>
      <c r="X189" s="109"/>
      <c r="Y189" s="109"/>
      <c r="Z189" s="109"/>
      <c r="AA189" s="169"/>
      <c r="AB189" s="109"/>
      <c r="AC189" s="109"/>
      <c r="AD189" s="109"/>
      <c r="AE189" s="109"/>
      <c r="AF189" s="169"/>
      <c r="AG189" s="109"/>
      <c r="AH189" s="109"/>
      <c r="AI189" s="109"/>
      <c r="AJ189" s="109"/>
      <c r="AK189" s="169"/>
      <c r="AL189" s="109"/>
      <c r="AM189" s="109"/>
      <c r="AN189" s="109"/>
      <c r="AO189" s="109"/>
      <c r="AP189" s="169"/>
      <c r="AQ189" s="495"/>
      <c r="AR189" s="109"/>
      <c r="AS189" s="1249"/>
      <c r="AT189" s="495"/>
      <c r="AU189" s="169"/>
      <c r="AV189" s="109"/>
      <c r="AW189" s="109"/>
      <c r="AX189" s="109"/>
      <c r="AY189" s="109"/>
      <c r="AZ189" s="169"/>
      <c r="BA189" s="109"/>
      <c r="BB189" s="109"/>
      <c r="BC189" s="109"/>
      <c r="BD189" s="109"/>
      <c r="BE189" s="169"/>
      <c r="BF189" s="109"/>
      <c r="BG189" s="109"/>
      <c r="BH189" s="109"/>
      <c r="BI189" s="109"/>
      <c r="BJ189" s="169"/>
      <c r="BK189" s="473"/>
      <c r="BL189" s="473"/>
      <c r="BM189" s="473"/>
      <c r="BN189" s="473"/>
      <c r="BO189" s="473"/>
      <c r="BP189" s="473"/>
      <c r="BQ189" s="474"/>
      <c r="BR189" s="469"/>
      <c r="BS189" s="469"/>
      <c r="BZ189" s="469"/>
      <c r="CA189" s="469"/>
      <c r="CB189" s="469"/>
    </row>
    <row r="190" spans="1:80" ht="13.5" customHeight="1" thickTop="1" thickBot="1">
      <c r="A190" s="469"/>
      <c r="B190" s="503" t="s">
        <v>205</v>
      </c>
      <c r="C190" s="504"/>
      <c r="D190" s="504"/>
      <c r="E190" s="504"/>
      <c r="F190" s="504"/>
      <c r="G190" s="505"/>
      <c r="H190" s="504"/>
      <c r="I190" s="504"/>
      <c r="J190" s="504"/>
      <c r="K190" s="504"/>
      <c r="L190" s="505">
        <f t="shared" ref="L190:AZ190" si="210">L165+L173+L188</f>
        <v>-52.656999999999925</v>
      </c>
      <c r="M190" s="504">
        <f t="shared" si="210"/>
        <v>-13.711999999999993</v>
      </c>
      <c r="N190" s="504">
        <f t="shared" si="210"/>
        <v>33.030999999999985</v>
      </c>
      <c r="O190" s="504">
        <f t="shared" si="210"/>
        <v>55.112000000000023</v>
      </c>
      <c r="P190" s="504">
        <f t="shared" si="210"/>
        <v>59.606000000000016</v>
      </c>
      <c r="Q190" s="505">
        <f t="shared" si="210"/>
        <v>134.03700000000001</v>
      </c>
      <c r="R190" s="504">
        <f t="shared" si="210"/>
        <v>-214.18700000000015</v>
      </c>
      <c r="S190" s="504">
        <f t="shared" si="210"/>
        <v>152.46100000000001</v>
      </c>
      <c r="T190" s="504">
        <f t="shared" si="210"/>
        <v>71.934000000000026</v>
      </c>
      <c r="U190" s="504">
        <f t="shared" si="210"/>
        <v>-313.69899999999996</v>
      </c>
      <c r="V190" s="505">
        <f t="shared" si="210"/>
        <v>-303.4910000000001</v>
      </c>
      <c r="W190" s="504">
        <f t="shared" si="210"/>
        <v>74.682000000000031</v>
      </c>
      <c r="X190" s="504">
        <f t="shared" si="210"/>
        <v>330.851</v>
      </c>
      <c r="Y190" s="504">
        <f t="shared" si="210"/>
        <v>-168.33199999999999</v>
      </c>
      <c r="Z190" s="504">
        <f t="shared" si="210"/>
        <v>-132.83200000000005</v>
      </c>
      <c r="AA190" s="505">
        <f t="shared" si="210"/>
        <v>104.36899999999986</v>
      </c>
      <c r="AB190" s="504">
        <f t="shared" si="210"/>
        <v>-34.458999999999989</v>
      </c>
      <c r="AC190" s="504">
        <f t="shared" si="210"/>
        <v>93.686999999999898</v>
      </c>
      <c r="AD190" s="504">
        <f t="shared" si="210"/>
        <v>140.79200000000003</v>
      </c>
      <c r="AE190" s="504">
        <f t="shared" si="210"/>
        <v>40.120999999999995</v>
      </c>
      <c r="AF190" s="505">
        <f t="shared" si="210"/>
        <v>240.14100000000053</v>
      </c>
      <c r="AG190" s="504">
        <f t="shared" si="210"/>
        <v>-172.02999999999997</v>
      </c>
      <c r="AH190" s="504">
        <f t="shared" si="210"/>
        <v>161.24399999999994</v>
      </c>
      <c r="AI190" s="504">
        <f t="shared" si="210"/>
        <v>-113.22000000000003</v>
      </c>
      <c r="AJ190" s="504">
        <f t="shared" si="210"/>
        <v>-90.465999999999951</v>
      </c>
      <c r="AK190" s="505">
        <f t="shared" si="210"/>
        <v>-214.47200000000009</v>
      </c>
      <c r="AL190" s="504">
        <f t="shared" si="210"/>
        <v>-114.54200000000009</v>
      </c>
      <c r="AM190" s="504">
        <f t="shared" si="210"/>
        <v>120.17000000000004</v>
      </c>
      <c r="AN190" s="504">
        <f t="shared" si="210"/>
        <v>-18.906000000000034</v>
      </c>
      <c r="AO190" s="504">
        <f t="shared" si="210"/>
        <v>-44.670000000000329</v>
      </c>
      <c r="AP190" s="505">
        <f t="shared" si="210"/>
        <v>-57.948000000000548</v>
      </c>
      <c r="AQ190" s="504">
        <f t="shared" si="210"/>
        <v>-0.86699999999999022</v>
      </c>
      <c r="AR190" s="504">
        <f>AR165+AR173+AR188</f>
        <v>-18.36500000000035</v>
      </c>
      <c r="AS190" s="504">
        <f>AS165+AS173+AS188</f>
        <v>-27.277999999999764</v>
      </c>
      <c r="AT190" s="504">
        <f t="shared" si="210"/>
        <v>33.865000000000578</v>
      </c>
      <c r="AU190" s="505">
        <f t="shared" si="210"/>
        <v>-12.644999999997935</v>
      </c>
      <c r="AV190" s="504">
        <f t="shared" si="210"/>
        <v>-473.00766508661627</v>
      </c>
      <c r="AW190" s="504">
        <f t="shared" si="210"/>
        <v>270.84868391667703</v>
      </c>
      <c r="AX190" s="504">
        <f t="shared" si="210"/>
        <v>141.0338646514042</v>
      </c>
      <c r="AY190" s="504">
        <f t="shared" si="210"/>
        <v>292.48237686362961</v>
      </c>
      <c r="AZ190" s="505">
        <f t="shared" si="210"/>
        <v>231.3572603450948</v>
      </c>
      <c r="BA190" s="504">
        <f t="shared" ref="BA190:BJ190" si="211">BA165+BA173+BA188</f>
        <v>245.90032357316051</v>
      </c>
      <c r="BB190" s="504">
        <f t="shared" si="211"/>
        <v>232.27355743068864</v>
      </c>
      <c r="BC190" s="504">
        <f t="shared" si="211"/>
        <v>99.913963875786209</v>
      </c>
      <c r="BD190" s="504">
        <f t="shared" si="211"/>
        <v>243.85812453470578</v>
      </c>
      <c r="BE190" s="505">
        <f t="shared" si="211"/>
        <v>821.94596941434133</v>
      </c>
      <c r="BF190" s="504">
        <f t="shared" si="211"/>
        <v>351.73967776550501</v>
      </c>
      <c r="BG190" s="504">
        <f t="shared" si="211"/>
        <v>378.92003061868894</v>
      </c>
      <c r="BH190" s="504">
        <f t="shared" si="211"/>
        <v>235.78731160444312</v>
      </c>
      <c r="BI190" s="504">
        <f t="shared" si="211"/>
        <v>393.77493663245912</v>
      </c>
      <c r="BJ190" s="505">
        <f t="shared" si="211"/>
        <v>1360.2219566210961</v>
      </c>
      <c r="BK190" s="473"/>
      <c r="BL190" s="473"/>
      <c r="BM190" s="473"/>
      <c r="BN190" s="473"/>
      <c r="BO190" s="473"/>
      <c r="BP190" s="473"/>
      <c r="BQ190" s="474"/>
      <c r="BR190" s="469"/>
      <c r="BS190" s="469"/>
      <c r="BZ190" s="469"/>
      <c r="CA190" s="469"/>
      <c r="CB190" s="469"/>
    </row>
    <row r="191" spans="1:80" ht="13.5" customHeight="1" thickTop="1">
      <c r="A191" s="469"/>
      <c r="B191" s="490"/>
      <c r="C191" s="506"/>
      <c r="D191" s="506"/>
      <c r="E191" s="506"/>
      <c r="F191" s="506"/>
      <c r="G191" s="507"/>
      <c r="H191" s="506"/>
      <c r="I191" s="506"/>
      <c r="J191" s="506"/>
      <c r="K191" s="506"/>
      <c r="L191" s="507"/>
      <c r="M191" s="506"/>
      <c r="N191" s="506"/>
      <c r="O191" s="506"/>
      <c r="P191" s="506"/>
      <c r="Q191" s="507"/>
      <c r="R191" s="506"/>
      <c r="S191" s="506"/>
      <c r="T191" s="506"/>
      <c r="U191" s="506"/>
      <c r="V191" s="507"/>
      <c r="W191" s="506"/>
      <c r="X191" s="506"/>
      <c r="Y191" s="506"/>
      <c r="Z191" s="506"/>
      <c r="AA191" s="507"/>
      <c r="AB191" s="506"/>
      <c r="AC191" s="506"/>
      <c r="AD191" s="506"/>
      <c r="AE191" s="506"/>
      <c r="AF191" s="507"/>
      <c r="AG191" s="506"/>
      <c r="AH191" s="506"/>
      <c r="AI191" s="506"/>
      <c r="AJ191" s="506"/>
      <c r="AK191" s="507"/>
      <c r="AL191" s="506"/>
      <c r="AM191" s="506"/>
      <c r="AN191" s="506"/>
      <c r="AO191" s="506"/>
      <c r="AP191" s="507"/>
      <c r="AQ191" s="506"/>
      <c r="AR191" s="506"/>
      <c r="AS191" s="506"/>
      <c r="AT191" s="506"/>
      <c r="AU191" s="507"/>
      <c r="AV191" s="506"/>
      <c r="AW191" s="506"/>
      <c r="AX191" s="506"/>
      <c r="AY191" s="506"/>
      <c r="AZ191" s="507"/>
      <c r="BA191" s="506"/>
      <c r="BB191" s="506"/>
      <c r="BC191" s="506"/>
      <c r="BD191" s="506"/>
      <c r="BE191" s="507"/>
      <c r="BF191" s="506"/>
      <c r="BG191" s="506"/>
      <c r="BH191" s="506"/>
      <c r="BI191" s="506"/>
      <c r="BJ191" s="507"/>
      <c r="BK191" s="473"/>
      <c r="BL191" s="473"/>
      <c r="BM191" s="473"/>
      <c r="BN191" s="473"/>
      <c r="BO191" s="473"/>
      <c r="BP191" s="473"/>
      <c r="BQ191" s="474"/>
      <c r="BR191" s="469"/>
      <c r="BS191" s="469"/>
      <c r="BZ191" s="469"/>
      <c r="CA191" s="469"/>
      <c r="CB191" s="469"/>
    </row>
    <row r="192" spans="1:80" ht="13.5" customHeight="1">
      <c r="A192" s="508"/>
      <c r="B192" s="509" t="s">
        <v>206</v>
      </c>
      <c r="C192" s="215"/>
      <c r="D192" s="215"/>
      <c r="E192" s="215"/>
      <c r="F192" s="215"/>
      <c r="G192" s="169"/>
      <c r="H192" s="215"/>
      <c r="I192" s="215"/>
      <c r="J192" s="168"/>
      <c r="K192" s="215"/>
      <c r="L192" s="169">
        <v>289.16899999999998</v>
      </c>
      <c r="M192" s="215">
        <f>L193</f>
        <v>236.51200000000006</v>
      </c>
      <c r="N192" s="215">
        <f>M193</f>
        <v>222.80000000000007</v>
      </c>
      <c r="O192" s="168">
        <f>N193</f>
        <v>255.83100000000005</v>
      </c>
      <c r="P192" s="215">
        <f>+O193</f>
        <v>310.9430000000001</v>
      </c>
      <c r="Q192" s="271">
        <f>+L193</f>
        <v>236.51200000000006</v>
      </c>
      <c r="R192" s="215">
        <f>+Q193</f>
        <v>370.54900000000009</v>
      </c>
      <c r="S192" s="215">
        <f>+R193</f>
        <v>156.36199999999994</v>
      </c>
      <c r="T192" s="215">
        <f>+S193</f>
        <v>308.82299999999998</v>
      </c>
      <c r="U192" s="215">
        <f>+T193</f>
        <v>380.75700000000001</v>
      </c>
      <c r="V192" s="169">
        <f>+Q193</f>
        <v>370.54900000000009</v>
      </c>
      <c r="W192" s="215">
        <f>+V193</f>
        <v>67.057999999999993</v>
      </c>
      <c r="X192" s="215">
        <f>+W193</f>
        <v>141.74</v>
      </c>
      <c r="Y192" s="215">
        <f>+X193</f>
        <v>472.59100000000001</v>
      </c>
      <c r="Z192" s="215">
        <f>+Y193</f>
        <v>304.25900000000001</v>
      </c>
      <c r="AA192" s="169">
        <f>+V193</f>
        <v>67.057999999999993</v>
      </c>
      <c r="AB192" s="215">
        <f>+AA193</f>
        <v>171.42699999999985</v>
      </c>
      <c r="AC192" s="215">
        <f>+AB193</f>
        <v>136.96799999999985</v>
      </c>
      <c r="AD192" s="215">
        <f>+AC193</f>
        <v>230.65499999999975</v>
      </c>
      <c r="AE192" s="215">
        <f>+AD193</f>
        <v>371.44699999999978</v>
      </c>
      <c r="AF192" s="169">
        <f>+AA193</f>
        <v>171.42699999999985</v>
      </c>
      <c r="AG192" s="215">
        <f>+AF193</f>
        <v>411.56800000000038</v>
      </c>
      <c r="AH192" s="215">
        <f>+AG193</f>
        <v>239.53800000000041</v>
      </c>
      <c r="AI192" s="215">
        <f>+AH193</f>
        <v>400.78200000000038</v>
      </c>
      <c r="AJ192" s="215">
        <f>+AI193</f>
        <v>287.56200000000035</v>
      </c>
      <c r="AK192" s="169">
        <f>+AF193</f>
        <v>411.56800000000038</v>
      </c>
      <c r="AL192" s="215">
        <f>+AK193</f>
        <v>197.09600000000029</v>
      </c>
      <c r="AM192" s="215">
        <f>+AL193</f>
        <v>82.554000000000201</v>
      </c>
      <c r="AN192" s="215">
        <f>+AM193</f>
        <v>202.72400000000025</v>
      </c>
      <c r="AO192" s="215">
        <f>+AN193</f>
        <v>183.81800000000021</v>
      </c>
      <c r="AP192" s="169">
        <f>+AK193</f>
        <v>197.09600000000029</v>
      </c>
      <c r="AQ192" s="215">
        <f>+AP193</f>
        <v>139.14799999999974</v>
      </c>
      <c r="AR192" s="215">
        <f>+AQ193</f>
        <v>138.28099999999975</v>
      </c>
      <c r="AS192" s="215">
        <f>+AR193</f>
        <v>119.9159999999994</v>
      </c>
      <c r="AT192" s="215">
        <f>+AS193</f>
        <v>92.637999999999636</v>
      </c>
      <c r="AU192" s="169">
        <f>+AP193</f>
        <v>139.14799999999974</v>
      </c>
      <c r="AV192" s="215">
        <f>+AU193</f>
        <v>126.5030000000018</v>
      </c>
      <c r="AW192" s="215">
        <f>+AV193</f>
        <v>-346.50466508661447</v>
      </c>
      <c r="AX192" s="215">
        <f>+AW193</f>
        <v>-75.655981169937434</v>
      </c>
      <c r="AY192" s="215">
        <f>+AX193</f>
        <v>65.377883481466768</v>
      </c>
      <c r="AZ192" s="169">
        <f>+AU193</f>
        <v>126.5030000000018</v>
      </c>
      <c r="BA192" s="215">
        <f>+AZ193</f>
        <v>357.86026034509661</v>
      </c>
      <c r="BB192" s="215">
        <f>+BA193</f>
        <v>603.76058391825711</v>
      </c>
      <c r="BC192" s="215">
        <f>+BB193</f>
        <v>836.0341413489457</v>
      </c>
      <c r="BD192" s="215">
        <f>+BC193</f>
        <v>935.94810522473188</v>
      </c>
      <c r="BE192" s="169">
        <f>+AZ193</f>
        <v>357.86026034509661</v>
      </c>
      <c r="BF192" s="215">
        <f>+BE193</f>
        <v>1179.8062297594379</v>
      </c>
      <c r="BG192" s="215">
        <f>+BF193</f>
        <v>1531.5459075249428</v>
      </c>
      <c r="BH192" s="215">
        <f>+BG193</f>
        <v>1910.4659381436318</v>
      </c>
      <c r="BI192" s="215">
        <f>+BH193</f>
        <v>2146.2532497480747</v>
      </c>
      <c r="BJ192" s="169">
        <f>+BE193</f>
        <v>1179.8062297594379</v>
      </c>
      <c r="BK192" s="473"/>
      <c r="BL192" s="473"/>
      <c r="BM192" s="473"/>
      <c r="BN192" s="473"/>
      <c r="BO192" s="473"/>
      <c r="BP192" s="473"/>
      <c r="BQ192" s="510"/>
      <c r="BR192" s="508"/>
      <c r="BS192" s="508"/>
      <c r="BZ192" s="508"/>
      <c r="CA192" s="508"/>
      <c r="CB192" s="508"/>
    </row>
    <row r="193" spans="1:80" ht="13.5" customHeight="1">
      <c r="A193" s="469"/>
      <c r="B193" s="482" t="s">
        <v>207</v>
      </c>
      <c r="C193" s="289"/>
      <c r="D193" s="289"/>
      <c r="E193" s="289"/>
      <c r="F193" s="289"/>
      <c r="G193" s="193"/>
      <c r="H193" s="289"/>
      <c r="I193" s="289"/>
      <c r="J193" s="289"/>
      <c r="K193" s="289"/>
      <c r="L193" s="193">
        <f t="shared" ref="L193:Q193" si="212">L192+L190</f>
        <v>236.51200000000006</v>
      </c>
      <c r="M193" s="289">
        <f t="shared" si="212"/>
        <v>222.80000000000007</v>
      </c>
      <c r="N193" s="289">
        <f t="shared" si="212"/>
        <v>255.83100000000005</v>
      </c>
      <c r="O193" s="289">
        <f t="shared" si="212"/>
        <v>310.9430000000001</v>
      </c>
      <c r="P193" s="289">
        <f t="shared" si="212"/>
        <v>370.54900000000009</v>
      </c>
      <c r="Q193" s="193">
        <f t="shared" si="212"/>
        <v>370.54900000000009</v>
      </c>
      <c r="R193" s="289">
        <f>+R190+R192</f>
        <v>156.36199999999994</v>
      </c>
      <c r="S193" s="289">
        <f>+S190+S192</f>
        <v>308.82299999999998</v>
      </c>
      <c r="T193" s="289">
        <f>+T190+T192</f>
        <v>380.75700000000001</v>
      </c>
      <c r="U193" s="289">
        <f>+U190+U192</f>
        <v>67.05800000000005</v>
      </c>
      <c r="V193" s="193">
        <f>V192+V190</f>
        <v>67.057999999999993</v>
      </c>
      <c r="W193" s="289">
        <f>+W190+W192</f>
        <v>141.74</v>
      </c>
      <c r="X193" s="289">
        <f>+X190+X192</f>
        <v>472.59100000000001</v>
      </c>
      <c r="Y193" s="289">
        <f>+Y190+Y192</f>
        <v>304.25900000000001</v>
      </c>
      <c r="Z193" s="289">
        <f>+Z190+Z192</f>
        <v>171.42699999999996</v>
      </c>
      <c r="AA193" s="193">
        <f>AA192+AA190</f>
        <v>171.42699999999985</v>
      </c>
      <c r="AB193" s="289">
        <f>+AB190+AB192</f>
        <v>136.96799999999985</v>
      </c>
      <c r="AC193" s="289">
        <f>+AC190+AC192</f>
        <v>230.65499999999975</v>
      </c>
      <c r="AD193" s="289">
        <f>+AD190+AD192</f>
        <v>371.44699999999978</v>
      </c>
      <c r="AE193" s="289">
        <f>+AE190+AE192</f>
        <v>411.56799999999976</v>
      </c>
      <c r="AF193" s="193">
        <f>AF192+AF190</f>
        <v>411.56800000000038</v>
      </c>
      <c r="AG193" s="289">
        <f>+AG190+AG192</f>
        <v>239.53800000000041</v>
      </c>
      <c r="AH193" s="289">
        <f>+AH190+AH192</f>
        <v>400.78200000000038</v>
      </c>
      <c r="AI193" s="289">
        <f>+AI190+AI192</f>
        <v>287.56200000000035</v>
      </c>
      <c r="AJ193" s="289">
        <f>+AJ190+AJ192</f>
        <v>197.0960000000004</v>
      </c>
      <c r="AK193" s="193">
        <f>AK192+AK190</f>
        <v>197.09600000000029</v>
      </c>
      <c r="AL193" s="289">
        <f>+AL190+AL192</f>
        <v>82.554000000000201</v>
      </c>
      <c r="AM193" s="289">
        <f>+AM190+AM192</f>
        <v>202.72400000000025</v>
      </c>
      <c r="AN193" s="289">
        <f>+AN190+AN192</f>
        <v>183.81800000000021</v>
      </c>
      <c r="AO193" s="289">
        <f>+AO190+AO192</f>
        <v>139.14799999999988</v>
      </c>
      <c r="AP193" s="193">
        <f>AP192+AP190</f>
        <v>139.14799999999974</v>
      </c>
      <c r="AQ193" s="289">
        <f>+AQ190+AQ192</f>
        <v>138.28099999999975</v>
      </c>
      <c r="AR193" s="289">
        <f>+AR190+AR192</f>
        <v>119.9159999999994</v>
      </c>
      <c r="AS193" s="289">
        <f>+AS190+AS192</f>
        <v>92.637999999999636</v>
      </c>
      <c r="AT193" s="289">
        <f>+AT190+AT192</f>
        <v>126.50300000000021</v>
      </c>
      <c r="AU193" s="1301">
        <f>AU192+AU190</f>
        <v>126.5030000000018</v>
      </c>
      <c r="AV193" s="289">
        <f>+AV190+AV192</f>
        <v>-346.50466508661447</v>
      </c>
      <c r="AW193" s="289">
        <f>+AW190+AW192</f>
        <v>-75.655981169937434</v>
      </c>
      <c r="AX193" s="289">
        <f>+AX190+AX192</f>
        <v>65.377883481466768</v>
      </c>
      <c r="AY193" s="289">
        <f>+AY190+AY192</f>
        <v>357.86026034509638</v>
      </c>
      <c r="AZ193" s="193">
        <f>AZ192+AZ190</f>
        <v>357.86026034509661</v>
      </c>
      <c r="BA193" s="289">
        <f>+BA190+BA192</f>
        <v>603.76058391825711</v>
      </c>
      <c r="BB193" s="289">
        <f>+BB190+BB192</f>
        <v>836.0341413489457</v>
      </c>
      <c r="BC193" s="289">
        <f>+BC190+BC192</f>
        <v>935.94810522473188</v>
      </c>
      <c r="BD193" s="289">
        <f>+BD190+BD192</f>
        <v>1179.8062297594377</v>
      </c>
      <c r="BE193" s="193">
        <f>BE192+BE190</f>
        <v>1179.8062297594379</v>
      </c>
      <c r="BF193" s="289">
        <f>+BF190+BF192</f>
        <v>1531.5459075249428</v>
      </c>
      <c r="BG193" s="289">
        <f>+BG190+BG192</f>
        <v>1910.4659381436318</v>
      </c>
      <c r="BH193" s="289">
        <f>+BH190+BH192</f>
        <v>2146.2532497480747</v>
      </c>
      <c r="BI193" s="289">
        <f>+BI190+BI192</f>
        <v>2540.028186380534</v>
      </c>
      <c r="BJ193" s="193">
        <f>BJ192+BJ190</f>
        <v>2540.028186380534</v>
      </c>
      <c r="BK193" s="473"/>
      <c r="BL193" s="473"/>
      <c r="BM193" s="473"/>
      <c r="BN193" s="473"/>
      <c r="BO193" s="473"/>
      <c r="BP193" s="473"/>
      <c r="BQ193" s="474"/>
      <c r="BR193" s="469"/>
      <c r="BS193" s="469"/>
      <c r="BZ193" s="469"/>
      <c r="CA193" s="469"/>
      <c r="CB193" s="469"/>
    </row>
    <row r="194" spans="1:80" ht="13.5" customHeight="1">
      <c r="A194" s="113"/>
      <c r="B194" s="425"/>
      <c r="C194" s="511"/>
      <c r="D194" s="108"/>
      <c r="E194" s="108"/>
      <c r="F194" s="108"/>
      <c r="G194" s="123"/>
      <c r="H194" s="108"/>
      <c r="I194" s="108"/>
      <c r="J194" s="108"/>
      <c r="K194" s="108"/>
      <c r="L194" s="123"/>
      <c r="M194" s="108"/>
      <c r="N194" s="108"/>
      <c r="O194" s="108"/>
      <c r="P194" s="108"/>
      <c r="Q194" s="123"/>
      <c r="R194" s="108"/>
      <c r="S194" s="108"/>
      <c r="T194" s="108"/>
      <c r="U194" s="108"/>
      <c r="V194" s="123"/>
      <c r="W194" s="102"/>
      <c r="X194" s="102"/>
      <c r="Y194" s="102"/>
      <c r="Z194" s="108"/>
      <c r="AA194" s="468"/>
      <c r="AB194" s="102"/>
      <c r="AC194" s="102"/>
      <c r="AD194" s="102"/>
      <c r="AE194" s="102"/>
      <c r="AF194" s="468"/>
      <c r="AG194" s="102"/>
      <c r="AH194" s="102"/>
      <c r="AI194" s="102"/>
      <c r="AJ194" s="102"/>
      <c r="AK194" s="468"/>
      <c r="AL194" s="102"/>
      <c r="AM194" s="102"/>
      <c r="AN194" s="102"/>
      <c r="AO194" s="102"/>
      <c r="AP194" s="468"/>
      <c r="AQ194" s="102"/>
      <c r="AR194" s="102"/>
      <c r="AS194" s="102"/>
      <c r="AT194" s="102"/>
      <c r="AU194" s="468"/>
      <c r="AV194" s="102"/>
      <c r="AW194" s="102"/>
      <c r="AX194" s="102"/>
      <c r="AY194" s="102"/>
      <c r="AZ194" s="468"/>
      <c r="BA194" s="102"/>
      <c r="BB194" s="102"/>
      <c r="BC194" s="102"/>
      <c r="BD194" s="102"/>
      <c r="BE194" s="468"/>
      <c r="BF194" s="102"/>
      <c r="BG194" s="102"/>
      <c r="BH194" s="102"/>
      <c r="BI194" s="102"/>
      <c r="BJ194" s="468"/>
      <c r="BK194" s="473"/>
      <c r="BL194" s="473"/>
      <c r="BM194" s="473"/>
      <c r="BN194" s="473"/>
      <c r="BO194" s="473"/>
      <c r="BP194" s="473"/>
      <c r="BQ194" s="119"/>
      <c r="BR194" s="113"/>
      <c r="BS194" s="113"/>
      <c r="BZ194" s="113"/>
      <c r="CA194" s="113"/>
      <c r="CB194" s="113"/>
    </row>
    <row r="195" spans="1:80" ht="13.5" hidden="1" customHeight="1" outlineLevel="1">
      <c r="A195" s="512"/>
      <c r="B195" s="513" t="s">
        <v>208</v>
      </c>
      <c r="C195" s="514"/>
      <c r="D195" s="514"/>
      <c r="E195" s="514"/>
      <c r="F195" s="514"/>
      <c r="G195" s="515"/>
      <c r="H195" s="514"/>
      <c r="I195" s="514"/>
      <c r="J195" s="514"/>
      <c r="K195" s="514"/>
      <c r="L195" s="515">
        <f t="shared" ref="L195:AU195" si="213">L193-L208</f>
        <v>0</v>
      </c>
      <c r="M195" s="514">
        <f t="shared" si="213"/>
        <v>0</v>
      </c>
      <c r="N195" s="514">
        <f t="shared" si="213"/>
        <v>0</v>
      </c>
      <c r="O195" s="516">
        <f t="shared" si="213"/>
        <v>0</v>
      </c>
      <c r="P195" s="514">
        <f t="shared" si="213"/>
        <v>0</v>
      </c>
      <c r="Q195" s="515">
        <f t="shared" si="213"/>
        <v>0</v>
      </c>
      <c r="R195" s="514">
        <f t="shared" si="213"/>
        <v>0</v>
      </c>
      <c r="S195" s="514">
        <f t="shared" si="213"/>
        <v>0</v>
      </c>
      <c r="T195" s="514">
        <f t="shared" si="213"/>
        <v>0</v>
      </c>
      <c r="U195" s="514">
        <f t="shared" si="213"/>
        <v>0</v>
      </c>
      <c r="V195" s="515">
        <f t="shared" si="213"/>
        <v>0</v>
      </c>
      <c r="W195" s="517">
        <f t="shared" si="213"/>
        <v>0</v>
      </c>
      <c r="X195" s="517">
        <f t="shared" si="213"/>
        <v>0</v>
      </c>
      <c r="Y195" s="517">
        <f t="shared" si="213"/>
        <v>0</v>
      </c>
      <c r="Z195" s="514">
        <f t="shared" si="213"/>
        <v>0</v>
      </c>
      <c r="AA195" s="518">
        <f t="shared" si="213"/>
        <v>0</v>
      </c>
      <c r="AB195" s="517">
        <f t="shared" si="213"/>
        <v>0</v>
      </c>
      <c r="AC195" s="517">
        <f t="shared" si="213"/>
        <v>-2.5579538487363607E-13</v>
      </c>
      <c r="AD195" s="517">
        <f t="shared" si="213"/>
        <v>0</v>
      </c>
      <c r="AE195" s="517">
        <f t="shared" si="213"/>
        <v>0</v>
      </c>
      <c r="AF195" s="518">
        <f t="shared" si="213"/>
        <v>0</v>
      </c>
      <c r="AG195" s="517">
        <f t="shared" si="213"/>
        <v>3.979039320256561E-13</v>
      </c>
      <c r="AH195" s="517">
        <f t="shared" si="213"/>
        <v>0</v>
      </c>
      <c r="AI195" s="517">
        <f t="shared" si="213"/>
        <v>4.0000000003601599E-3</v>
      </c>
      <c r="AJ195" s="517">
        <f t="shared" si="213"/>
        <v>3.979039320256561E-13</v>
      </c>
      <c r="AK195" s="518">
        <f t="shared" si="213"/>
        <v>2.8421709430404007E-13</v>
      </c>
      <c r="AL195" s="517">
        <f t="shared" si="213"/>
        <v>1.9895196601282805E-13</v>
      </c>
      <c r="AM195" s="517">
        <f t="shared" si="213"/>
        <v>2.5579538487363607E-13</v>
      </c>
      <c r="AN195" s="517">
        <f t="shared" si="213"/>
        <v>0</v>
      </c>
      <c r="AO195" s="517">
        <f t="shared" si="213"/>
        <v>0</v>
      </c>
      <c r="AP195" s="518">
        <f t="shared" si="213"/>
        <v>-2.5579538487363607E-13</v>
      </c>
      <c r="AQ195" s="517">
        <f t="shared" si="213"/>
        <v>-2.5579538487363607E-13</v>
      </c>
      <c r="AR195" s="1238">
        <f>AR193-AR208</f>
        <v>-5.9685589803848416E-13</v>
      </c>
      <c r="AS195" s="517">
        <f>AS193-AS208</f>
        <v>-3.694822225952521E-13</v>
      </c>
      <c r="AT195" s="517">
        <f t="shared" si="213"/>
        <v>2.1316282072803006E-13</v>
      </c>
      <c r="AU195" s="518">
        <f t="shared" si="213"/>
        <v>1.8047785488306545E-12</v>
      </c>
      <c r="AV195" s="517">
        <f t="shared" ref="AV195:BE195" si="214">AV193-AV208</f>
        <v>0</v>
      </c>
      <c r="AW195" s="517">
        <f t="shared" si="214"/>
        <v>0</v>
      </c>
      <c r="AX195" s="517">
        <f t="shared" si="214"/>
        <v>0</v>
      </c>
      <c r="AY195" s="517">
        <f t="shared" si="214"/>
        <v>0</v>
      </c>
      <c r="AZ195" s="518">
        <f t="shared" si="214"/>
        <v>0</v>
      </c>
      <c r="BA195" s="517">
        <f t="shared" si="214"/>
        <v>0</v>
      </c>
      <c r="BB195" s="517">
        <f t="shared" si="214"/>
        <v>0</v>
      </c>
      <c r="BC195" s="517">
        <f t="shared" si="214"/>
        <v>0</v>
      </c>
      <c r="BD195" s="517">
        <f t="shared" si="214"/>
        <v>0</v>
      </c>
      <c r="BE195" s="518">
        <f t="shared" si="214"/>
        <v>0</v>
      </c>
      <c r="BF195" s="517">
        <f>BF193-BF208</f>
        <v>0</v>
      </c>
      <c r="BG195" s="517">
        <f>BG193-BG208</f>
        <v>0</v>
      </c>
      <c r="BH195" s="517">
        <f>BH193-BH208</f>
        <v>0</v>
      </c>
      <c r="BI195" s="517">
        <f>BI193-BI208</f>
        <v>0</v>
      </c>
      <c r="BJ195" s="518">
        <f>BJ193-BJ208</f>
        <v>0</v>
      </c>
      <c r="BK195" s="473"/>
      <c r="BL195" s="473"/>
      <c r="BM195" s="473"/>
      <c r="BN195" s="473"/>
      <c r="BO195" s="473"/>
      <c r="BP195" s="473"/>
      <c r="BQ195" s="519"/>
      <c r="BR195" s="512"/>
      <c r="BS195" s="512"/>
      <c r="BZ195" s="512"/>
      <c r="CA195" s="512"/>
      <c r="CB195" s="512"/>
    </row>
    <row r="196" spans="1:80" ht="13.5" hidden="1" customHeight="1" outlineLevel="1">
      <c r="A196" s="113"/>
      <c r="B196" s="425"/>
      <c r="C196" s="108"/>
      <c r="D196" s="108"/>
      <c r="E196" s="108"/>
      <c r="F196" s="108"/>
      <c r="G196" s="123"/>
      <c r="H196" s="108"/>
      <c r="I196" s="108"/>
      <c r="J196" s="108"/>
      <c r="K196" s="108"/>
      <c r="L196" s="123"/>
      <c r="M196" s="108"/>
      <c r="N196" s="108"/>
      <c r="O196" s="108"/>
      <c r="P196" s="108"/>
      <c r="Q196" s="123"/>
      <c r="R196" s="108"/>
      <c r="S196" s="108"/>
      <c r="T196" s="108"/>
      <c r="U196" s="108"/>
      <c r="V196" s="520"/>
      <c r="W196" s="102"/>
      <c r="X196" s="102"/>
      <c r="Y196" s="102"/>
      <c r="Z196" s="108"/>
      <c r="AA196" s="521"/>
      <c r="AB196" s="102"/>
      <c r="AC196" s="102"/>
      <c r="AD196" s="102"/>
      <c r="AE196" s="102"/>
      <c r="AF196" s="521"/>
      <c r="AG196" s="102"/>
      <c r="AH196" s="102"/>
      <c r="AI196" s="102"/>
      <c r="AJ196" s="102"/>
      <c r="AK196" s="521"/>
      <c r="AL196" s="102"/>
      <c r="AM196" s="102"/>
      <c r="AN196" s="102"/>
      <c r="AO196" s="102"/>
      <c r="AP196" s="521"/>
      <c r="AQ196" s="102"/>
      <c r="AR196" s="102"/>
      <c r="AS196" s="102"/>
      <c r="AT196" s="102"/>
      <c r="AU196" s="521"/>
      <c r="AV196" s="102"/>
      <c r="AW196" s="102"/>
      <c r="AX196" s="102"/>
      <c r="AY196" s="102"/>
      <c r="AZ196" s="521"/>
      <c r="BA196" s="102"/>
      <c r="BB196" s="102"/>
      <c r="BC196" s="102"/>
      <c r="BD196" s="102"/>
      <c r="BE196" s="521"/>
      <c r="BF196" s="102"/>
      <c r="BG196" s="102"/>
      <c r="BH196" s="102"/>
      <c r="BI196" s="102"/>
      <c r="BJ196" s="521"/>
      <c r="BK196" s="473"/>
      <c r="BL196" s="473"/>
      <c r="BM196" s="473"/>
      <c r="BN196" s="473"/>
      <c r="BO196" s="473"/>
      <c r="BP196" s="473"/>
      <c r="BQ196" s="119"/>
      <c r="BR196" s="113"/>
      <c r="BS196" s="113"/>
      <c r="BZ196" s="113"/>
      <c r="CA196" s="113"/>
      <c r="CB196" s="113"/>
    </row>
    <row r="197" spans="1:80" ht="13.5" hidden="1" customHeight="1" outlineLevel="1">
      <c r="A197" s="453"/>
      <c r="B197" s="522" t="s">
        <v>209</v>
      </c>
      <c r="C197" s="523"/>
      <c r="D197" s="523"/>
      <c r="E197" s="523"/>
      <c r="F197" s="523"/>
      <c r="G197" s="524"/>
      <c r="H197" s="523"/>
      <c r="I197" s="523"/>
      <c r="J197" s="523"/>
      <c r="K197" s="523"/>
      <c r="L197" s="524">
        <f>+L165+L168</f>
        <v>162.68100000000004</v>
      </c>
      <c r="M197" s="523"/>
      <c r="N197" s="523"/>
      <c r="O197" s="525"/>
      <c r="P197" s="523"/>
      <c r="Q197" s="524">
        <f>+Q165+Q168</f>
        <v>170.73999999999998</v>
      </c>
      <c r="R197" s="523"/>
      <c r="S197" s="523"/>
      <c r="T197" s="523"/>
      <c r="U197" s="523"/>
      <c r="V197" s="524">
        <f>+V165+V168</f>
        <v>241.67899999999997</v>
      </c>
      <c r="W197" s="526"/>
      <c r="X197" s="526"/>
      <c r="Y197" s="526"/>
      <c r="Z197" s="523"/>
      <c r="AA197" s="524">
        <f>+AA165+AA168</f>
        <v>419.04399999999987</v>
      </c>
      <c r="AB197" s="526"/>
      <c r="AC197" s="526"/>
      <c r="AD197" s="526"/>
      <c r="AE197" s="526"/>
      <c r="AF197" s="524">
        <f>+AF165+AF168</f>
        <v>489.72600000000034</v>
      </c>
      <c r="AG197" s="526"/>
      <c r="AH197" s="526"/>
      <c r="AI197" s="526"/>
      <c r="AJ197" s="526"/>
      <c r="AK197" s="524">
        <f>+AK165+AK168</f>
        <v>673.1479999999998</v>
      </c>
      <c r="AL197" s="526"/>
      <c r="AM197" s="526"/>
      <c r="AN197" s="526"/>
      <c r="AO197" s="526"/>
      <c r="AP197" s="524">
        <f>+AP165+AP168</f>
        <v>550.39599999999984</v>
      </c>
      <c r="AQ197" s="526"/>
      <c r="AR197" s="526"/>
      <c r="AS197" s="526"/>
      <c r="AT197" s="526"/>
      <c r="AU197" s="524">
        <f>+AU165+AU168</f>
        <v>674.00600000000009</v>
      </c>
      <c r="AV197" s="526"/>
      <c r="AW197" s="526"/>
      <c r="AX197" s="526"/>
      <c r="AY197" s="526"/>
      <c r="AZ197" s="524">
        <f>+AZ165+AZ168</f>
        <v>742.35726034509446</v>
      </c>
      <c r="BA197" s="526"/>
      <c r="BB197" s="526"/>
      <c r="BC197" s="526"/>
      <c r="BD197" s="526"/>
      <c r="BE197" s="524">
        <f>+BE165+BE168</f>
        <v>1221.9459694143413</v>
      </c>
      <c r="BF197" s="526"/>
      <c r="BG197" s="526"/>
      <c r="BH197" s="526"/>
      <c r="BI197" s="526"/>
      <c r="BJ197" s="524">
        <f>+BJ165+BJ168</f>
        <v>1360.2219566210961</v>
      </c>
      <c r="BK197" s="473"/>
      <c r="BL197" s="473"/>
      <c r="BM197" s="473"/>
      <c r="BN197" s="473"/>
      <c r="BO197" s="473"/>
      <c r="BP197" s="473"/>
      <c r="BQ197" s="463"/>
      <c r="BR197" s="453"/>
      <c r="BS197" s="453"/>
      <c r="BZ197" s="453"/>
      <c r="CA197" s="453"/>
      <c r="CB197" s="453"/>
    </row>
    <row r="198" spans="1:80" ht="13.5" hidden="1" customHeight="1" outlineLevel="1">
      <c r="A198" s="453"/>
      <c r="B198" s="522" t="s">
        <v>210</v>
      </c>
      <c r="C198" s="527"/>
      <c r="D198" s="527"/>
      <c r="E198" s="527"/>
      <c r="F198" s="527"/>
      <c r="G198" s="528"/>
      <c r="H198" s="527"/>
      <c r="I198" s="527"/>
      <c r="J198" s="527"/>
      <c r="K198" s="527"/>
      <c r="L198" s="528">
        <f>L197/L69</f>
        <v>1.0644746527948186</v>
      </c>
      <c r="M198" s="527"/>
      <c r="N198" s="527"/>
      <c r="O198" s="529"/>
      <c r="P198" s="527"/>
      <c r="Q198" s="528">
        <f>Q197/Q69</f>
        <v>0.92706404777860307</v>
      </c>
      <c r="R198" s="527"/>
      <c r="S198" s="527"/>
      <c r="T198" s="527"/>
      <c r="U198" s="527"/>
      <c r="V198" s="528">
        <f>V197/V69</f>
        <v>0.92950244030014351</v>
      </c>
      <c r="W198" s="530"/>
      <c r="X198" s="530"/>
      <c r="Y198" s="530"/>
      <c r="Z198" s="527"/>
      <c r="AA198" s="528">
        <f>AA197/AA69</f>
        <v>1.3073961524781759</v>
      </c>
      <c r="AB198" s="530"/>
      <c r="AC198" s="530"/>
      <c r="AD198" s="530"/>
      <c r="AE198" s="531"/>
      <c r="AF198" s="528">
        <f>AF197/AF69</f>
        <v>1.3129981795416958</v>
      </c>
      <c r="AG198" s="530"/>
      <c r="AH198" s="530"/>
      <c r="AI198" s="530"/>
      <c r="AJ198" s="530"/>
      <c r="AK198" s="528">
        <f>AK197/AK69</f>
        <v>1.4937997638850669</v>
      </c>
      <c r="AL198" s="530"/>
      <c r="AM198" s="530"/>
      <c r="AN198" s="530"/>
      <c r="AO198" s="530"/>
      <c r="AP198" s="528">
        <f>AP197/AP69</f>
        <v>1.0240935385256589</v>
      </c>
      <c r="AQ198" s="530"/>
      <c r="AR198" s="530"/>
      <c r="AS198" s="530"/>
      <c r="AT198" s="530"/>
      <c r="AU198" s="528">
        <f>AU197/AU69</f>
        <v>1.0512814913714579</v>
      </c>
      <c r="AV198" s="530"/>
      <c r="AW198" s="530"/>
      <c r="AX198" s="530"/>
      <c r="AY198" s="530"/>
      <c r="AZ198" s="528">
        <f>AZ197/AZ69</f>
        <v>0.62879269365199353</v>
      </c>
      <c r="BA198" s="530"/>
      <c r="BB198" s="530"/>
      <c r="BC198" s="530"/>
      <c r="BD198" s="530"/>
      <c r="BE198" s="528">
        <f>BE197/BE69</f>
        <v>0.87081121743026613</v>
      </c>
      <c r="BF198" s="530"/>
      <c r="BG198" s="530"/>
      <c r="BH198" s="530"/>
      <c r="BI198" s="530"/>
      <c r="BJ198" s="528">
        <f>BJ197/BJ69</f>
        <v>0.83662388586101955</v>
      </c>
      <c r="BK198" s="473"/>
      <c r="BL198" s="473"/>
      <c r="BM198" s="473"/>
      <c r="BN198" s="473"/>
      <c r="BO198" s="473"/>
      <c r="BP198" s="473"/>
      <c r="BQ198" s="463"/>
      <c r="BR198" s="453"/>
      <c r="BS198" s="453"/>
      <c r="BZ198" s="453"/>
      <c r="CA198" s="453"/>
      <c r="CB198" s="453"/>
    </row>
    <row r="199" spans="1:80" ht="13.5" hidden="1" customHeight="1" outlineLevel="1">
      <c r="A199" s="452"/>
      <c r="B199" s="522"/>
      <c r="C199" s="532"/>
      <c r="D199" s="532"/>
      <c r="E199" s="532"/>
      <c r="F199" s="532"/>
      <c r="G199" s="524"/>
      <c r="H199" s="532"/>
      <c r="I199" s="532"/>
      <c r="J199" s="532"/>
      <c r="K199" s="532"/>
      <c r="L199" s="524"/>
      <c r="M199" s="532"/>
      <c r="N199" s="532"/>
      <c r="O199" s="533"/>
      <c r="P199" s="532"/>
      <c r="Q199" s="524"/>
      <c r="R199" s="532"/>
      <c r="S199" s="532"/>
      <c r="T199" s="532"/>
      <c r="U199" s="532"/>
      <c r="V199" s="524"/>
      <c r="W199" s="534"/>
      <c r="X199" s="534"/>
      <c r="Y199" s="534"/>
      <c r="Z199" s="532"/>
      <c r="AA199" s="535"/>
      <c r="AB199" s="534"/>
      <c r="AC199" s="534"/>
      <c r="AD199" s="534"/>
      <c r="AE199" s="534"/>
      <c r="AF199" s="535"/>
      <c r="AG199" s="534"/>
      <c r="AH199" s="534"/>
      <c r="AI199" s="534"/>
      <c r="AJ199" s="534"/>
      <c r="AK199" s="535"/>
      <c r="AL199" s="534"/>
      <c r="AM199" s="534"/>
      <c r="AN199" s="534"/>
      <c r="AO199" s="534"/>
      <c r="AP199" s="535"/>
      <c r="AQ199" s="534"/>
      <c r="AR199" s="534"/>
      <c r="AS199" s="534"/>
      <c r="AT199" s="534"/>
      <c r="AU199" s="535"/>
      <c r="AV199" s="534"/>
      <c r="AW199" s="534"/>
      <c r="AX199" s="534"/>
      <c r="AY199" s="534"/>
      <c r="AZ199" s="535"/>
      <c r="BA199" s="534"/>
      <c r="BB199" s="534"/>
      <c r="BC199" s="534"/>
      <c r="BD199" s="534"/>
      <c r="BE199" s="535"/>
      <c r="BF199" s="534"/>
      <c r="BG199" s="534"/>
      <c r="BH199" s="534"/>
      <c r="BI199" s="534"/>
      <c r="BJ199" s="535"/>
      <c r="BK199" s="473"/>
      <c r="BL199" s="473"/>
      <c r="BM199" s="473"/>
      <c r="BN199" s="473"/>
      <c r="BO199" s="473"/>
      <c r="BP199" s="473"/>
      <c r="BQ199" s="457"/>
      <c r="BR199" s="452"/>
      <c r="BS199" s="452"/>
      <c r="BZ199" s="452"/>
      <c r="CA199" s="452"/>
      <c r="CB199" s="452"/>
    </row>
    <row r="200" spans="1:80" ht="13.5" hidden="1" customHeight="1" outlineLevel="1">
      <c r="A200" s="452"/>
      <c r="B200" s="522" t="s">
        <v>35</v>
      </c>
      <c r="C200" s="532"/>
      <c r="D200" s="532"/>
      <c r="E200" s="532"/>
      <c r="F200" s="532"/>
      <c r="G200" s="536"/>
      <c r="H200" s="532"/>
      <c r="I200" s="532"/>
      <c r="J200" s="532"/>
      <c r="K200" s="532"/>
      <c r="L200" s="536"/>
      <c r="M200" s="532"/>
      <c r="N200" s="532"/>
      <c r="O200" s="533"/>
      <c r="P200" s="532"/>
      <c r="Q200" s="536"/>
      <c r="R200" s="532"/>
      <c r="S200" s="532"/>
      <c r="T200" s="532"/>
      <c r="U200" s="532"/>
      <c r="V200" s="536"/>
      <c r="W200" s="534"/>
      <c r="X200" s="534"/>
      <c r="Y200" s="534"/>
      <c r="Z200" s="532"/>
      <c r="AA200" s="537"/>
      <c r="AB200" s="534"/>
      <c r="AC200" s="534"/>
      <c r="AD200" s="534"/>
      <c r="AE200" s="534"/>
      <c r="AF200" s="537"/>
      <c r="AG200" s="534"/>
      <c r="AH200" s="534"/>
      <c r="AI200" s="534"/>
      <c r="AJ200" s="534"/>
      <c r="AK200" s="537"/>
      <c r="AL200" s="534"/>
      <c r="AM200" s="534"/>
      <c r="AN200" s="534"/>
      <c r="AO200" s="534"/>
      <c r="AP200" s="537"/>
      <c r="AQ200" s="534"/>
      <c r="AR200" s="534"/>
      <c r="AS200" s="534"/>
      <c r="AT200" s="534"/>
      <c r="AU200" s="537"/>
      <c r="AV200" s="534"/>
      <c r="AW200" s="534"/>
      <c r="AX200" s="534"/>
      <c r="AY200" s="534"/>
      <c r="AZ200" s="537"/>
      <c r="BA200" s="534"/>
      <c r="BB200" s="534"/>
      <c r="BC200" s="534"/>
      <c r="BD200" s="534"/>
      <c r="BE200" s="537"/>
      <c r="BF200" s="534"/>
      <c r="BG200" s="534"/>
      <c r="BH200" s="534"/>
      <c r="BI200" s="534"/>
      <c r="BJ200" s="537"/>
      <c r="BK200" s="473"/>
      <c r="BL200" s="473"/>
      <c r="BM200" s="473"/>
      <c r="BN200" s="473"/>
      <c r="BO200" s="473"/>
      <c r="BP200" s="473"/>
      <c r="BQ200" s="457"/>
      <c r="BR200" s="452"/>
      <c r="BS200" s="452"/>
      <c r="BZ200" s="452"/>
      <c r="CA200" s="452"/>
      <c r="CB200" s="452"/>
    </row>
    <row r="201" spans="1:80" ht="13.5" hidden="1" customHeight="1" outlineLevel="1">
      <c r="A201" s="119"/>
      <c r="B201" s="538" t="s">
        <v>16</v>
      </c>
      <c r="C201" s="539"/>
      <c r="D201" s="539"/>
      <c r="E201" s="539"/>
      <c r="F201" s="539"/>
      <c r="G201" s="540"/>
      <c r="H201" s="539"/>
      <c r="I201" s="539"/>
      <c r="J201" s="539"/>
      <c r="K201" s="539"/>
      <c r="L201" s="540"/>
      <c r="M201" s="539"/>
      <c r="N201" s="539"/>
      <c r="O201" s="541"/>
      <c r="P201" s="539"/>
      <c r="Q201" s="540"/>
      <c r="R201" s="539"/>
      <c r="S201" s="539"/>
      <c r="T201" s="539"/>
      <c r="U201" s="539"/>
      <c r="V201" s="540"/>
      <c r="W201" s="542"/>
      <c r="X201" s="542"/>
      <c r="Y201" s="542"/>
      <c r="Z201" s="539"/>
      <c r="AA201" s="543"/>
      <c r="AB201" s="542"/>
      <c r="AC201" s="542"/>
      <c r="AD201" s="542"/>
      <c r="AE201" s="542"/>
      <c r="AF201" s="543"/>
      <c r="AG201" s="542"/>
      <c r="AH201" s="542"/>
      <c r="AI201" s="542"/>
      <c r="AJ201" s="542"/>
      <c r="AK201" s="543"/>
      <c r="AL201" s="542"/>
      <c r="AM201" s="542"/>
      <c r="AN201" s="542"/>
      <c r="AO201" s="542"/>
      <c r="AP201" s="543"/>
      <c r="AQ201" s="542"/>
      <c r="AR201" s="542"/>
      <c r="AS201" s="542"/>
      <c r="AT201" s="542"/>
      <c r="AU201" s="543"/>
      <c r="AV201" s="542"/>
      <c r="AW201" s="542"/>
      <c r="AX201" s="542"/>
      <c r="AY201" s="542"/>
      <c r="AZ201" s="543"/>
      <c r="BA201" s="542"/>
      <c r="BB201" s="542"/>
      <c r="BC201" s="542"/>
      <c r="BD201" s="542"/>
      <c r="BE201" s="543"/>
      <c r="BF201" s="542"/>
      <c r="BG201" s="542"/>
      <c r="BH201" s="542"/>
      <c r="BI201" s="542"/>
      <c r="BJ201" s="543"/>
      <c r="BK201" s="473"/>
      <c r="BL201" s="473"/>
      <c r="BM201" s="473"/>
      <c r="BN201" s="473"/>
      <c r="BO201" s="473"/>
      <c r="BP201" s="473"/>
      <c r="BQ201" s="119"/>
      <c r="BR201" s="119"/>
      <c r="BS201" s="119"/>
      <c r="BZ201" s="119"/>
      <c r="CA201" s="119"/>
      <c r="CB201" s="119"/>
    </row>
    <row r="202" spans="1:80" ht="13.5" hidden="1" customHeight="1" outlineLevel="1">
      <c r="A202" s="119"/>
      <c r="B202" s="544"/>
      <c r="C202" s="545"/>
      <c r="D202" s="545"/>
      <c r="E202" s="545"/>
      <c r="F202" s="545"/>
      <c r="G202" s="546"/>
      <c r="H202" s="545"/>
      <c r="I202" s="545"/>
      <c r="J202" s="545"/>
      <c r="K202" s="545"/>
      <c r="L202" s="546"/>
      <c r="M202" s="545"/>
      <c r="N202" s="545"/>
      <c r="O202" s="547"/>
      <c r="P202" s="545"/>
      <c r="Q202" s="546"/>
      <c r="R202" s="545"/>
      <c r="S202" s="545"/>
      <c r="T202" s="545"/>
      <c r="U202" s="545"/>
      <c r="V202" s="546"/>
      <c r="W202" s="548"/>
      <c r="X202" s="548"/>
      <c r="Y202" s="548"/>
      <c r="Z202" s="545"/>
      <c r="AA202" s="549"/>
      <c r="AB202" s="548"/>
      <c r="AC202" s="548"/>
      <c r="AD202" s="548"/>
      <c r="AE202" s="548"/>
      <c r="AF202" s="549"/>
      <c r="AG202" s="548"/>
      <c r="AH202" s="548"/>
      <c r="AI202" s="548"/>
      <c r="AJ202" s="548"/>
      <c r="AK202" s="549"/>
      <c r="AL202" s="548"/>
      <c r="AM202" s="548"/>
      <c r="AN202" s="548"/>
      <c r="AO202" s="548"/>
      <c r="AP202" s="549"/>
      <c r="AQ202" s="548"/>
      <c r="AR202" s="548"/>
      <c r="AS202" s="548"/>
      <c r="AT202" s="548"/>
      <c r="AU202" s="549"/>
      <c r="AV202" s="548"/>
      <c r="AW202" s="548"/>
      <c r="AX202" s="548"/>
      <c r="AY202" s="548"/>
      <c r="AZ202" s="549"/>
      <c r="BA202" s="548"/>
      <c r="BB202" s="548"/>
      <c r="BC202" s="548"/>
      <c r="BD202" s="548"/>
      <c r="BE202" s="549"/>
      <c r="BF202" s="548"/>
      <c r="BG202" s="548"/>
      <c r="BH202" s="548"/>
      <c r="BI202" s="548"/>
      <c r="BJ202" s="549"/>
      <c r="BK202" s="473"/>
      <c r="BL202" s="473"/>
      <c r="BM202" s="473"/>
      <c r="BN202" s="473"/>
      <c r="BO202" s="473"/>
      <c r="BP202" s="473"/>
      <c r="BQ202" s="119"/>
      <c r="BR202" s="119"/>
      <c r="BS202" s="119"/>
      <c r="BZ202" s="119"/>
      <c r="CA202" s="119"/>
      <c r="CB202" s="119"/>
    </row>
    <row r="203" spans="1:80" ht="13.5" customHeight="1" collapsed="1">
      <c r="A203" s="113"/>
      <c r="B203" s="550"/>
      <c r="C203" s="364"/>
      <c r="D203" s="364"/>
      <c r="E203" s="364"/>
      <c r="F203" s="364"/>
      <c r="G203" s="364"/>
      <c r="H203" s="551"/>
      <c r="I203" s="551"/>
      <c r="J203" s="551"/>
      <c r="K203" s="551"/>
      <c r="L203" s="364"/>
      <c r="M203" s="551"/>
      <c r="N203" s="551"/>
      <c r="O203" s="551"/>
      <c r="P203" s="551"/>
      <c r="Q203" s="364"/>
      <c r="R203" s="551"/>
      <c r="S203" s="364"/>
      <c r="T203" s="364"/>
      <c r="U203" s="364"/>
      <c r="V203" s="364"/>
      <c r="W203" s="364"/>
      <c r="X203" s="364"/>
      <c r="Y203" s="364"/>
      <c r="Z203" s="552"/>
      <c r="AA203" s="364"/>
      <c r="AB203" s="364"/>
      <c r="AC203" s="364"/>
      <c r="AD203" s="364"/>
      <c r="AE203" s="364"/>
      <c r="AF203" s="364"/>
      <c r="AG203" s="364"/>
      <c r="AH203" s="364"/>
      <c r="AI203" s="364"/>
      <c r="AJ203" s="364"/>
      <c r="AK203" s="364"/>
      <c r="AL203" s="364"/>
      <c r="AM203" s="364"/>
      <c r="AN203" s="364"/>
      <c r="AO203" s="364"/>
      <c r="AP203" s="364"/>
      <c r="AQ203" s="364"/>
      <c r="AR203" s="364"/>
      <c r="AS203" s="364"/>
      <c r="AT203" s="364"/>
      <c r="AU203" s="364"/>
      <c r="AV203" s="364"/>
      <c r="AW203" s="1209"/>
      <c r="AX203" s="364"/>
      <c r="AY203" s="364"/>
      <c r="AZ203" s="1209"/>
      <c r="BA203" s="1201"/>
      <c r="BB203" s="1201"/>
      <c r="BC203" s="1201"/>
      <c r="BD203" s="1201"/>
      <c r="BE203" s="1201"/>
      <c r="BF203" s="1256"/>
      <c r="BG203" s="1256"/>
      <c r="BH203" s="1256"/>
      <c r="BI203" s="1256"/>
      <c r="BJ203" s="1256"/>
      <c r="BK203" s="473"/>
      <c r="BL203" s="473"/>
      <c r="BM203" s="473"/>
      <c r="BN203" s="473"/>
      <c r="BO203" s="473"/>
      <c r="BP203" s="473"/>
      <c r="BQ203" s="119"/>
      <c r="BR203" s="113"/>
      <c r="BS203" s="113"/>
      <c r="BZ203" s="113"/>
      <c r="CA203" s="113"/>
      <c r="CB203" s="113"/>
    </row>
    <row r="204" spans="1:80" ht="18">
      <c r="A204" s="453"/>
      <c r="B204" s="122" t="s">
        <v>211</v>
      </c>
      <c r="C204" s="453"/>
      <c r="D204" s="453"/>
      <c r="E204" s="453"/>
      <c r="F204" s="453"/>
      <c r="G204" s="453"/>
      <c r="H204" s="453"/>
      <c r="I204" s="453"/>
      <c r="J204" s="553"/>
      <c r="K204" s="453"/>
      <c r="L204" s="553"/>
      <c r="M204" s="453"/>
      <c r="N204" s="453"/>
      <c r="O204" s="460"/>
      <c r="P204" s="453"/>
      <c r="Q204" s="453"/>
      <c r="R204" s="453"/>
      <c r="S204" s="453"/>
      <c r="T204" s="453"/>
      <c r="U204" s="453"/>
      <c r="V204" s="453"/>
      <c r="W204" s="453"/>
      <c r="X204" s="453"/>
      <c r="Y204" s="453"/>
      <c r="Z204" s="453"/>
      <c r="AA204" s="453"/>
      <c r="AB204" s="453"/>
      <c r="AC204" s="453"/>
      <c r="AD204" s="453"/>
      <c r="AE204" s="453"/>
      <c r="AF204" s="453"/>
      <c r="AG204" s="453"/>
      <c r="AH204" s="453"/>
      <c r="AI204" s="453"/>
      <c r="AJ204" s="453"/>
      <c r="AK204" s="453"/>
      <c r="AL204" s="453"/>
      <c r="AM204" s="458"/>
      <c r="AN204" s="458"/>
      <c r="AO204" s="453"/>
      <c r="AP204" s="453"/>
      <c r="AQ204" s="460"/>
      <c r="AR204" s="453"/>
      <c r="AS204" s="459"/>
      <c r="AT204" s="461"/>
      <c r="AU204" s="453"/>
      <c r="AV204" s="453"/>
      <c r="AW204" s="453"/>
      <c r="AX204" s="453"/>
      <c r="AY204" s="453"/>
      <c r="AZ204" s="453"/>
      <c r="BA204" s="453"/>
      <c r="BB204" s="453"/>
      <c r="BC204" s="453"/>
      <c r="BD204" s="453"/>
      <c r="BE204" s="453"/>
      <c r="BF204" s="453"/>
      <c r="BG204" s="453"/>
      <c r="BH204" s="453"/>
      <c r="BI204" s="453"/>
      <c r="BJ204" s="453"/>
      <c r="BK204" s="473"/>
      <c r="BL204" s="473"/>
      <c r="BM204" s="473"/>
      <c r="BN204" s="473"/>
      <c r="BO204" s="473"/>
      <c r="BP204" s="473"/>
      <c r="BQ204" s="463"/>
      <c r="BR204" s="453"/>
      <c r="BS204" s="453"/>
      <c r="BZ204" s="453"/>
      <c r="CA204" s="453"/>
      <c r="CB204" s="453"/>
    </row>
    <row r="205" spans="1:80" ht="12.75">
      <c r="A205" s="113"/>
      <c r="B205" s="127" t="s">
        <v>165</v>
      </c>
      <c r="C205" s="554"/>
      <c r="D205" s="554"/>
      <c r="E205" s="554"/>
      <c r="F205" s="554"/>
      <c r="G205" s="554"/>
      <c r="H205" s="554"/>
      <c r="I205" s="554"/>
      <c r="J205" s="555"/>
      <c r="K205" s="554"/>
      <c r="L205" s="555"/>
      <c r="M205" s="554"/>
      <c r="N205" s="526"/>
      <c r="O205" s="526"/>
      <c r="P205" s="526"/>
      <c r="Q205" s="554"/>
      <c r="R205" s="554"/>
      <c r="S205" s="554"/>
      <c r="T205" s="554"/>
      <c r="U205" s="554"/>
      <c r="V205" s="554"/>
      <c r="W205" s="554"/>
      <c r="X205" s="554"/>
      <c r="Y205" s="554"/>
      <c r="Z205" s="523"/>
      <c r="AA205" s="554"/>
      <c r="AB205" s="554"/>
      <c r="AC205" s="554"/>
      <c r="AD205" s="554"/>
      <c r="AE205" s="554"/>
      <c r="AF205" s="554"/>
      <c r="AG205" s="554"/>
      <c r="AH205" s="554"/>
      <c r="AI205" s="554"/>
      <c r="AJ205" s="554"/>
      <c r="AK205" s="554"/>
      <c r="AL205" s="554"/>
      <c r="AM205" s="554"/>
      <c r="AN205" s="554"/>
      <c r="AO205" s="554"/>
      <c r="AP205" s="554"/>
      <c r="AQ205" s="554"/>
      <c r="AR205" s="554"/>
      <c r="AS205" s="554"/>
      <c r="AT205" s="554"/>
      <c r="AU205" s="554"/>
      <c r="AV205" s="554"/>
      <c r="AW205" s="554"/>
      <c r="AX205" s="554"/>
      <c r="AY205" s="554"/>
      <c r="AZ205" s="554"/>
      <c r="BA205" s="554"/>
      <c r="BB205" s="554"/>
      <c r="BC205" s="554"/>
      <c r="BD205" s="554"/>
      <c r="BE205" s="554"/>
      <c r="BF205" s="554"/>
      <c r="BG205" s="554"/>
      <c r="BH205" s="554"/>
      <c r="BI205" s="554"/>
      <c r="BJ205" s="554"/>
      <c r="BK205" s="473"/>
      <c r="BL205" s="473"/>
      <c r="BM205" s="473"/>
      <c r="BN205" s="473"/>
      <c r="BO205" s="473"/>
      <c r="BP205" s="473"/>
      <c r="BQ205" s="119"/>
      <c r="BR205" s="113"/>
      <c r="BS205" s="113"/>
      <c r="BZ205" s="113"/>
      <c r="CA205" s="113"/>
      <c r="CB205" s="113"/>
    </row>
    <row r="206" spans="1:80" ht="13.5" customHeight="1">
      <c r="A206" s="113"/>
      <c r="B206" s="556"/>
      <c r="C206" s="121" t="str">
        <f t="shared" ref="C206:AH206" si="215">+C3</f>
        <v>1Q09A</v>
      </c>
      <c r="D206" s="121" t="str">
        <f t="shared" si="215"/>
        <v>2Q09A</v>
      </c>
      <c r="E206" s="121" t="str">
        <f t="shared" si="215"/>
        <v>3Q09A</v>
      </c>
      <c r="F206" s="121" t="str">
        <f t="shared" si="215"/>
        <v>4Q09A</v>
      </c>
      <c r="G206" s="21" t="str">
        <f t="shared" si="215"/>
        <v>2009A</v>
      </c>
      <c r="H206" s="121" t="str">
        <f t="shared" si="215"/>
        <v>1Q10A</v>
      </c>
      <c r="I206" s="121" t="str">
        <f t="shared" si="215"/>
        <v>2Q10A</v>
      </c>
      <c r="J206" s="121" t="str">
        <f t="shared" si="215"/>
        <v>3Q10A</v>
      </c>
      <c r="K206" s="121" t="str">
        <f t="shared" si="215"/>
        <v>4Q10A</v>
      </c>
      <c r="L206" s="21" t="str">
        <f t="shared" si="215"/>
        <v>2010A</v>
      </c>
      <c r="M206" s="121" t="str">
        <f t="shared" si="215"/>
        <v>1Q11A</v>
      </c>
      <c r="N206" s="121" t="str">
        <f t="shared" si="215"/>
        <v>2Q11A</v>
      </c>
      <c r="O206" s="121" t="str">
        <f t="shared" si="215"/>
        <v>3Q11A</v>
      </c>
      <c r="P206" s="121" t="str">
        <f t="shared" si="215"/>
        <v>4Q11A</v>
      </c>
      <c r="Q206" s="21" t="str">
        <f t="shared" si="215"/>
        <v>2011A</v>
      </c>
      <c r="R206" s="121" t="str">
        <f t="shared" si="215"/>
        <v>1Q12A</v>
      </c>
      <c r="S206" s="121" t="str">
        <f t="shared" si="215"/>
        <v>2Q12A</v>
      </c>
      <c r="T206" s="121" t="str">
        <f t="shared" si="215"/>
        <v>3Q12A</v>
      </c>
      <c r="U206" s="121" t="str">
        <f t="shared" si="215"/>
        <v>4Q12A</v>
      </c>
      <c r="V206" s="21" t="str">
        <f t="shared" si="215"/>
        <v>2012A</v>
      </c>
      <c r="W206" s="121" t="str">
        <f t="shared" si="215"/>
        <v>1Q13A</v>
      </c>
      <c r="X206" s="121" t="str">
        <f t="shared" si="215"/>
        <v>2Q13A</v>
      </c>
      <c r="Y206" s="121" t="str">
        <f t="shared" si="215"/>
        <v>3Q13A</v>
      </c>
      <c r="Z206" s="121" t="str">
        <f t="shared" si="215"/>
        <v>4Q13A</v>
      </c>
      <c r="AA206" s="21" t="str">
        <f t="shared" si="215"/>
        <v>2013A</v>
      </c>
      <c r="AB206" s="121" t="str">
        <f t="shared" si="215"/>
        <v>1Q14A</v>
      </c>
      <c r="AC206" s="121" t="str">
        <f t="shared" si="215"/>
        <v>2Q14A</v>
      </c>
      <c r="AD206" s="121" t="str">
        <f t="shared" si="215"/>
        <v>3Q14A</v>
      </c>
      <c r="AE206" s="121" t="str">
        <f t="shared" si="215"/>
        <v>4Q14A</v>
      </c>
      <c r="AF206" s="21" t="str">
        <f t="shared" si="215"/>
        <v>2014A</v>
      </c>
      <c r="AG206" s="121" t="str">
        <f t="shared" si="215"/>
        <v>1Q15A</v>
      </c>
      <c r="AH206" s="121" t="str">
        <f t="shared" si="215"/>
        <v>2Q15A</v>
      </c>
      <c r="AI206" s="121" t="str">
        <f t="shared" ref="AI206:AZ206" si="216">+AI3</f>
        <v>3Q15A</v>
      </c>
      <c r="AJ206" s="121" t="str">
        <f t="shared" si="216"/>
        <v>4Q15A</v>
      </c>
      <c r="AK206" s="21" t="str">
        <f t="shared" si="216"/>
        <v>2015A</v>
      </c>
      <c r="AL206" s="121" t="str">
        <f t="shared" si="216"/>
        <v>1Q16A</v>
      </c>
      <c r="AM206" s="121" t="str">
        <f t="shared" si="216"/>
        <v>2Q16A</v>
      </c>
      <c r="AN206" s="121" t="str">
        <f t="shared" si="216"/>
        <v>3Q16A</v>
      </c>
      <c r="AO206" s="121" t="str">
        <f t="shared" si="216"/>
        <v>4Q16A</v>
      </c>
      <c r="AP206" s="21" t="str">
        <f t="shared" si="216"/>
        <v>2016A</v>
      </c>
      <c r="AQ206" s="121" t="str">
        <f t="shared" si="216"/>
        <v>1Q17A</v>
      </c>
      <c r="AR206" s="121" t="str">
        <f t="shared" si="216"/>
        <v>2Q17A</v>
      </c>
      <c r="AS206" s="121" t="str">
        <f t="shared" si="216"/>
        <v>3Q17A</v>
      </c>
      <c r="AT206" s="121" t="str">
        <f t="shared" si="216"/>
        <v>4Q17A</v>
      </c>
      <c r="AU206" s="21" t="str">
        <f t="shared" si="216"/>
        <v>2017A</v>
      </c>
      <c r="AV206" s="121" t="str">
        <f t="shared" si="216"/>
        <v>1Q18E</v>
      </c>
      <c r="AW206" s="121" t="str">
        <f t="shared" si="216"/>
        <v>2Q18E</v>
      </c>
      <c r="AX206" s="121" t="str">
        <f t="shared" si="216"/>
        <v>3Q18E</v>
      </c>
      <c r="AY206" s="121" t="str">
        <f t="shared" si="216"/>
        <v>4Q18E</v>
      </c>
      <c r="AZ206" s="21" t="str">
        <f t="shared" si="216"/>
        <v>2018E</v>
      </c>
      <c r="BA206" s="121" t="str">
        <f t="shared" ref="BA206:BJ206" si="217">+BA3</f>
        <v>1Q19E</v>
      </c>
      <c r="BB206" s="121" t="str">
        <f t="shared" si="217"/>
        <v>2Q19E</v>
      </c>
      <c r="BC206" s="121" t="str">
        <f t="shared" si="217"/>
        <v>3Q19E</v>
      </c>
      <c r="BD206" s="121" t="str">
        <f t="shared" si="217"/>
        <v>4Q19E</v>
      </c>
      <c r="BE206" s="21" t="str">
        <f t="shared" si="217"/>
        <v>2019E</v>
      </c>
      <c r="BF206" s="121" t="str">
        <f t="shared" si="217"/>
        <v>1Q20E</v>
      </c>
      <c r="BG206" s="121" t="str">
        <f t="shared" si="217"/>
        <v>2Q20E</v>
      </c>
      <c r="BH206" s="121" t="str">
        <f t="shared" si="217"/>
        <v>3Q20E</v>
      </c>
      <c r="BI206" s="121" t="str">
        <f t="shared" si="217"/>
        <v>4Q20E</v>
      </c>
      <c r="BJ206" s="21" t="str">
        <f t="shared" si="217"/>
        <v>2020E</v>
      </c>
      <c r="BK206" s="473"/>
      <c r="BL206" s="473"/>
      <c r="BM206" s="473"/>
      <c r="BN206" s="473"/>
      <c r="BO206" s="473"/>
      <c r="BP206" s="473"/>
      <c r="BQ206" s="119"/>
      <c r="BR206" s="113"/>
      <c r="BS206" s="113"/>
      <c r="BZ206" s="113"/>
      <c r="CA206" s="113"/>
      <c r="CB206" s="113"/>
    </row>
    <row r="207" spans="1:80" ht="13.5" customHeight="1">
      <c r="A207" s="108"/>
      <c r="B207" s="557" t="s">
        <v>212</v>
      </c>
      <c r="C207" s="102"/>
      <c r="D207" s="102"/>
      <c r="E207" s="102"/>
      <c r="F207" s="102"/>
      <c r="G207" s="468"/>
      <c r="H207" s="102"/>
      <c r="I207" s="102"/>
      <c r="J207" s="102"/>
      <c r="K207" s="102"/>
      <c r="L207" s="468"/>
      <c r="M207" s="102"/>
      <c r="N207" s="102"/>
      <c r="O207" s="102"/>
      <c r="P207" s="102"/>
      <c r="Q207" s="468"/>
      <c r="R207" s="102"/>
      <c r="S207" s="102"/>
      <c r="T207" s="102"/>
      <c r="U207" s="102"/>
      <c r="V207" s="468"/>
      <c r="W207" s="102"/>
      <c r="X207" s="102"/>
      <c r="Y207" s="102"/>
      <c r="Z207" s="108"/>
      <c r="AA207" s="468"/>
      <c r="AB207" s="102"/>
      <c r="AC207" s="102"/>
      <c r="AD207" s="102"/>
      <c r="AE207" s="102"/>
      <c r="AF207" s="468"/>
      <c r="AG207" s="102"/>
      <c r="AH207" s="102"/>
      <c r="AI207" s="102"/>
      <c r="AJ207" s="102"/>
      <c r="AK207" s="468"/>
      <c r="AL207" s="102"/>
      <c r="AM207" s="102"/>
      <c r="AN207" s="102"/>
      <c r="AO207" s="102"/>
      <c r="AP207" s="468"/>
      <c r="AQ207" s="102"/>
      <c r="AR207" s="102"/>
      <c r="AS207" s="102"/>
      <c r="AT207" s="102"/>
      <c r="AU207" s="468"/>
      <c r="AV207" s="102"/>
      <c r="AW207" s="102"/>
      <c r="AX207" s="102"/>
      <c r="AY207" s="102"/>
      <c r="AZ207" s="468"/>
      <c r="BA207" s="102"/>
      <c r="BB207" s="102"/>
      <c r="BC207" s="102"/>
      <c r="BD207" s="102"/>
      <c r="BE207" s="468"/>
      <c r="BF207" s="102"/>
      <c r="BG207" s="102"/>
      <c r="BH207" s="102"/>
      <c r="BI207" s="102"/>
      <c r="BJ207" s="468"/>
      <c r="BK207" s="473"/>
      <c r="BL207" s="473"/>
      <c r="BM207" s="473"/>
      <c r="BN207" s="473"/>
      <c r="BO207" s="473"/>
      <c r="BP207" s="473"/>
      <c r="BQ207" s="125"/>
      <c r="BR207" s="108"/>
      <c r="BS207" s="108"/>
      <c r="BZ207" s="108"/>
      <c r="CA207" s="108"/>
      <c r="CB207" s="108"/>
    </row>
    <row r="208" spans="1:80" ht="13.5" customHeight="1">
      <c r="A208" s="558"/>
      <c r="B208" s="559" t="s">
        <v>213</v>
      </c>
      <c r="C208" s="560"/>
      <c r="D208" s="560"/>
      <c r="E208" s="560"/>
      <c r="F208" s="560"/>
      <c r="G208" s="561">
        <v>289.16899999999998</v>
      </c>
      <c r="H208" s="560"/>
      <c r="I208" s="560"/>
      <c r="J208" s="562"/>
      <c r="K208" s="560">
        <v>236.512</v>
      </c>
      <c r="L208" s="561">
        <f t="shared" ref="L208:L213" si="218">K208</f>
        <v>236.512</v>
      </c>
      <c r="M208" s="560">
        <v>222.8</v>
      </c>
      <c r="N208" s="560">
        <v>255.83099999999999</v>
      </c>
      <c r="O208" s="560">
        <v>310.94299999999998</v>
      </c>
      <c r="P208" s="560">
        <v>370.54899999999998</v>
      </c>
      <c r="Q208" s="561">
        <f t="shared" ref="Q208:Q213" si="219">+P208</f>
        <v>370.54899999999998</v>
      </c>
      <c r="R208" s="560">
        <v>156.36199999999999</v>
      </c>
      <c r="S208" s="560">
        <v>308.82299999999998</v>
      </c>
      <c r="T208" s="560">
        <v>380.75700000000001</v>
      </c>
      <c r="U208" s="560">
        <v>67.058000000000007</v>
      </c>
      <c r="V208" s="561">
        <f t="shared" ref="V208:V213" si="220">+U208</f>
        <v>67.058000000000007</v>
      </c>
      <c r="W208" s="560">
        <v>141.74</v>
      </c>
      <c r="X208" s="563">
        <v>472.59100000000001</v>
      </c>
      <c r="Y208" s="563">
        <v>304.25900000000001</v>
      </c>
      <c r="Z208" s="562">
        <v>171.42699999999999</v>
      </c>
      <c r="AA208" s="561">
        <f t="shared" ref="AA208:AA213" si="221">+Z208</f>
        <v>171.42699999999999</v>
      </c>
      <c r="AB208" s="563">
        <v>136.96799999999999</v>
      </c>
      <c r="AC208" s="562">
        <v>230.655</v>
      </c>
      <c r="AD208" s="562">
        <v>371.447</v>
      </c>
      <c r="AE208" s="562">
        <v>411.56799999999998</v>
      </c>
      <c r="AF208" s="561">
        <f t="shared" ref="AF208:AF213" si="222">+AE208</f>
        <v>411.56799999999998</v>
      </c>
      <c r="AG208" s="562">
        <v>239.53800000000001</v>
      </c>
      <c r="AH208" s="562">
        <v>400.78199999999998</v>
      </c>
      <c r="AI208" s="562">
        <v>287.55799999999999</v>
      </c>
      <c r="AJ208" s="562">
        <v>197.096</v>
      </c>
      <c r="AK208" s="561">
        <f t="shared" ref="AK208:AK213" si="223">+AJ208</f>
        <v>197.096</v>
      </c>
      <c r="AL208" s="562">
        <v>82.554000000000002</v>
      </c>
      <c r="AM208" s="562">
        <v>202.72399999999999</v>
      </c>
      <c r="AN208" s="562">
        <v>183.81800000000001</v>
      </c>
      <c r="AO208" s="585">
        <v>139.148</v>
      </c>
      <c r="AP208" s="561">
        <f t="shared" ref="AP208:AP213" si="224">+AO208</f>
        <v>139.148</v>
      </c>
      <c r="AQ208" s="585">
        <v>138.28100000000001</v>
      </c>
      <c r="AR208" s="585">
        <v>119.916</v>
      </c>
      <c r="AS208" s="585">
        <v>92.638000000000005</v>
      </c>
      <c r="AT208" s="585">
        <v>126.503</v>
      </c>
      <c r="AU208" s="561">
        <f t="shared" ref="AU208:AU213" si="225">+AT208</f>
        <v>126.503</v>
      </c>
      <c r="AV208" s="562">
        <f>+AV193</f>
        <v>-346.50466508661447</v>
      </c>
      <c r="AW208" s="562">
        <f>+AW193</f>
        <v>-75.655981169937434</v>
      </c>
      <c r="AX208" s="562">
        <f>+AX193</f>
        <v>65.377883481466768</v>
      </c>
      <c r="AY208" s="562">
        <f>+AY193</f>
        <v>357.86026034509638</v>
      </c>
      <c r="AZ208" s="561">
        <f t="shared" ref="AZ208:AZ213" si="226">+AY208</f>
        <v>357.86026034509638</v>
      </c>
      <c r="BA208" s="562">
        <f>+BA193</f>
        <v>603.76058391825711</v>
      </c>
      <c r="BB208" s="562">
        <f>+BB193</f>
        <v>836.0341413489457</v>
      </c>
      <c r="BC208" s="562">
        <f>+BC193</f>
        <v>935.94810522473188</v>
      </c>
      <c r="BD208" s="562">
        <f>+BD193</f>
        <v>1179.8062297594377</v>
      </c>
      <c r="BE208" s="561">
        <f t="shared" ref="BE208:BE213" si="227">+BD208</f>
        <v>1179.8062297594377</v>
      </c>
      <c r="BF208" s="562">
        <f>+BF193</f>
        <v>1531.5459075249428</v>
      </c>
      <c r="BG208" s="562">
        <f>+BG193</f>
        <v>1910.4659381436318</v>
      </c>
      <c r="BH208" s="562">
        <f>+BH193</f>
        <v>2146.2532497480747</v>
      </c>
      <c r="BI208" s="562">
        <f>+BI193</f>
        <v>2540.028186380534</v>
      </c>
      <c r="BJ208" s="561">
        <f t="shared" ref="BJ208:BJ213" si="228">+BI208</f>
        <v>2540.028186380534</v>
      </c>
      <c r="BK208" s="473"/>
      <c r="BL208" s="473"/>
      <c r="BM208" s="473"/>
      <c r="BN208" s="473"/>
      <c r="BO208" s="473"/>
      <c r="BP208" s="473"/>
      <c r="BQ208" s="564"/>
      <c r="BR208" s="511"/>
      <c r="BS208" s="558"/>
      <c r="BZ208" s="558"/>
      <c r="CA208" s="558"/>
      <c r="CB208" s="558"/>
    </row>
    <row r="209" spans="1:80" ht="13.5" customHeight="1">
      <c r="A209" s="108"/>
      <c r="B209" s="559" t="s">
        <v>214</v>
      </c>
      <c r="C209" s="560"/>
      <c r="D209" s="560"/>
      <c r="E209" s="560"/>
      <c r="F209" s="560"/>
      <c r="G209" s="561">
        <v>262.36700000000002</v>
      </c>
      <c r="H209" s="560"/>
      <c r="I209" s="560"/>
      <c r="J209" s="562"/>
      <c r="K209" s="560">
        <v>344.37099999999998</v>
      </c>
      <c r="L209" s="561">
        <f t="shared" si="218"/>
        <v>344.37099999999998</v>
      </c>
      <c r="M209" s="560">
        <v>318.2</v>
      </c>
      <c r="N209" s="560">
        <v>315.44799999999998</v>
      </c>
      <c r="O209" s="560">
        <v>328.25200000000001</v>
      </c>
      <c r="P209" s="560">
        <v>368.65800000000002</v>
      </c>
      <c r="Q209" s="561">
        <f t="shared" si="219"/>
        <v>368.65800000000002</v>
      </c>
      <c r="R209" s="560">
        <v>352.03300000000002</v>
      </c>
      <c r="S209" s="560">
        <v>359.28199999999998</v>
      </c>
      <c r="T209" s="560">
        <v>367.04700000000003</v>
      </c>
      <c r="U209" s="560">
        <v>397.66399999999999</v>
      </c>
      <c r="V209" s="561">
        <f t="shared" si="220"/>
        <v>397.66399999999999</v>
      </c>
      <c r="W209" s="560">
        <v>401.29700000000003</v>
      </c>
      <c r="X209" s="563">
        <v>395.64299999999997</v>
      </c>
      <c r="Y209" s="563">
        <v>374.46899999999999</v>
      </c>
      <c r="Z209" s="562">
        <v>472.19600000000003</v>
      </c>
      <c r="AA209" s="561">
        <f t="shared" si="221"/>
        <v>472.19600000000003</v>
      </c>
      <c r="AB209" s="563">
        <v>473.22899999999998</v>
      </c>
      <c r="AC209" s="562">
        <v>526.24300000000005</v>
      </c>
      <c r="AD209" s="562">
        <v>529.44100000000003</v>
      </c>
      <c r="AE209" s="562">
        <v>607.67399999999998</v>
      </c>
      <c r="AF209" s="561">
        <f t="shared" si="222"/>
        <v>607.67399999999998</v>
      </c>
      <c r="AG209" s="562">
        <v>566.60299999999995</v>
      </c>
      <c r="AH209" s="562">
        <v>576.56799999999998</v>
      </c>
      <c r="AI209" s="562">
        <v>578.84199999999998</v>
      </c>
      <c r="AJ209" s="562">
        <v>680.03300000000002</v>
      </c>
      <c r="AK209" s="561">
        <f t="shared" si="223"/>
        <v>680.03300000000002</v>
      </c>
      <c r="AL209" s="562">
        <v>710.16700000000003</v>
      </c>
      <c r="AM209" s="562">
        <v>721.70299999999997</v>
      </c>
      <c r="AN209" s="1193">
        <v>750.44899999999996</v>
      </c>
      <c r="AO209" s="585">
        <v>940.05200000000002</v>
      </c>
      <c r="AP209" s="561">
        <f t="shared" si="224"/>
        <v>940.05200000000002</v>
      </c>
      <c r="AQ209" s="585">
        <v>883.72799999999995</v>
      </c>
      <c r="AR209" s="585">
        <v>880.28899999999999</v>
      </c>
      <c r="AS209" s="585">
        <v>899.38900000000001</v>
      </c>
      <c r="AT209" s="585">
        <v>985.88800000000003</v>
      </c>
      <c r="AU209" s="561">
        <f t="shared" si="225"/>
        <v>985.88800000000003</v>
      </c>
      <c r="AV209" s="565">
        <f>+AV264*AV15/90</f>
        <v>1390.3061540012277</v>
      </c>
      <c r="AW209" s="565">
        <f>+AW264*AW15/90</f>
        <v>1623.4012646218637</v>
      </c>
      <c r="AX209" s="565">
        <f>+AX264*AX15/90</f>
        <v>1699.4579017693056</v>
      </c>
      <c r="AY209" s="565">
        <f>+AY264*AY15/90</f>
        <v>1751.6144079665476</v>
      </c>
      <c r="AZ209" s="561">
        <f t="shared" si="226"/>
        <v>1751.6144079665476</v>
      </c>
      <c r="BA209" s="565">
        <f>+BA264*BA15/90</f>
        <v>1643.8023142977577</v>
      </c>
      <c r="BB209" s="565">
        <f>+BB264*BB15/90</f>
        <v>1770.9314479514869</v>
      </c>
      <c r="BC209" s="565">
        <f>+BC264*BC15/90</f>
        <v>1852.6582602945136</v>
      </c>
      <c r="BD209" s="565">
        <f>+BD264*BD15/90</f>
        <v>1910.9378922741048</v>
      </c>
      <c r="BE209" s="561">
        <f t="shared" si="227"/>
        <v>1910.9378922741048</v>
      </c>
      <c r="BF209" s="565">
        <f>+BF264*BF15/90</f>
        <v>1797.2226077893765</v>
      </c>
      <c r="BG209" s="565">
        <f>+BG264*BG15/90</f>
        <v>1934.8485036852046</v>
      </c>
      <c r="BH209" s="565">
        <f>+BH264*BH15/90</f>
        <v>2022.0099430189762</v>
      </c>
      <c r="BI209" s="565">
        <f>+BI264*BI15/90</f>
        <v>2087.3340677616652</v>
      </c>
      <c r="BJ209" s="561">
        <f t="shared" si="228"/>
        <v>2087.3340677616652</v>
      </c>
      <c r="BK209" s="473"/>
      <c r="BL209" s="473"/>
      <c r="BM209" s="473"/>
      <c r="BN209" s="473"/>
      <c r="BO209" s="473"/>
      <c r="BP209" s="473"/>
      <c r="BQ209" s="125"/>
      <c r="BR209" s="511"/>
      <c r="BS209" s="108"/>
      <c r="BZ209" s="108"/>
      <c r="CA209" s="108"/>
      <c r="CB209" s="108"/>
    </row>
    <row r="210" spans="1:80" ht="13.5" customHeight="1">
      <c r="A210" s="108"/>
      <c r="B210" s="559" t="s">
        <v>215</v>
      </c>
      <c r="C210" s="560"/>
      <c r="D210" s="560"/>
      <c r="E210" s="560"/>
      <c r="F210" s="560"/>
      <c r="G210" s="561">
        <v>3.2429999999999999</v>
      </c>
      <c r="H210" s="560"/>
      <c r="I210" s="560"/>
      <c r="J210" s="562"/>
      <c r="K210" s="560">
        <v>2.9329999999999998</v>
      </c>
      <c r="L210" s="561">
        <f t="shared" si="218"/>
        <v>2.9329999999999998</v>
      </c>
      <c r="M210" s="560">
        <v>3.5</v>
      </c>
      <c r="N210" s="560">
        <v>3.694</v>
      </c>
      <c r="O210" s="560">
        <v>8.7579999999999991</v>
      </c>
      <c r="P210" s="560">
        <v>4.3609999999999998</v>
      </c>
      <c r="Q210" s="561">
        <f t="shared" si="219"/>
        <v>4.3609999999999998</v>
      </c>
      <c r="R210" s="560">
        <v>5.0019999999999998</v>
      </c>
      <c r="S210" s="560">
        <v>4.8869999999999996</v>
      </c>
      <c r="T210" s="560">
        <v>4.3940000000000001</v>
      </c>
      <c r="U210" s="560">
        <v>4.415</v>
      </c>
      <c r="V210" s="561">
        <f t="shared" si="220"/>
        <v>4.415</v>
      </c>
      <c r="W210" s="560">
        <v>5.125</v>
      </c>
      <c r="X210" s="563">
        <v>4.5519999999999996</v>
      </c>
      <c r="Y210" s="563">
        <v>5.5339999999999998</v>
      </c>
      <c r="Z210" s="562">
        <v>5.1550000000000002</v>
      </c>
      <c r="AA210" s="561">
        <f t="shared" si="221"/>
        <v>5.1550000000000002</v>
      </c>
      <c r="AB210" s="563">
        <v>5.16</v>
      </c>
      <c r="AC210" s="562">
        <v>5.1340000000000003</v>
      </c>
      <c r="AD210" s="562">
        <v>6.0170000000000003</v>
      </c>
      <c r="AE210" s="562">
        <v>6.1639999999999997</v>
      </c>
      <c r="AF210" s="561">
        <f t="shared" si="222"/>
        <v>6.1639999999999997</v>
      </c>
      <c r="AG210" s="562">
        <v>6.6539999999999999</v>
      </c>
      <c r="AH210" s="562">
        <v>6.9219999999999997</v>
      </c>
      <c r="AI210" s="562">
        <v>6.2530000000000001</v>
      </c>
      <c r="AJ210" s="562">
        <v>3.9990000000000001</v>
      </c>
      <c r="AK210" s="561">
        <f t="shared" si="223"/>
        <v>3.9990000000000001</v>
      </c>
      <c r="AL210" s="562">
        <v>4.0609999999999999</v>
      </c>
      <c r="AM210" s="562">
        <v>4.2080000000000002</v>
      </c>
      <c r="AN210" s="1193">
        <v>1.5209999999999999</v>
      </c>
      <c r="AO210" s="585">
        <v>1.7509999999999999</v>
      </c>
      <c r="AP210" s="561">
        <f t="shared" si="224"/>
        <v>1.7509999999999999</v>
      </c>
      <c r="AQ210" s="585">
        <v>1.359</v>
      </c>
      <c r="AR210" s="585">
        <v>1.83</v>
      </c>
      <c r="AS210" s="585">
        <v>1.639</v>
      </c>
      <c r="AT210" s="585">
        <v>0.73599999999999999</v>
      </c>
      <c r="AU210" s="561">
        <f t="shared" si="225"/>
        <v>0.73599999999999999</v>
      </c>
      <c r="AV210" s="565">
        <f>AU210</f>
        <v>0.73599999999999999</v>
      </c>
      <c r="AW210" s="565">
        <f>AV210</f>
        <v>0.73599999999999999</v>
      </c>
      <c r="AX210" s="565">
        <f>AW210</f>
        <v>0.73599999999999999</v>
      </c>
      <c r="AY210" s="565">
        <f>AX210</f>
        <v>0.73599999999999999</v>
      </c>
      <c r="AZ210" s="561">
        <f t="shared" si="226"/>
        <v>0.73599999999999999</v>
      </c>
      <c r="BA210" s="565">
        <f>AZ210</f>
        <v>0.73599999999999999</v>
      </c>
      <c r="BB210" s="565">
        <f>BA210</f>
        <v>0.73599999999999999</v>
      </c>
      <c r="BC210" s="565">
        <f>BB210</f>
        <v>0.73599999999999999</v>
      </c>
      <c r="BD210" s="565">
        <f>BC210</f>
        <v>0.73599999999999999</v>
      </c>
      <c r="BE210" s="561">
        <f t="shared" si="227"/>
        <v>0.73599999999999999</v>
      </c>
      <c r="BF210" s="565">
        <f>BE210</f>
        <v>0.73599999999999999</v>
      </c>
      <c r="BG210" s="565">
        <f>BF210</f>
        <v>0.73599999999999999</v>
      </c>
      <c r="BH210" s="565">
        <f>BG210</f>
        <v>0.73599999999999999</v>
      </c>
      <c r="BI210" s="565">
        <f>BH210</f>
        <v>0.73599999999999999</v>
      </c>
      <c r="BJ210" s="561">
        <f t="shared" si="228"/>
        <v>0.73599999999999999</v>
      </c>
      <c r="BK210" s="473"/>
      <c r="BL210" s="473"/>
      <c r="BM210" s="473"/>
      <c r="BN210" s="473"/>
      <c r="BO210" s="473"/>
      <c r="BP210" s="473"/>
      <c r="BQ210" s="125"/>
      <c r="BR210" s="511"/>
      <c r="BS210" s="108"/>
      <c r="BZ210" s="108"/>
      <c r="CA210" s="108"/>
      <c r="CB210" s="108"/>
    </row>
    <row r="211" spans="1:80" ht="13.5" customHeight="1">
      <c r="A211" s="108"/>
      <c r="B211" s="559" t="s">
        <v>216</v>
      </c>
      <c r="C211" s="560"/>
      <c r="D211" s="560"/>
      <c r="E211" s="560"/>
      <c r="F211" s="560"/>
      <c r="G211" s="561">
        <v>17.617000000000001</v>
      </c>
      <c r="H211" s="560"/>
      <c r="I211" s="560"/>
      <c r="J211" s="562"/>
      <c r="K211" s="560">
        <v>29.044</v>
      </c>
      <c r="L211" s="561">
        <f t="shared" si="218"/>
        <v>29.044</v>
      </c>
      <c r="M211" s="560">
        <v>28.4</v>
      </c>
      <c r="N211" s="560">
        <v>31.97</v>
      </c>
      <c r="O211" s="560">
        <v>49.917000000000002</v>
      </c>
      <c r="P211" s="560">
        <v>46.84</v>
      </c>
      <c r="Q211" s="561">
        <f t="shared" si="219"/>
        <v>46.84</v>
      </c>
      <c r="R211" s="560">
        <v>71.811000000000007</v>
      </c>
      <c r="S211" s="560">
        <v>118.3</v>
      </c>
      <c r="T211" s="560">
        <v>110.946</v>
      </c>
      <c r="U211" s="560">
        <v>429.37700000000001</v>
      </c>
      <c r="V211" s="561">
        <f t="shared" si="220"/>
        <v>429.37700000000001</v>
      </c>
      <c r="W211" s="560">
        <v>130.11099999999999</v>
      </c>
      <c r="X211" s="563">
        <v>107.023</v>
      </c>
      <c r="Y211" s="563">
        <v>473.791</v>
      </c>
      <c r="Z211" s="562">
        <v>127.14400000000001</v>
      </c>
      <c r="AA211" s="561">
        <f t="shared" si="221"/>
        <v>127.14400000000001</v>
      </c>
      <c r="AB211" s="563">
        <v>522.48500000000001</v>
      </c>
      <c r="AC211" s="562">
        <v>512.14599999999996</v>
      </c>
      <c r="AD211" s="562">
        <v>116.694</v>
      </c>
      <c r="AE211" s="562">
        <v>135.422</v>
      </c>
      <c r="AF211" s="561">
        <f t="shared" si="222"/>
        <v>135.422</v>
      </c>
      <c r="AG211" s="562">
        <v>146.95099999999999</v>
      </c>
      <c r="AH211" s="562">
        <v>115.626</v>
      </c>
      <c r="AI211" s="562">
        <v>107.17100000000001</v>
      </c>
      <c r="AJ211" s="562">
        <v>143.56299999999999</v>
      </c>
      <c r="AK211" s="561">
        <f t="shared" si="223"/>
        <v>143.56299999999999</v>
      </c>
      <c r="AL211" s="562">
        <v>132.78399999999999</v>
      </c>
      <c r="AM211" s="562">
        <v>132.304</v>
      </c>
      <c r="AN211" s="1193">
        <v>150.90100000000001</v>
      </c>
      <c r="AO211" s="585">
        <v>152.49</v>
      </c>
      <c r="AP211" s="561">
        <f t="shared" si="224"/>
        <v>152.49</v>
      </c>
      <c r="AQ211" s="585">
        <v>154.358</v>
      </c>
      <c r="AR211" s="585">
        <v>144.964</v>
      </c>
      <c r="AS211" s="585">
        <v>135.04300000000001</v>
      </c>
      <c r="AT211" s="585">
        <v>142.01</v>
      </c>
      <c r="AU211" s="561">
        <f t="shared" si="225"/>
        <v>142.01</v>
      </c>
      <c r="AV211" s="565">
        <f>+AQ211/AQ15*AV15</f>
        <v>273.89956901915065</v>
      </c>
      <c r="AW211" s="565">
        <f>+AR211/AR15*AW15</f>
        <v>266.40110588774303</v>
      </c>
      <c r="AX211" s="565">
        <f>+AS211/AS15*AX15</f>
        <v>248.45179646281599</v>
      </c>
      <c r="AY211" s="565">
        <f>+AT211/AT15*AY15</f>
        <v>262.32699330718691</v>
      </c>
      <c r="AZ211" s="561">
        <f t="shared" si="226"/>
        <v>262.32699330718691</v>
      </c>
      <c r="BA211" s="565">
        <f>+AV211/AV15*BA15</f>
        <v>323.84000037911119</v>
      </c>
      <c r="BB211" s="565">
        <f>+AW211/AW15*BB15</f>
        <v>290.61089606552002</v>
      </c>
      <c r="BC211" s="565">
        <f>+AX211/AX15*BC15</f>
        <v>270.84888217744771</v>
      </c>
      <c r="BD211" s="565">
        <f>+AY211/AY15*BD15</f>
        <v>286.18775307916547</v>
      </c>
      <c r="BE211" s="561">
        <f t="shared" si="227"/>
        <v>286.18775307916547</v>
      </c>
      <c r="BF211" s="565">
        <f>+BA211/BA15*BF15</f>
        <v>354.06481967176097</v>
      </c>
      <c r="BG211" s="565">
        <f>+BB211/BB15*BG15</f>
        <v>317.50978167868146</v>
      </c>
      <c r="BH211" s="565">
        <f>+BC211/BC15*BH15</f>
        <v>295.60720644254928</v>
      </c>
      <c r="BI211" s="565">
        <f>+BD211/BD15*BI15</f>
        <v>312.60536995653376</v>
      </c>
      <c r="BJ211" s="561">
        <f t="shared" si="228"/>
        <v>312.60536995653376</v>
      </c>
      <c r="BK211" s="473"/>
      <c r="BL211" s="473"/>
      <c r="BM211" s="473"/>
      <c r="BN211" s="473"/>
      <c r="BO211" s="473"/>
      <c r="BP211" s="473"/>
      <c r="BQ211" s="125"/>
      <c r="BR211" s="511"/>
      <c r="BS211" s="108"/>
      <c r="BZ211" s="108"/>
      <c r="CA211" s="108"/>
      <c r="CB211" s="108"/>
    </row>
    <row r="212" spans="1:80" ht="13.5" customHeight="1">
      <c r="A212" s="108"/>
      <c r="B212" s="559" t="s">
        <v>217</v>
      </c>
      <c r="C212" s="560"/>
      <c r="D212" s="560"/>
      <c r="E212" s="560"/>
      <c r="F212" s="560"/>
      <c r="G212" s="561">
        <v>3.9279999999999999</v>
      </c>
      <c r="H212" s="560"/>
      <c r="I212" s="560"/>
      <c r="J212" s="562"/>
      <c r="K212" s="560">
        <v>10.058999999999999</v>
      </c>
      <c r="L212" s="561">
        <f t="shared" si="218"/>
        <v>10.058999999999999</v>
      </c>
      <c r="M212" s="560">
        <v>12</v>
      </c>
      <c r="N212" s="560">
        <v>11.446999999999999</v>
      </c>
      <c r="O212" s="560">
        <v>13.929</v>
      </c>
      <c r="P212" s="560">
        <v>8.6419999999999995</v>
      </c>
      <c r="Q212" s="561">
        <f t="shared" si="219"/>
        <v>8.6419999999999995</v>
      </c>
      <c r="R212" s="560">
        <v>11.27</v>
      </c>
      <c r="S212" s="560">
        <v>11.782999999999999</v>
      </c>
      <c r="T212" s="560">
        <v>11.512</v>
      </c>
      <c r="U212" s="560">
        <v>10.629</v>
      </c>
      <c r="V212" s="561">
        <f t="shared" si="220"/>
        <v>10.629</v>
      </c>
      <c r="W212" s="560">
        <v>17.286999999999999</v>
      </c>
      <c r="X212" s="563">
        <v>14.66</v>
      </c>
      <c r="Y212" s="563">
        <v>20.04</v>
      </c>
      <c r="Z212" s="562">
        <v>18.059000000000001</v>
      </c>
      <c r="AA212" s="561">
        <f t="shared" si="221"/>
        <v>18.059000000000001</v>
      </c>
      <c r="AB212" s="563">
        <v>20.423999999999999</v>
      </c>
      <c r="AC212" s="562">
        <v>32.642000000000003</v>
      </c>
      <c r="AD212" s="562">
        <v>29.67</v>
      </c>
      <c r="AE212" s="562">
        <v>26.905999999999999</v>
      </c>
      <c r="AF212" s="561">
        <f t="shared" si="222"/>
        <v>26.905999999999999</v>
      </c>
      <c r="AG212" s="562">
        <v>28.068000000000001</v>
      </c>
      <c r="AH212" s="562">
        <v>25.353000000000002</v>
      </c>
      <c r="AI212" s="562">
        <v>34.801000000000002</v>
      </c>
      <c r="AJ212" s="562">
        <v>31.146999999999998</v>
      </c>
      <c r="AK212" s="561">
        <f t="shared" si="223"/>
        <v>31.146999999999998</v>
      </c>
      <c r="AL212" s="562">
        <v>39.640999999999998</v>
      </c>
      <c r="AM212" s="562">
        <v>32.646000000000001</v>
      </c>
      <c r="AN212" s="1193">
        <v>42.795999999999999</v>
      </c>
      <c r="AO212" s="585">
        <v>39.228999999999999</v>
      </c>
      <c r="AP212" s="561">
        <f t="shared" si="224"/>
        <v>39.228999999999999</v>
      </c>
      <c r="AQ212" s="585">
        <v>35.386000000000003</v>
      </c>
      <c r="AR212" s="585">
        <v>54.924999999999997</v>
      </c>
      <c r="AS212" s="585">
        <v>48.073</v>
      </c>
      <c r="AT212" s="585">
        <v>33.524000000000001</v>
      </c>
      <c r="AU212" s="561">
        <f t="shared" si="225"/>
        <v>33.524000000000001</v>
      </c>
      <c r="AV212" s="565">
        <f>+AV266*AV15</f>
        <v>87.589287702077343</v>
      </c>
      <c r="AW212" s="565">
        <f>+AW266*AW15</f>
        <v>102.2742796711774</v>
      </c>
      <c r="AX212" s="565">
        <f>+AX266*AX15</f>
        <v>107.06584781146627</v>
      </c>
      <c r="AY212" s="565">
        <f>+AY266*AY15</f>
        <v>110.35170770189249</v>
      </c>
      <c r="AZ212" s="561">
        <f t="shared" si="226"/>
        <v>110.35170770189249</v>
      </c>
      <c r="BA212" s="565">
        <f>+BA266*BA15</f>
        <v>108.490952743652</v>
      </c>
      <c r="BB212" s="565">
        <f>+BB266*BB15</f>
        <v>116.88147556479814</v>
      </c>
      <c r="BC212" s="565">
        <f>+BC266*BC15</f>
        <v>122.2754451794379</v>
      </c>
      <c r="BD212" s="565">
        <f>+BD266*BD15</f>
        <v>126.12190089009093</v>
      </c>
      <c r="BE212" s="561">
        <f t="shared" si="227"/>
        <v>126.12190089009093</v>
      </c>
      <c r="BF212" s="565">
        <f>+BF266*BF15</f>
        <v>124.00835993746699</v>
      </c>
      <c r="BG212" s="565">
        <f>+BG266*BG15</f>
        <v>133.50454675427912</v>
      </c>
      <c r="BH212" s="565">
        <f>+BH266*BH15</f>
        <v>139.51868606830936</v>
      </c>
      <c r="BI212" s="565">
        <f>+BI266*BI15</f>
        <v>144.0260506755549</v>
      </c>
      <c r="BJ212" s="561">
        <f t="shared" si="228"/>
        <v>144.0260506755549</v>
      </c>
      <c r="BK212" s="473"/>
      <c r="BL212" s="473"/>
      <c r="BM212" s="473"/>
      <c r="BN212" s="473"/>
      <c r="BO212" s="473"/>
      <c r="BP212" s="473"/>
      <c r="BQ212" s="125"/>
      <c r="BR212" s="511"/>
      <c r="BS212" s="108"/>
      <c r="BZ212" s="108"/>
      <c r="CA212" s="108"/>
      <c r="CB212" s="108"/>
    </row>
    <row r="213" spans="1:80" ht="13.5" customHeight="1">
      <c r="A213" s="108"/>
      <c r="B213" s="566" t="s">
        <v>107</v>
      </c>
      <c r="C213" s="567"/>
      <c r="D213" s="567"/>
      <c r="E213" s="567"/>
      <c r="F213" s="567"/>
      <c r="G213" s="568">
        <v>3.528</v>
      </c>
      <c r="H213" s="567"/>
      <c r="I213" s="567"/>
      <c r="J213" s="569"/>
      <c r="K213" s="567">
        <v>8.0310000000000006</v>
      </c>
      <c r="L213" s="568">
        <f t="shared" si="218"/>
        <v>8.0310000000000006</v>
      </c>
      <c r="M213" s="567">
        <v>10.4</v>
      </c>
      <c r="N213" s="567">
        <v>9.3019999999999996</v>
      </c>
      <c r="O213" s="567">
        <v>3.4710000000000001</v>
      </c>
      <c r="P213" s="567">
        <v>20.946999999999999</v>
      </c>
      <c r="Q213" s="568">
        <f t="shared" si="219"/>
        <v>20.946999999999999</v>
      </c>
      <c r="R213" s="567">
        <v>46.734000000000002</v>
      </c>
      <c r="S213" s="567">
        <v>34.319000000000003</v>
      </c>
      <c r="T213" s="567">
        <v>17.765000000000001</v>
      </c>
      <c r="U213" s="567">
        <v>11.933999999999999</v>
      </c>
      <c r="V213" s="568">
        <f t="shared" si="220"/>
        <v>11.933999999999999</v>
      </c>
      <c r="W213" s="567">
        <v>11.851000000000001</v>
      </c>
      <c r="X213" s="570">
        <v>12.382999999999999</v>
      </c>
      <c r="Y213" s="570">
        <v>14.435</v>
      </c>
      <c r="Z213" s="569">
        <v>13.932</v>
      </c>
      <c r="AA213" s="568">
        <f t="shared" si="221"/>
        <v>13.932</v>
      </c>
      <c r="AB213" s="570">
        <v>9.5860000000000003</v>
      </c>
      <c r="AC213" s="569">
        <v>12.154</v>
      </c>
      <c r="AD213" s="569">
        <v>12.571</v>
      </c>
      <c r="AE213" s="569">
        <v>27.001999999999999</v>
      </c>
      <c r="AF213" s="568">
        <f t="shared" si="222"/>
        <v>27.001999999999999</v>
      </c>
      <c r="AG213" s="569">
        <v>31.062999999999999</v>
      </c>
      <c r="AH213" s="569">
        <v>31.805</v>
      </c>
      <c r="AI213" s="569">
        <v>17.337</v>
      </c>
      <c r="AJ213" s="569">
        <v>61.661000000000001</v>
      </c>
      <c r="AK213" s="568">
        <f t="shared" si="223"/>
        <v>61.661000000000001</v>
      </c>
      <c r="AL213" s="569">
        <v>69.492999999999995</v>
      </c>
      <c r="AM213" s="569">
        <v>69.555999999999997</v>
      </c>
      <c r="AN213" s="1194">
        <v>55.118000000000002</v>
      </c>
      <c r="AO213" s="587">
        <v>15.188000000000001</v>
      </c>
      <c r="AP213" s="568">
        <f t="shared" si="224"/>
        <v>15.188000000000001</v>
      </c>
      <c r="AQ213" s="587">
        <v>28.4</v>
      </c>
      <c r="AR213" s="587">
        <v>38.058999999999997</v>
      </c>
      <c r="AS213" s="587">
        <v>118.664</v>
      </c>
      <c r="AT213" s="587">
        <v>83.950999999999993</v>
      </c>
      <c r="AU213" s="568">
        <f t="shared" si="225"/>
        <v>83.950999999999993</v>
      </c>
      <c r="AV213" s="571">
        <f>+AT213</f>
        <v>83.950999999999993</v>
      </c>
      <c r="AW213" s="571">
        <f>+AV213</f>
        <v>83.950999999999993</v>
      </c>
      <c r="AX213" s="571">
        <f>+AW213</f>
        <v>83.950999999999993</v>
      </c>
      <c r="AY213" s="571">
        <f>+AX213</f>
        <v>83.950999999999993</v>
      </c>
      <c r="AZ213" s="568">
        <f t="shared" si="226"/>
        <v>83.950999999999993</v>
      </c>
      <c r="BA213" s="571">
        <f>+AY213</f>
        <v>83.950999999999993</v>
      </c>
      <c r="BB213" s="571">
        <f>+BA213</f>
        <v>83.950999999999993</v>
      </c>
      <c r="BC213" s="571">
        <f>+BB213</f>
        <v>83.950999999999993</v>
      </c>
      <c r="BD213" s="571">
        <f>+BC213</f>
        <v>83.950999999999993</v>
      </c>
      <c r="BE213" s="568">
        <f t="shared" si="227"/>
        <v>83.950999999999993</v>
      </c>
      <c r="BF213" s="571">
        <f>+BD213</f>
        <v>83.950999999999993</v>
      </c>
      <c r="BG213" s="571">
        <f>+BF213</f>
        <v>83.950999999999993</v>
      </c>
      <c r="BH213" s="571">
        <f>+BG213</f>
        <v>83.950999999999993</v>
      </c>
      <c r="BI213" s="571">
        <f>+BH213</f>
        <v>83.950999999999993</v>
      </c>
      <c r="BJ213" s="568">
        <f t="shared" si="228"/>
        <v>83.950999999999993</v>
      </c>
      <c r="BK213" s="473"/>
      <c r="BL213" s="473"/>
      <c r="BM213" s="473"/>
      <c r="BN213" s="473"/>
      <c r="BO213" s="473"/>
      <c r="BP213" s="473"/>
      <c r="BQ213" s="125"/>
      <c r="BR213" s="511"/>
      <c r="BS213" s="108"/>
      <c r="BZ213" s="108"/>
      <c r="CA213" s="108"/>
      <c r="CB213" s="108"/>
    </row>
    <row r="214" spans="1:80" ht="13.5" customHeight="1">
      <c r="A214" s="108"/>
      <c r="B214" s="572" t="s">
        <v>218</v>
      </c>
      <c r="C214" s="573"/>
      <c r="D214" s="573"/>
      <c r="E214" s="573"/>
      <c r="F214" s="573"/>
      <c r="G214" s="561">
        <f>SUM(G208:G213)</f>
        <v>579.85200000000009</v>
      </c>
      <c r="H214" s="573"/>
      <c r="I214" s="573"/>
      <c r="J214" s="574"/>
      <c r="K214" s="573">
        <f t="shared" ref="K214:AZ214" si="229">SUM(K208:K213)</f>
        <v>630.94999999999993</v>
      </c>
      <c r="L214" s="561">
        <f t="shared" si="229"/>
        <v>630.94999999999993</v>
      </c>
      <c r="M214" s="573">
        <f t="shared" si="229"/>
        <v>595.29999999999995</v>
      </c>
      <c r="N214" s="573">
        <f t="shared" si="229"/>
        <v>627.69200000000001</v>
      </c>
      <c r="O214" s="573">
        <f t="shared" si="229"/>
        <v>715.27</v>
      </c>
      <c r="P214" s="573">
        <f t="shared" si="229"/>
        <v>819.99700000000007</v>
      </c>
      <c r="Q214" s="561">
        <f t="shared" si="229"/>
        <v>819.99700000000007</v>
      </c>
      <c r="R214" s="574">
        <f t="shared" si="229"/>
        <v>643.21199999999999</v>
      </c>
      <c r="S214" s="574">
        <f t="shared" si="229"/>
        <v>837.39399999999989</v>
      </c>
      <c r="T214" s="574">
        <f>SUM(T208:T213)</f>
        <v>892.42100000000016</v>
      </c>
      <c r="U214" s="574">
        <f t="shared" si="229"/>
        <v>921.077</v>
      </c>
      <c r="V214" s="561">
        <f t="shared" si="229"/>
        <v>921.077</v>
      </c>
      <c r="W214" s="574">
        <f t="shared" si="229"/>
        <v>707.41100000000006</v>
      </c>
      <c r="X214" s="575">
        <f t="shared" si="229"/>
        <v>1006.852</v>
      </c>
      <c r="Y214" s="575">
        <f t="shared" si="229"/>
        <v>1192.528</v>
      </c>
      <c r="Z214" s="574">
        <f t="shared" si="229"/>
        <v>807.91300000000001</v>
      </c>
      <c r="AA214" s="561">
        <f t="shared" si="229"/>
        <v>807.91300000000001</v>
      </c>
      <c r="AB214" s="575">
        <f t="shared" si="229"/>
        <v>1167.8520000000001</v>
      </c>
      <c r="AC214" s="574">
        <f t="shared" si="229"/>
        <v>1318.9739999999999</v>
      </c>
      <c r="AD214" s="574">
        <f t="shared" si="229"/>
        <v>1065.8399999999999</v>
      </c>
      <c r="AE214" s="574">
        <f t="shared" si="229"/>
        <v>1214.7359999999999</v>
      </c>
      <c r="AF214" s="561">
        <f t="shared" si="229"/>
        <v>1214.7359999999999</v>
      </c>
      <c r="AG214" s="574">
        <f t="shared" si="229"/>
        <v>1018.877</v>
      </c>
      <c r="AH214" s="574">
        <f t="shared" si="229"/>
        <v>1157.056</v>
      </c>
      <c r="AI214" s="574">
        <f t="shared" si="229"/>
        <v>1031.9620000000002</v>
      </c>
      <c r="AJ214" s="574">
        <f t="shared" si="229"/>
        <v>1117.499</v>
      </c>
      <c r="AK214" s="561">
        <f t="shared" si="229"/>
        <v>1117.499</v>
      </c>
      <c r="AL214" s="574">
        <f t="shared" si="229"/>
        <v>1038.7</v>
      </c>
      <c r="AM214" s="574">
        <f t="shared" si="229"/>
        <v>1163.1409999999998</v>
      </c>
      <c r="AN214" s="574">
        <f t="shared" si="229"/>
        <v>1184.6029999999998</v>
      </c>
      <c r="AO214" s="1205">
        <f t="shared" si="229"/>
        <v>1287.8580000000002</v>
      </c>
      <c r="AP214" s="561">
        <f t="shared" si="229"/>
        <v>1287.8580000000002</v>
      </c>
      <c r="AQ214" s="1205">
        <f t="shared" si="229"/>
        <v>1241.5120000000002</v>
      </c>
      <c r="AR214" s="1205">
        <f>SUM(AR208:AR213)</f>
        <v>1239.9829999999999</v>
      </c>
      <c r="AS214" s="1205">
        <f>SUM(AS208:AS213)</f>
        <v>1295.4460000000001</v>
      </c>
      <c r="AT214" s="1205">
        <f t="shared" si="229"/>
        <v>1372.6120000000001</v>
      </c>
      <c r="AU214" s="561">
        <f t="shared" si="229"/>
        <v>1372.6120000000001</v>
      </c>
      <c r="AV214" s="574">
        <f t="shared" si="229"/>
        <v>1489.9773456358414</v>
      </c>
      <c r="AW214" s="574">
        <f t="shared" si="229"/>
        <v>2001.1076690108466</v>
      </c>
      <c r="AX214" s="574">
        <f t="shared" si="229"/>
        <v>2205.0404295250551</v>
      </c>
      <c r="AY214" s="574">
        <f t="shared" si="229"/>
        <v>2566.8403693207233</v>
      </c>
      <c r="AZ214" s="561">
        <f t="shared" si="229"/>
        <v>2566.8403693207233</v>
      </c>
      <c r="BA214" s="574">
        <f t="shared" ref="BA214:BJ214" si="230">SUM(BA208:BA213)</f>
        <v>2764.5808513387778</v>
      </c>
      <c r="BB214" s="574">
        <f t="shared" si="230"/>
        <v>3099.144960930751</v>
      </c>
      <c r="BC214" s="574">
        <f t="shared" si="230"/>
        <v>3266.4176928761312</v>
      </c>
      <c r="BD214" s="574">
        <f t="shared" si="230"/>
        <v>3587.7407760027982</v>
      </c>
      <c r="BE214" s="561">
        <f t="shared" si="230"/>
        <v>3587.7407760027982</v>
      </c>
      <c r="BF214" s="574">
        <f t="shared" si="230"/>
        <v>3891.5286949235474</v>
      </c>
      <c r="BG214" s="574">
        <f t="shared" si="230"/>
        <v>4381.0157702617971</v>
      </c>
      <c r="BH214" s="574">
        <f t="shared" si="230"/>
        <v>4688.0760852779094</v>
      </c>
      <c r="BI214" s="574">
        <f t="shared" si="230"/>
        <v>5168.6806747742876</v>
      </c>
      <c r="BJ214" s="561">
        <f t="shared" si="230"/>
        <v>5168.6806747742876</v>
      </c>
      <c r="BK214" s="473"/>
      <c r="BL214" s="473"/>
      <c r="BM214" s="473"/>
      <c r="BN214" s="473"/>
      <c r="BO214" s="473"/>
      <c r="BP214" s="473"/>
      <c r="BQ214" s="125"/>
      <c r="BR214" s="511"/>
      <c r="BS214" s="108"/>
      <c r="BZ214" s="108"/>
      <c r="CA214" s="108"/>
      <c r="CB214" s="108"/>
    </row>
    <row r="215" spans="1:80" ht="13.5" customHeight="1">
      <c r="A215" s="108"/>
      <c r="B215" s="559" t="s">
        <v>219</v>
      </c>
      <c r="C215" s="560"/>
      <c r="D215" s="560"/>
      <c r="E215" s="560"/>
      <c r="F215" s="560"/>
      <c r="G215" s="561">
        <v>4.7140000000000004</v>
      </c>
      <c r="H215" s="560"/>
      <c r="I215" s="560"/>
      <c r="J215" s="562"/>
      <c r="K215" s="560">
        <v>9.6189999999999998</v>
      </c>
      <c r="L215" s="561">
        <f t="shared" ref="L215:L220" si="231">K215</f>
        <v>9.6189999999999998</v>
      </c>
      <c r="M215" s="560">
        <v>12</v>
      </c>
      <c r="N215" s="560">
        <v>15.22</v>
      </c>
      <c r="O215" s="560">
        <v>15.288</v>
      </c>
      <c r="P215" s="560">
        <v>17.492999999999999</v>
      </c>
      <c r="Q215" s="561">
        <f t="shared" ref="Q215:Q220" si="232">+P215</f>
        <v>17.492999999999999</v>
      </c>
      <c r="R215" s="562">
        <v>17.681000000000001</v>
      </c>
      <c r="S215" s="562">
        <v>18.684000000000001</v>
      </c>
      <c r="T215" s="562">
        <v>19.709</v>
      </c>
      <c r="U215" s="562">
        <v>28.927</v>
      </c>
      <c r="V215" s="561">
        <f t="shared" ref="V215:V220" si="233">+U215</f>
        <v>28.927</v>
      </c>
      <c r="W215" s="562">
        <v>29.207000000000001</v>
      </c>
      <c r="X215" s="563">
        <v>29.646999999999998</v>
      </c>
      <c r="Y215" s="563">
        <v>28.882999999999999</v>
      </c>
      <c r="Z215" s="562">
        <v>30.808</v>
      </c>
      <c r="AA215" s="561">
        <f t="shared" ref="AA215:AA220" si="234">+Z215</f>
        <v>30.808</v>
      </c>
      <c r="AB215" s="563">
        <v>36.607999999999997</v>
      </c>
      <c r="AC215" s="562">
        <v>36.363</v>
      </c>
      <c r="AD215" s="562">
        <v>37.924999999999997</v>
      </c>
      <c r="AE215" s="562">
        <v>39.21</v>
      </c>
      <c r="AF215" s="561">
        <f t="shared" ref="AF215:AF220" si="235">+AE215</f>
        <v>39.21</v>
      </c>
      <c r="AG215" s="562">
        <v>39.124000000000002</v>
      </c>
      <c r="AH215" s="562">
        <v>49.073999999999998</v>
      </c>
      <c r="AI215" s="562">
        <v>48.963000000000001</v>
      </c>
      <c r="AJ215" s="562">
        <v>57.984000000000002</v>
      </c>
      <c r="AK215" s="561">
        <f t="shared" ref="AK215:AK220" si="236">+AJ215</f>
        <v>57.984000000000002</v>
      </c>
      <c r="AL215" s="562">
        <v>61.762</v>
      </c>
      <c r="AM215" s="562">
        <v>64.043000000000006</v>
      </c>
      <c r="AN215" s="1193">
        <v>65.855000000000004</v>
      </c>
      <c r="AO215" s="585">
        <v>67.287999999999997</v>
      </c>
      <c r="AP215" s="561">
        <f t="shared" ref="AP215:AP220" si="237">+AO215</f>
        <v>67.287999999999997</v>
      </c>
      <c r="AQ215" s="585">
        <v>67.141999999999996</v>
      </c>
      <c r="AR215" s="585">
        <v>65.426000000000002</v>
      </c>
      <c r="AS215" s="585">
        <v>64.022999999999996</v>
      </c>
      <c r="AT215" s="585">
        <v>68.364999999999995</v>
      </c>
      <c r="AU215" s="561">
        <f t="shared" ref="AU215:AU220" si="238">+AT215</f>
        <v>68.364999999999995</v>
      </c>
      <c r="AV215" s="565">
        <f>AQ215/AQ15*AV15</f>
        <v>119.13969384861043</v>
      </c>
      <c r="AW215" s="565">
        <f>AR215/AR15*AW15</f>
        <v>120.2337046012215</v>
      </c>
      <c r="AX215" s="565">
        <f>AS215/AS15*AX15</f>
        <v>117.78936609034803</v>
      </c>
      <c r="AY215" s="565">
        <f>AT215/AT15*AY15</f>
        <v>126.28677485702299</v>
      </c>
      <c r="AZ215" s="561">
        <f t="shared" ref="AZ215:AZ220" si="239">+AY215</f>
        <v>126.28677485702299</v>
      </c>
      <c r="BA215" s="565">
        <f>AV215/AV15*BA15</f>
        <v>140.86257469942782</v>
      </c>
      <c r="BB215" s="565">
        <f>AW215/AW15*BB15</f>
        <v>131.16020864478568</v>
      </c>
      <c r="BC215" s="565">
        <f>AX215/AX15*BC15</f>
        <v>128.40767743345998</v>
      </c>
      <c r="BD215" s="565">
        <f>AY215/AY15*BD15</f>
        <v>137.77357748931166</v>
      </c>
      <c r="BE215" s="561">
        <f t="shared" ref="BE215:BE220" si="240">+BD215</f>
        <v>137.77357748931166</v>
      </c>
      <c r="BF215" s="565">
        <f>BA215/BA15*BF15</f>
        <v>154.00964072093038</v>
      </c>
      <c r="BG215" s="565">
        <f>BB215/BB15*BG15</f>
        <v>143.30037096182096</v>
      </c>
      <c r="BH215" s="565">
        <f>BC215/BC15*BH15</f>
        <v>140.14543647631743</v>
      </c>
      <c r="BI215" s="565">
        <f>BD215/BD15*BI15</f>
        <v>150.49127608674343</v>
      </c>
      <c r="BJ215" s="561">
        <f t="shared" ref="BJ215:BJ220" si="241">+BI215</f>
        <v>150.49127608674343</v>
      </c>
      <c r="BK215" s="473"/>
      <c r="BL215" s="473"/>
      <c r="BM215" s="473"/>
      <c r="BN215" s="473"/>
      <c r="BO215" s="473"/>
      <c r="BP215" s="473"/>
      <c r="BQ215" s="125"/>
      <c r="BR215" s="511"/>
      <c r="BS215" s="108"/>
      <c r="BZ215" s="108"/>
      <c r="CA215" s="108"/>
      <c r="CB215" s="108"/>
    </row>
    <row r="216" spans="1:80" ht="13.5" customHeight="1">
      <c r="A216" s="108"/>
      <c r="B216" s="559" t="s">
        <v>220</v>
      </c>
      <c r="C216" s="560"/>
      <c r="D216" s="560"/>
      <c r="E216" s="560"/>
      <c r="F216" s="560"/>
      <c r="G216" s="561">
        <v>51.853000000000002</v>
      </c>
      <c r="H216" s="560"/>
      <c r="I216" s="560"/>
      <c r="J216" s="562"/>
      <c r="K216" s="560">
        <v>81.055999999999997</v>
      </c>
      <c r="L216" s="561">
        <f t="shared" si="231"/>
        <v>81.055999999999997</v>
      </c>
      <c r="M216" s="560">
        <v>95.7</v>
      </c>
      <c r="N216" s="560">
        <v>108.45699999999999</v>
      </c>
      <c r="O216" s="560">
        <v>144.79300000000001</v>
      </c>
      <c r="P216" s="560">
        <v>152.31</v>
      </c>
      <c r="Q216" s="561">
        <f t="shared" si="232"/>
        <v>152.31</v>
      </c>
      <c r="R216" s="562">
        <v>160.27199999999999</v>
      </c>
      <c r="S216" s="562">
        <v>157.70400000000001</v>
      </c>
      <c r="T216" s="562">
        <v>161.21899999999999</v>
      </c>
      <c r="U216" s="562">
        <v>174.94</v>
      </c>
      <c r="V216" s="561">
        <f t="shared" si="233"/>
        <v>174.94</v>
      </c>
      <c r="W216" s="562">
        <v>176.62899999999999</v>
      </c>
      <c r="X216" s="563">
        <v>196.042</v>
      </c>
      <c r="Y216" s="563">
        <v>202.071</v>
      </c>
      <c r="Z216" s="562">
        <v>217.333</v>
      </c>
      <c r="AA216" s="561">
        <f t="shared" si="234"/>
        <v>217.333</v>
      </c>
      <c r="AB216" s="563">
        <v>216.91800000000001</v>
      </c>
      <c r="AC216" s="562">
        <v>273.76499999999999</v>
      </c>
      <c r="AD216" s="562">
        <v>279.024</v>
      </c>
      <c r="AE216" s="562">
        <v>281.71499999999997</v>
      </c>
      <c r="AF216" s="561">
        <f t="shared" si="235"/>
        <v>281.71499999999997</v>
      </c>
      <c r="AG216" s="562">
        <v>276.52100000000002</v>
      </c>
      <c r="AH216" s="562">
        <v>305.85300000000001</v>
      </c>
      <c r="AI216" s="562">
        <v>293.63</v>
      </c>
      <c r="AJ216" s="562">
        <v>308.00900000000001</v>
      </c>
      <c r="AK216" s="561">
        <f t="shared" si="236"/>
        <v>308.00900000000001</v>
      </c>
      <c r="AL216" s="562">
        <v>313.87400000000002</v>
      </c>
      <c r="AM216" s="562">
        <v>338.755</v>
      </c>
      <c r="AN216" s="1193">
        <v>344.42399999999998</v>
      </c>
      <c r="AO216" s="585">
        <v>348.553</v>
      </c>
      <c r="AP216" s="561">
        <f t="shared" si="237"/>
        <v>348.553</v>
      </c>
      <c r="AQ216" s="585">
        <v>369.036</v>
      </c>
      <c r="AR216" s="585">
        <v>465.846</v>
      </c>
      <c r="AS216" s="585">
        <v>470.30799999999999</v>
      </c>
      <c r="AT216" s="585">
        <v>473.72300000000001</v>
      </c>
      <c r="AU216" s="561">
        <f t="shared" si="238"/>
        <v>473.72300000000001</v>
      </c>
      <c r="AV216" s="562">
        <f>+AT216-AV168-(AV148*0.5)</f>
        <v>460.46848124035319</v>
      </c>
      <c r="AW216" s="562">
        <f>+AV216-AW168-(AW148*0.5)</f>
        <v>444.99174436880952</v>
      </c>
      <c r="AX216" s="562">
        <f t="shared" ref="AX216:AY216" si="242">+AW216-AX168-(AX148*0.5)</f>
        <v>428.789919630133</v>
      </c>
      <c r="AY216" s="562">
        <f t="shared" si="242"/>
        <v>412.09085952510247</v>
      </c>
      <c r="AZ216" s="561">
        <f t="shared" si="239"/>
        <v>412.09085952510247</v>
      </c>
      <c r="BA216" s="562">
        <f>+AY216-BA168-(BA148*0.5)</f>
        <v>396.41962873229733</v>
      </c>
      <c r="BB216" s="562">
        <f>+BA216-BB168-(BB148*0.5)</f>
        <v>379.53640913971486</v>
      </c>
      <c r="BC216" s="562">
        <f t="shared" ref="BC216:BD216" si="243">+BB216-BC168-(BC148*0.5)</f>
        <v>361.87404492186459</v>
      </c>
      <c r="BD216" s="562">
        <f t="shared" si="243"/>
        <v>343.65607036369056</v>
      </c>
      <c r="BE216" s="561">
        <f t="shared" si="240"/>
        <v>343.65607036369056</v>
      </c>
      <c r="BF216" s="562">
        <f>+BD216-BF168-(BF148*0.5)</f>
        <v>326.52220333616629</v>
      </c>
      <c r="BG216" s="562">
        <f>+BF216-BG168-(BG148*0.5)</f>
        <v>308.07627636147527</v>
      </c>
      <c r="BH216" s="562">
        <f t="shared" ref="BH216:BI216" si="244">+BG216-BH168-(BH148*0.5)</f>
        <v>288.79939360812898</v>
      </c>
      <c r="BI216" s="562">
        <f t="shared" si="244"/>
        <v>268.89974166515663</v>
      </c>
      <c r="BJ216" s="561">
        <f t="shared" si="241"/>
        <v>268.89974166515663</v>
      </c>
      <c r="BK216" s="473"/>
      <c r="BL216" s="473"/>
      <c r="BM216" s="473"/>
      <c r="BN216" s="473"/>
      <c r="BO216" s="473"/>
      <c r="BP216" s="473"/>
      <c r="BQ216" s="125"/>
      <c r="BR216" s="511"/>
      <c r="BS216" s="108"/>
      <c r="BZ216" s="108"/>
      <c r="CA216" s="108"/>
      <c r="CB216" s="108"/>
    </row>
    <row r="217" spans="1:80" ht="13.5" customHeight="1">
      <c r="A217" s="108"/>
      <c r="B217" s="576" t="s">
        <v>221</v>
      </c>
      <c r="C217" s="560"/>
      <c r="D217" s="560"/>
      <c r="E217" s="560"/>
      <c r="F217" s="560"/>
      <c r="G217" s="561">
        <v>952.28399999999999</v>
      </c>
      <c r="H217" s="560"/>
      <c r="I217" s="560"/>
      <c r="J217" s="562"/>
      <c r="K217" s="560">
        <v>1035.8910000000001</v>
      </c>
      <c r="L217" s="561">
        <f t="shared" si="231"/>
        <v>1035.8910000000001</v>
      </c>
      <c r="M217" s="560">
        <v>1005.2</v>
      </c>
      <c r="N217" s="560">
        <v>974.327</v>
      </c>
      <c r="O217" s="560">
        <v>943.62400000000002</v>
      </c>
      <c r="P217" s="560">
        <v>916.19799999999998</v>
      </c>
      <c r="Q217" s="561">
        <f t="shared" si="232"/>
        <v>916.19799999999998</v>
      </c>
      <c r="R217" s="562">
        <v>889.38900000000001</v>
      </c>
      <c r="S217" s="562">
        <v>862.23400000000004</v>
      </c>
      <c r="T217" s="562">
        <v>837.00099999999998</v>
      </c>
      <c r="U217" s="562">
        <v>884.53599999999994</v>
      </c>
      <c r="V217" s="561">
        <f t="shared" si="233"/>
        <v>884.53599999999994</v>
      </c>
      <c r="W217" s="562">
        <v>853.18700000000001</v>
      </c>
      <c r="X217" s="563">
        <v>827.75800000000004</v>
      </c>
      <c r="Y217" s="563">
        <v>825.28399999999999</v>
      </c>
      <c r="Z217" s="562">
        <v>795.33199999999999</v>
      </c>
      <c r="AA217" s="561">
        <f t="shared" si="234"/>
        <v>795.33199999999999</v>
      </c>
      <c r="AB217" s="563">
        <v>780.73500000000001</v>
      </c>
      <c r="AC217" s="562">
        <v>1161.6420000000001</v>
      </c>
      <c r="AD217" s="562">
        <v>1114.8430000000001</v>
      </c>
      <c r="AE217" s="562">
        <v>1034.692</v>
      </c>
      <c r="AF217" s="561">
        <f t="shared" si="235"/>
        <v>1034.692</v>
      </c>
      <c r="AG217" s="562">
        <v>987.58500000000004</v>
      </c>
      <c r="AH217" s="562">
        <v>959.93700000000001</v>
      </c>
      <c r="AI217" s="562">
        <v>910.84</v>
      </c>
      <c r="AJ217" s="562">
        <v>863.06600000000003</v>
      </c>
      <c r="AK217" s="561">
        <f t="shared" si="236"/>
        <v>863.06600000000003</v>
      </c>
      <c r="AL217" s="562">
        <v>813.22199999999998</v>
      </c>
      <c r="AM217" s="562">
        <v>764.18100000000004</v>
      </c>
      <c r="AN217" s="1193">
        <v>734.25</v>
      </c>
      <c r="AO217" s="585">
        <v>787.82</v>
      </c>
      <c r="AP217" s="561">
        <f t="shared" si="237"/>
        <v>787.82</v>
      </c>
      <c r="AQ217" s="585">
        <v>750.30399999999997</v>
      </c>
      <c r="AR217" s="585">
        <v>762.52</v>
      </c>
      <c r="AS217" s="585">
        <v>732.43100000000004</v>
      </c>
      <c r="AT217" s="585">
        <v>678.53200000000004</v>
      </c>
      <c r="AU217" s="561">
        <f t="shared" si="238"/>
        <v>678.53200000000004</v>
      </c>
      <c r="AV217" s="562">
        <f>+AT217-AV169-(0.5*AV148)-0.5*AV172</f>
        <v>2299.8973781583127</v>
      </c>
      <c r="AW217" s="562">
        <f>+AV217-AW169-(0.5*AW148)</f>
        <v>2230.8483995542474</v>
      </c>
      <c r="AX217" s="562">
        <f>+AW217-AX169-(0.5*AX148)</f>
        <v>2158.5644640571836</v>
      </c>
      <c r="AY217" s="562">
        <f t="shared" ref="AY217" si="245">+AX217-AY169-(0.5*AY148)</f>
        <v>2084.0621284892568</v>
      </c>
      <c r="AZ217" s="561">
        <f t="shared" si="239"/>
        <v>2084.0621284892568</v>
      </c>
      <c r="BA217" s="562">
        <f>+AY217-BA169-(0.5*BA148)</f>
        <v>2014.1454213246257</v>
      </c>
      <c r="BB217" s="562">
        <f>+BA217-BB169-(0.5*BB148)</f>
        <v>1938.8214639496441</v>
      </c>
      <c r="BC217" s="562">
        <f>+BB217-BC169-(0.5*BC148)</f>
        <v>1860.0213771420749</v>
      </c>
      <c r="BD217" s="562">
        <f t="shared" ref="BD217" si="246">+BC217-BD169-(0.5*BD148)</f>
        <v>1778.7424521388555</v>
      </c>
      <c r="BE217" s="561">
        <f t="shared" si="240"/>
        <v>1778.7424521388555</v>
      </c>
      <c r="BF217" s="562">
        <f>+BD217-BF169-(0.5*BF148)</f>
        <v>1702.3002390542817</v>
      </c>
      <c r="BG217" s="562">
        <f>+BF217-BG169-(0.5*BG148)</f>
        <v>1620.0043114579789</v>
      </c>
      <c r="BH217" s="562">
        <f>+BG217-BH169-(0.5*BH148)</f>
        <v>1534.0011005850065</v>
      </c>
      <c r="BI217" s="562">
        <f t="shared" ref="BI217" si="247">+BH217-BI169-(0.5*BI148)</f>
        <v>1445.2194244058992</v>
      </c>
      <c r="BJ217" s="561">
        <f t="shared" si="241"/>
        <v>1445.2194244058992</v>
      </c>
      <c r="BK217" s="473"/>
      <c r="BL217" s="473"/>
      <c r="BM217" s="473"/>
      <c r="BN217" s="473"/>
      <c r="BO217" s="473"/>
      <c r="BP217" s="473"/>
      <c r="BQ217" s="125"/>
      <c r="BR217" s="511"/>
      <c r="BS217" s="108"/>
      <c r="BZ217" s="108"/>
      <c r="CA217" s="108"/>
      <c r="CB217" s="108"/>
    </row>
    <row r="218" spans="1:80" ht="13.5" customHeight="1">
      <c r="A218" s="108"/>
      <c r="B218" s="576" t="s">
        <v>222</v>
      </c>
      <c r="C218" s="560"/>
      <c r="D218" s="560"/>
      <c r="E218" s="560"/>
      <c r="F218" s="560"/>
      <c r="G218" s="561">
        <v>1049.1500000000001</v>
      </c>
      <c r="H218" s="560"/>
      <c r="I218" s="560"/>
      <c r="J218" s="562"/>
      <c r="K218" s="560">
        <v>1532.374</v>
      </c>
      <c r="L218" s="561">
        <f t="shared" si="231"/>
        <v>1532.374</v>
      </c>
      <c r="M218" s="560">
        <v>1532.4</v>
      </c>
      <c r="N218" s="560">
        <v>1532.374</v>
      </c>
      <c r="O218" s="560">
        <v>1532.374</v>
      </c>
      <c r="P218" s="560">
        <v>1532.374</v>
      </c>
      <c r="Q218" s="561">
        <f t="shared" si="232"/>
        <v>1532.374</v>
      </c>
      <c r="R218" s="562">
        <v>1532.374</v>
      </c>
      <c r="S218" s="562">
        <v>1532.374</v>
      </c>
      <c r="T218" s="562">
        <v>1532.374</v>
      </c>
      <c r="U218" s="562">
        <v>1804.5920000000001</v>
      </c>
      <c r="V218" s="561">
        <f t="shared" si="233"/>
        <v>1804.5920000000001</v>
      </c>
      <c r="W218" s="562">
        <v>1807.7750000000001</v>
      </c>
      <c r="X218" s="563">
        <v>1808.4760000000001</v>
      </c>
      <c r="Y218" s="563">
        <v>1943.6690000000001</v>
      </c>
      <c r="Z218" s="562">
        <v>1943.6130000000001</v>
      </c>
      <c r="AA218" s="561">
        <f t="shared" si="234"/>
        <v>1943.6130000000001</v>
      </c>
      <c r="AB218" s="563">
        <v>1943.6130000000001</v>
      </c>
      <c r="AC218" s="562">
        <v>3259.7849999999999</v>
      </c>
      <c r="AD218" s="562">
        <v>3272.9070000000002</v>
      </c>
      <c r="AE218" s="562">
        <v>3291.366</v>
      </c>
      <c r="AF218" s="561">
        <f t="shared" si="235"/>
        <v>3291.366</v>
      </c>
      <c r="AG218" s="562">
        <v>3293.6869999999999</v>
      </c>
      <c r="AH218" s="562">
        <v>3366.5279999999998</v>
      </c>
      <c r="AI218" s="562">
        <v>3366.5279999999998</v>
      </c>
      <c r="AJ218" s="562">
        <v>3366.5279999999998</v>
      </c>
      <c r="AK218" s="561">
        <f t="shared" si="236"/>
        <v>3366.5279999999998</v>
      </c>
      <c r="AL218" s="562">
        <v>3366.5279999999998</v>
      </c>
      <c r="AM218" s="562">
        <v>3366.5279999999998</v>
      </c>
      <c r="AN218" s="1193">
        <v>3366.5279999999998</v>
      </c>
      <c r="AO218" s="585">
        <v>3738.5889999999999</v>
      </c>
      <c r="AP218" s="561">
        <f t="shared" si="237"/>
        <v>3738.5889999999999</v>
      </c>
      <c r="AQ218" s="585">
        <v>3739.8249999999998</v>
      </c>
      <c r="AR218" s="585">
        <v>4163.7979999999998</v>
      </c>
      <c r="AS218" s="585">
        <v>4180.3069999999998</v>
      </c>
      <c r="AT218" s="585">
        <v>4172.9639999999999</v>
      </c>
      <c r="AU218" s="561">
        <f t="shared" si="238"/>
        <v>4172.9639999999999</v>
      </c>
      <c r="AV218" s="562">
        <f>+AT218-0.5*AV172</f>
        <v>5853.4639999999999</v>
      </c>
      <c r="AW218" s="562">
        <f>+AV218-AW172</f>
        <v>5853.4639999999999</v>
      </c>
      <c r="AX218" s="562">
        <f>+AW218-AX172</f>
        <v>5853.4639999999999</v>
      </c>
      <c r="AY218" s="562">
        <f>+AX218-AY172</f>
        <v>5853.4639999999999</v>
      </c>
      <c r="AZ218" s="561">
        <f t="shared" si="239"/>
        <v>5853.4639999999999</v>
      </c>
      <c r="BA218" s="562">
        <f>+AY218-BA172</f>
        <v>5853.4639999999999</v>
      </c>
      <c r="BB218" s="562">
        <f>+BA218-BB172</f>
        <v>5853.4639999999999</v>
      </c>
      <c r="BC218" s="562">
        <f>+BB218-BC172</f>
        <v>5853.4639999999999</v>
      </c>
      <c r="BD218" s="562">
        <f>+BC218-BD172</f>
        <v>5853.4639999999999</v>
      </c>
      <c r="BE218" s="561">
        <f t="shared" si="240"/>
        <v>5853.4639999999999</v>
      </c>
      <c r="BF218" s="562">
        <f>+BD218-BF172</f>
        <v>5853.4639999999999</v>
      </c>
      <c r="BG218" s="562">
        <f>+BF218-BG172</f>
        <v>5853.4639999999999</v>
      </c>
      <c r="BH218" s="562">
        <f>+BG218-BH172</f>
        <v>5853.4639999999999</v>
      </c>
      <c r="BI218" s="562">
        <f>+BH218-BI172</f>
        <v>5853.4639999999999</v>
      </c>
      <c r="BJ218" s="561">
        <f t="shared" si="241"/>
        <v>5853.4639999999999</v>
      </c>
      <c r="BK218" s="473"/>
      <c r="BL218" s="473"/>
      <c r="BM218" s="473"/>
      <c r="BN218" s="473"/>
      <c r="BO218" s="473"/>
      <c r="BP218" s="473"/>
      <c r="BQ218" s="125"/>
      <c r="BR218" s="511"/>
      <c r="BS218" s="108"/>
      <c r="BZ218" s="108"/>
      <c r="CA218" s="108"/>
      <c r="CB218" s="108"/>
    </row>
    <row r="219" spans="1:80" ht="13.5" customHeight="1">
      <c r="A219" s="108"/>
      <c r="B219" s="576" t="s">
        <v>174</v>
      </c>
      <c r="C219" s="560"/>
      <c r="D219" s="560"/>
      <c r="E219" s="560"/>
      <c r="F219" s="560"/>
      <c r="G219" s="561">
        <v>9.5109999999999992</v>
      </c>
      <c r="H219" s="560"/>
      <c r="I219" s="560"/>
      <c r="J219" s="562"/>
      <c r="K219" s="560">
        <v>28.167999999999999</v>
      </c>
      <c r="L219" s="561">
        <f t="shared" si="231"/>
        <v>28.167999999999999</v>
      </c>
      <c r="M219" s="560">
        <v>28.2</v>
      </c>
      <c r="N219" s="560">
        <v>31.303000000000001</v>
      </c>
      <c r="O219" s="560">
        <v>36.542999999999999</v>
      </c>
      <c r="P219" s="560">
        <v>4.2919999999999998</v>
      </c>
      <c r="Q219" s="561">
        <f t="shared" si="232"/>
        <v>4.2919999999999998</v>
      </c>
      <c r="R219" s="562">
        <v>12.292</v>
      </c>
      <c r="S219" s="562">
        <v>12.292</v>
      </c>
      <c r="T219" s="562">
        <v>12.292</v>
      </c>
      <c r="U219" s="562">
        <v>141.36099999999999</v>
      </c>
      <c r="V219" s="561">
        <f t="shared" si="233"/>
        <v>141.36099999999999</v>
      </c>
      <c r="W219" s="562">
        <v>141.36099999999999</v>
      </c>
      <c r="X219" s="563">
        <v>306.661</v>
      </c>
      <c r="Y219" s="563">
        <v>377.26100000000002</v>
      </c>
      <c r="Z219" s="562">
        <v>362.78500000000003</v>
      </c>
      <c r="AA219" s="561">
        <f t="shared" si="234"/>
        <v>362.78500000000003</v>
      </c>
      <c r="AB219" s="563">
        <v>359.096</v>
      </c>
      <c r="AC219" s="562">
        <v>459.86399999999998</v>
      </c>
      <c r="AD219" s="562">
        <v>454.81099999999998</v>
      </c>
      <c r="AE219" s="562">
        <v>429.62299999999999</v>
      </c>
      <c r="AF219" s="561">
        <f t="shared" si="235"/>
        <v>429.62299999999999</v>
      </c>
      <c r="AG219" s="562">
        <v>426.84699999999998</v>
      </c>
      <c r="AH219" s="562">
        <v>422.09399999999999</v>
      </c>
      <c r="AI219" s="562">
        <v>419.08199999999999</v>
      </c>
      <c r="AJ219" s="562">
        <v>731.62199999999996</v>
      </c>
      <c r="AK219" s="561">
        <f t="shared" si="236"/>
        <v>731.62199999999996</v>
      </c>
      <c r="AL219" s="562">
        <v>723.78700000000003</v>
      </c>
      <c r="AM219" s="562">
        <v>715.07799999999997</v>
      </c>
      <c r="AN219" s="1193">
        <v>622.17499999999995</v>
      </c>
      <c r="AO219" s="585">
        <v>771.13900000000001</v>
      </c>
      <c r="AP219" s="561">
        <f t="shared" si="237"/>
        <v>771.13900000000001</v>
      </c>
      <c r="AQ219" s="585">
        <v>745.221</v>
      </c>
      <c r="AR219" s="585">
        <v>721.18700000000001</v>
      </c>
      <c r="AS219" s="585">
        <v>1322.6790000000001</v>
      </c>
      <c r="AT219" s="585">
        <v>739.524</v>
      </c>
      <c r="AU219" s="561">
        <f t="shared" si="238"/>
        <v>739.524</v>
      </c>
      <c r="AV219" s="565">
        <f>+AT219</f>
        <v>739.524</v>
      </c>
      <c r="AW219" s="565">
        <f>+AU219</f>
        <v>739.524</v>
      </c>
      <c r="AX219" s="565">
        <f>+AV219</f>
        <v>739.524</v>
      </c>
      <c r="AY219" s="565">
        <f>+AW219</f>
        <v>739.524</v>
      </c>
      <c r="AZ219" s="561">
        <f t="shared" si="239"/>
        <v>739.524</v>
      </c>
      <c r="BA219" s="565">
        <f>+AY219</f>
        <v>739.524</v>
      </c>
      <c r="BB219" s="565">
        <f>+AZ219</f>
        <v>739.524</v>
      </c>
      <c r="BC219" s="565">
        <f>+BA219</f>
        <v>739.524</v>
      </c>
      <c r="BD219" s="565">
        <f>+BB219</f>
        <v>739.524</v>
      </c>
      <c r="BE219" s="561">
        <f t="shared" si="240"/>
        <v>739.524</v>
      </c>
      <c r="BF219" s="565">
        <f>+BD219</f>
        <v>739.524</v>
      </c>
      <c r="BG219" s="565">
        <f>+BE219</f>
        <v>739.524</v>
      </c>
      <c r="BH219" s="565">
        <f>+BF219</f>
        <v>739.524</v>
      </c>
      <c r="BI219" s="565">
        <f>+BG219</f>
        <v>739.524</v>
      </c>
      <c r="BJ219" s="561">
        <f t="shared" si="241"/>
        <v>739.524</v>
      </c>
      <c r="BK219" s="473"/>
      <c r="BL219" s="473"/>
      <c r="BM219" s="473"/>
      <c r="BN219" s="473"/>
      <c r="BO219" s="473"/>
      <c r="BP219" s="473"/>
      <c r="BQ219" s="125"/>
      <c r="BR219" s="511"/>
      <c r="BS219" s="108"/>
      <c r="BZ219" s="108"/>
      <c r="CA219" s="108"/>
      <c r="CB219" s="108"/>
    </row>
    <row r="220" spans="1:80" ht="13.5" customHeight="1" thickBot="1">
      <c r="A220" s="108"/>
      <c r="B220" s="559" t="s">
        <v>223</v>
      </c>
      <c r="C220" s="560"/>
      <c r="D220" s="560"/>
      <c r="E220" s="560"/>
      <c r="F220" s="560"/>
      <c r="G220" s="561">
        <v>14.632999999999999</v>
      </c>
      <c r="H220" s="560"/>
      <c r="I220" s="560"/>
      <c r="J220" s="562"/>
      <c r="K220" s="560">
        <v>52.459000000000003</v>
      </c>
      <c r="L220" s="561">
        <f t="shared" si="231"/>
        <v>52.459000000000003</v>
      </c>
      <c r="M220" s="560">
        <v>56.2</v>
      </c>
      <c r="N220" s="560">
        <v>46.509</v>
      </c>
      <c r="O220" s="560">
        <v>40.557000000000002</v>
      </c>
      <c r="P220" s="560">
        <v>47.045999999999999</v>
      </c>
      <c r="Q220" s="561">
        <f t="shared" si="232"/>
        <v>47.045999999999999</v>
      </c>
      <c r="R220" s="562">
        <v>28.54</v>
      </c>
      <c r="S220" s="562">
        <v>24.95</v>
      </c>
      <c r="T220" s="562">
        <v>24.280999999999999</v>
      </c>
      <c r="U220" s="562">
        <v>24.096</v>
      </c>
      <c r="V220" s="561">
        <f t="shared" si="233"/>
        <v>24.096</v>
      </c>
      <c r="W220" s="562">
        <v>23.126000000000001</v>
      </c>
      <c r="X220" s="563">
        <v>36.029000000000003</v>
      </c>
      <c r="Y220" s="563">
        <v>31.111999999999998</v>
      </c>
      <c r="Z220" s="562">
        <v>31.768999999999998</v>
      </c>
      <c r="AA220" s="561">
        <f t="shared" si="234"/>
        <v>31.768999999999998</v>
      </c>
      <c r="AB220" s="563">
        <v>30.102</v>
      </c>
      <c r="AC220" s="562">
        <v>44.374000000000002</v>
      </c>
      <c r="AD220" s="562">
        <v>47.978000000000002</v>
      </c>
      <c r="AE220" s="562">
        <v>44.741</v>
      </c>
      <c r="AF220" s="561">
        <f t="shared" si="235"/>
        <v>44.741</v>
      </c>
      <c r="AG220" s="562">
        <v>41.781999999999996</v>
      </c>
      <c r="AH220" s="562">
        <v>39.588000000000001</v>
      </c>
      <c r="AI220" s="562">
        <v>39.155000000000001</v>
      </c>
      <c r="AJ220" s="562">
        <v>20.718</v>
      </c>
      <c r="AK220" s="561">
        <f t="shared" si="236"/>
        <v>20.718</v>
      </c>
      <c r="AL220" s="562">
        <v>37.866</v>
      </c>
      <c r="AM220" s="562">
        <v>31.602</v>
      </c>
      <c r="AN220" s="1193">
        <v>31.35</v>
      </c>
      <c r="AO220" s="585">
        <v>42.76</v>
      </c>
      <c r="AP220" s="561">
        <f t="shared" si="237"/>
        <v>42.76</v>
      </c>
      <c r="AQ220" s="585">
        <v>31.042000000000002</v>
      </c>
      <c r="AR220" s="585">
        <v>26.099</v>
      </c>
      <c r="AS220" s="585">
        <v>24.74</v>
      </c>
      <c r="AT220" s="585">
        <f>26.048+1135.205</f>
        <v>1161.2529999999999</v>
      </c>
      <c r="AU220" s="561">
        <f t="shared" si="238"/>
        <v>1161.2529999999999</v>
      </c>
      <c r="AV220" s="565">
        <f>+AT220</f>
        <v>1161.2529999999999</v>
      </c>
      <c r="AW220" s="565">
        <f>+AV220</f>
        <v>1161.2529999999999</v>
      </c>
      <c r="AX220" s="565">
        <f>+AW220</f>
        <v>1161.2529999999999</v>
      </c>
      <c r="AY220" s="565">
        <f>+AX220</f>
        <v>1161.2529999999999</v>
      </c>
      <c r="AZ220" s="561">
        <f t="shared" si="239"/>
        <v>1161.2529999999999</v>
      </c>
      <c r="BA220" s="565">
        <f>+AY220</f>
        <v>1161.2529999999999</v>
      </c>
      <c r="BB220" s="565">
        <f>+BA220</f>
        <v>1161.2529999999999</v>
      </c>
      <c r="BC220" s="565">
        <f>+BB220</f>
        <v>1161.2529999999999</v>
      </c>
      <c r="BD220" s="565">
        <f>+BC220</f>
        <v>1161.2529999999999</v>
      </c>
      <c r="BE220" s="561">
        <f t="shared" si="240"/>
        <v>1161.2529999999999</v>
      </c>
      <c r="BF220" s="565">
        <f>+BD220</f>
        <v>1161.2529999999999</v>
      </c>
      <c r="BG220" s="565">
        <f>+BF220</f>
        <v>1161.2529999999999</v>
      </c>
      <c r="BH220" s="565">
        <f>+BG220</f>
        <v>1161.2529999999999</v>
      </c>
      <c r="BI220" s="565">
        <f>+BH220</f>
        <v>1161.2529999999999</v>
      </c>
      <c r="BJ220" s="561">
        <f t="shared" si="241"/>
        <v>1161.2529999999999</v>
      </c>
      <c r="BK220" s="473"/>
      <c r="BL220" s="473"/>
      <c r="BM220" s="473"/>
      <c r="BN220" s="473"/>
      <c r="BO220" s="473"/>
      <c r="BP220" s="473"/>
      <c r="BQ220" s="125"/>
      <c r="BR220" s="511"/>
      <c r="BS220" s="108"/>
      <c r="BZ220" s="108"/>
      <c r="CA220" s="108"/>
      <c r="CB220" s="108"/>
    </row>
    <row r="221" spans="1:80" ht="13.5" customHeight="1" thickTop="1" thickBot="1">
      <c r="A221" s="108"/>
      <c r="B221" s="577" t="s">
        <v>224</v>
      </c>
      <c r="C221" s="578"/>
      <c r="D221" s="578"/>
      <c r="E221" s="578"/>
      <c r="F221" s="578"/>
      <c r="G221" s="579">
        <f>SUM(G214:G220)</f>
        <v>2661.9969999999998</v>
      </c>
      <c r="H221" s="578"/>
      <c r="I221" s="578"/>
      <c r="J221" s="578"/>
      <c r="K221" s="578">
        <f t="shared" ref="K221:V221" si="248">SUM(K214:K220)</f>
        <v>3370.5170000000003</v>
      </c>
      <c r="L221" s="579">
        <f t="shared" si="248"/>
        <v>3370.5170000000003</v>
      </c>
      <c r="M221" s="578">
        <f t="shared" si="248"/>
        <v>3325</v>
      </c>
      <c r="N221" s="578">
        <f t="shared" si="248"/>
        <v>3335.8819999999996</v>
      </c>
      <c r="O221" s="580">
        <f t="shared" si="248"/>
        <v>3428.4490000000001</v>
      </c>
      <c r="P221" s="580">
        <f t="shared" si="248"/>
        <v>3489.71</v>
      </c>
      <c r="Q221" s="579">
        <f t="shared" si="248"/>
        <v>3489.71</v>
      </c>
      <c r="R221" s="580">
        <f t="shared" si="248"/>
        <v>3283.7599999999998</v>
      </c>
      <c r="S221" s="580">
        <f t="shared" si="248"/>
        <v>3445.6320000000001</v>
      </c>
      <c r="T221" s="580">
        <f>SUM(T214:T220)</f>
        <v>3479.297</v>
      </c>
      <c r="U221" s="580">
        <f t="shared" si="248"/>
        <v>3979.529</v>
      </c>
      <c r="V221" s="579">
        <f t="shared" si="248"/>
        <v>3979.529</v>
      </c>
      <c r="W221" s="580">
        <f t="shared" ref="W221:AZ221" si="249">SUM(W214:W220)</f>
        <v>3738.6960000000004</v>
      </c>
      <c r="X221" s="581">
        <f t="shared" si="249"/>
        <v>4211.4650000000001</v>
      </c>
      <c r="Y221" s="580">
        <f t="shared" si="249"/>
        <v>4600.8080000000009</v>
      </c>
      <c r="Z221" s="580">
        <f t="shared" si="249"/>
        <v>4189.5529999999999</v>
      </c>
      <c r="AA221" s="579">
        <f t="shared" si="249"/>
        <v>4189.5529999999999</v>
      </c>
      <c r="AB221" s="580">
        <f t="shared" si="249"/>
        <v>4534.924</v>
      </c>
      <c r="AC221" s="580">
        <f t="shared" si="249"/>
        <v>6554.7669999999989</v>
      </c>
      <c r="AD221" s="580">
        <f t="shared" si="249"/>
        <v>6273.3279999999995</v>
      </c>
      <c r="AE221" s="580">
        <f t="shared" si="249"/>
        <v>6336.0829999999996</v>
      </c>
      <c r="AF221" s="579">
        <f t="shared" si="249"/>
        <v>6336.0829999999996</v>
      </c>
      <c r="AG221" s="580">
        <f t="shared" si="249"/>
        <v>6084.4229999999998</v>
      </c>
      <c r="AH221" s="580">
        <f t="shared" si="249"/>
        <v>6300.13</v>
      </c>
      <c r="AI221" s="580">
        <f t="shared" si="249"/>
        <v>6110.1600000000008</v>
      </c>
      <c r="AJ221" s="580">
        <f t="shared" si="249"/>
        <v>6465.4259999999995</v>
      </c>
      <c r="AK221" s="579">
        <f t="shared" si="249"/>
        <v>6465.4259999999995</v>
      </c>
      <c r="AL221" s="580">
        <f t="shared" si="249"/>
        <v>6355.7389999999996</v>
      </c>
      <c r="AM221" s="580">
        <f t="shared" si="249"/>
        <v>6443.3279999999986</v>
      </c>
      <c r="AN221" s="580">
        <f t="shared" si="249"/>
        <v>6349.1850000000004</v>
      </c>
      <c r="AO221" s="580">
        <f t="shared" si="249"/>
        <v>7044.0070000000005</v>
      </c>
      <c r="AP221" s="579">
        <f t="shared" si="249"/>
        <v>7044.0070000000005</v>
      </c>
      <c r="AQ221" s="1220">
        <f t="shared" si="249"/>
        <v>6944.0819999999994</v>
      </c>
      <c r="AR221" s="580">
        <f>SUM(AR214:AR220)</f>
        <v>7444.8589999999995</v>
      </c>
      <c r="AS221" s="580">
        <f>SUM(AS214:AS220)</f>
        <v>8089.9339999999993</v>
      </c>
      <c r="AT221" s="580">
        <f>SUM(AT214:AT220)</f>
        <v>8666.973</v>
      </c>
      <c r="AU221" s="579">
        <f t="shared" si="249"/>
        <v>8666.973</v>
      </c>
      <c r="AV221" s="580">
        <f t="shared" si="249"/>
        <v>12123.723898883118</v>
      </c>
      <c r="AW221" s="580">
        <f t="shared" si="249"/>
        <v>12551.422517535126</v>
      </c>
      <c r="AX221" s="580">
        <f t="shared" si="249"/>
        <v>12664.42517930272</v>
      </c>
      <c r="AY221" s="580">
        <f t="shared" si="249"/>
        <v>12943.521132192105</v>
      </c>
      <c r="AZ221" s="579">
        <f t="shared" si="249"/>
        <v>12943.521132192105</v>
      </c>
      <c r="BA221" s="580">
        <f t="shared" ref="BA221:BJ221" si="250">SUM(BA214:BA220)</f>
        <v>13070.249476095129</v>
      </c>
      <c r="BB221" s="580">
        <f t="shared" si="250"/>
        <v>13302.904042664895</v>
      </c>
      <c r="BC221" s="580">
        <f t="shared" si="250"/>
        <v>13370.96179237353</v>
      </c>
      <c r="BD221" s="580">
        <f t="shared" si="250"/>
        <v>13602.153875994656</v>
      </c>
      <c r="BE221" s="579">
        <f t="shared" si="250"/>
        <v>13602.153875994656</v>
      </c>
      <c r="BF221" s="580">
        <f t="shared" si="250"/>
        <v>13828.601778034927</v>
      </c>
      <c r="BG221" s="580">
        <f t="shared" si="250"/>
        <v>14206.637729043072</v>
      </c>
      <c r="BH221" s="580">
        <f t="shared" si="250"/>
        <v>14405.263015947363</v>
      </c>
      <c r="BI221" s="580">
        <f t="shared" si="250"/>
        <v>14787.532116932087</v>
      </c>
      <c r="BJ221" s="579">
        <f t="shared" si="250"/>
        <v>14787.532116932087</v>
      </c>
      <c r="BK221" s="473"/>
      <c r="BL221" s="473"/>
      <c r="BM221" s="473"/>
      <c r="BN221" s="473"/>
      <c r="BO221" s="473"/>
      <c r="BP221" s="473"/>
      <c r="BQ221" s="125"/>
      <c r="BR221" s="511"/>
      <c r="BS221" s="108"/>
      <c r="BZ221" s="108"/>
      <c r="CA221" s="108"/>
      <c r="CB221" s="108"/>
    </row>
    <row r="222" spans="1:80" ht="13.5" customHeight="1" thickTop="1">
      <c r="A222" s="108"/>
      <c r="B222" s="582"/>
      <c r="C222" s="108"/>
      <c r="D222" s="108"/>
      <c r="E222" s="108"/>
      <c r="F222" s="108"/>
      <c r="G222" s="583"/>
      <c r="H222" s="108"/>
      <c r="I222" s="108"/>
      <c r="J222" s="108"/>
      <c r="K222" s="108"/>
      <c r="L222" s="583"/>
      <c r="M222" s="108"/>
      <c r="N222" s="108"/>
      <c r="O222" s="108"/>
      <c r="P222" s="108"/>
      <c r="Q222" s="583"/>
      <c r="R222" s="108"/>
      <c r="S222" s="108"/>
      <c r="T222" s="108"/>
      <c r="U222" s="108"/>
      <c r="V222" s="583"/>
      <c r="W222" s="108"/>
      <c r="X222" s="102"/>
      <c r="Y222" s="102"/>
      <c r="Z222" s="108"/>
      <c r="AA222" s="583"/>
      <c r="AB222" s="102"/>
      <c r="AC222" s="108"/>
      <c r="AD222" s="108"/>
      <c r="AE222" s="102"/>
      <c r="AF222" s="584"/>
      <c r="AG222" s="108"/>
      <c r="AH222" s="102"/>
      <c r="AI222" s="102"/>
      <c r="AJ222" s="102"/>
      <c r="AK222" s="584"/>
      <c r="AL222" s="102"/>
      <c r="AM222" s="102"/>
      <c r="AN222" s="102"/>
      <c r="AO222" s="102"/>
      <c r="AP222" s="584"/>
      <c r="AQ222" s="511"/>
      <c r="AR222" s="102"/>
      <c r="AS222" s="102"/>
      <c r="AT222" s="102"/>
      <c r="AU222" s="584"/>
      <c r="AV222" s="102"/>
      <c r="AW222" s="102"/>
      <c r="AX222" s="102"/>
      <c r="AY222" s="102"/>
      <c r="AZ222" s="584"/>
      <c r="BA222" s="102"/>
      <c r="BB222" s="102"/>
      <c r="BC222" s="102"/>
      <c r="BD222" s="102"/>
      <c r="BE222" s="584"/>
      <c r="BF222" s="102"/>
      <c r="BG222" s="102"/>
      <c r="BH222" s="102"/>
      <c r="BI222" s="102"/>
      <c r="BJ222" s="584"/>
      <c r="BK222" s="473"/>
      <c r="BL222" s="473"/>
      <c r="BM222" s="473"/>
      <c r="BN222" s="473"/>
      <c r="BO222" s="473"/>
      <c r="BP222" s="473"/>
      <c r="BQ222" s="125"/>
      <c r="BR222" s="511"/>
      <c r="BS222" s="108"/>
      <c r="BZ222" s="108"/>
      <c r="CA222" s="108"/>
      <c r="CB222" s="108"/>
    </row>
    <row r="223" spans="1:80" ht="13.5" customHeight="1">
      <c r="A223" s="108"/>
      <c r="B223" s="425" t="s">
        <v>225</v>
      </c>
      <c r="C223" s="108"/>
      <c r="D223" s="108"/>
      <c r="E223" s="108"/>
      <c r="F223" s="108"/>
      <c r="G223" s="583"/>
      <c r="H223" s="108"/>
      <c r="I223" s="108"/>
      <c r="J223" s="108"/>
      <c r="K223" s="108"/>
      <c r="L223" s="583"/>
      <c r="M223" s="108"/>
      <c r="N223" s="108"/>
      <c r="O223" s="108"/>
      <c r="P223" s="108"/>
      <c r="Q223" s="583"/>
      <c r="R223" s="108"/>
      <c r="S223" s="108"/>
      <c r="T223" s="108"/>
      <c r="U223" s="108"/>
      <c r="V223" s="583"/>
      <c r="W223" s="108"/>
      <c r="X223" s="102"/>
      <c r="Y223" s="102"/>
      <c r="Z223" s="108"/>
      <c r="AA223" s="583"/>
      <c r="AB223" s="102"/>
      <c r="AC223" s="108"/>
      <c r="AD223" s="108"/>
      <c r="AE223" s="102"/>
      <c r="AF223" s="584"/>
      <c r="AG223" s="108"/>
      <c r="AH223" s="102"/>
      <c r="AI223" s="108"/>
      <c r="AJ223" s="102"/>
      <c r="AK223" s="584"/>
      <c r="AL223" s="102"/>
      <c r="AM223" s="102"/>
      <c r="AN223" s="102"/>
      <c r="AO223" s="102"/>
      <c r="AP223" s="584"/>
      <c r="AQ223" s="102"/>
      <c r="AR223" s="102"/>
      <c r="AS223" s="102"/>
      <c r="AT223" s="102"/>
      <c r="AU223" s="584"/>
      <c r="AV223" s="102"/>
      <c r="AW223" s="102"/>
      <c r="AX223" s="102"/>
      <c r="AY223" s="102"/>
      <c r="AZ223" s="584"/>
      <c r="BA223" s="102"/>
      <c r="BB223" s="102"/>
      <c r="BC223" s="102"/>
      <c r="BD223" s="102"/>
      <c r="BE223" s="584"/>
      <c r="BF223" s="102"/>
      <c r="BG223" s="102"/>
      <c r="BH223" s="102"/>
      <c r="BI223" s="102"/>
      <c r="BJ223" s="584"/>
      <c r="BK223" s="473"/>
      <c r="BL223" s="473"/>
      <c r="BM223" s="473"/>
      <c r="BN223" s="473"/>
      <c r="BO223" s="473"/>
      <c r="BP223" s="473"/>
      <c r="BQ223" s="125"/>
      <c r="BR223" s="511"/>
      <c r="BS223" s="108"/>
      <c r="BZ223" s="108"/>
      <c r="CA223" s="108"/>
      <c r="CB223" s="108"/>
    </row>
    <row r="224" spans="1:80" ht="13.5" customHeight="1">
      <c r="A224" s="558"/>
      <c r="B224" s="559" t="s">
        <v>226</v>
      </c>
      <c r="C224" s="560"/>
      <c r="D224" s="560"/>
      <c r="E224" s="560"/>
      <c r="F224" s="560"/>
      <c r="G224" s="561">
        <v>84.465000000000003</v>
      </c>
      <c r="H224" s="560"/>
      <c r="I224" s="560"/>
      <c r="J224" s="562"/>
      <c r="K224" s="560">
        <v>163.38</v>
      </c>
      <c r="L224" s="561">
        <f t="shared" ref="L224:L233" si="251">K224</f>
        <v>163.38</v>
      </c>
      <c r="M224" s="560">
        <v>147</v>
      </c>
      <c r="N224" s="560">
        <v>150.59299999999999</v>
      </c>
      <c r="O224" s="560">
        <v>155.14599999999999</v>
      </c>
      <c r="P224" s="560">
        <v>193.70599999999999</v>
      </c>
      <c r="Q224" s="561">
        <f t="shared" ref="Q224:Q233" si="252">+P224</f>
        <v>193.70599999999999</v>
      </c>
      <c r="R224" s="562">
        <v>172.107</v>
      </c>
      <c r="S224" s="562">
        <v>187.61799999999999</v>
      </c>
      <c r="T224" s="562">
        <v>213.017</v>
      </c>
      <c r="U224" s="562">
        <v>215.99799999999999</v>
      </c>
      <c r="V224" s="561">
        <f t="shared" ref="V224:V233" si="253">+U224</f>
        <v>215.99799999999999</v>
      </c>
      <c r="W224" s="562">
        <v>211.977</v>
      </c>
      <c r="X224" s="563">
        <v>215.61099999999999</v>
      </c>
      <c r="Y224" s="563">
        <v>211.745</v>
      </c>
      <c r="Z224" s="562">
        <v>233.38300000000001</v>
      </c>
      <c r="AA224" s="561">
        <f t="shared" ref="AA224:AA233" si="254">+Z224</f>
        <v>233.38300000000001</v>
      </c>
      <c r="AB224" s="563">
        <v>209.29599999999999</v>
      </c>
      <c r="AC224" s="562">
        <v>278.13900000000001</v>
      </c>
      <c r="AD224" s="562">
        <v>261.60000000000002</v>
      </c>
      <c r="AE224" s="562">
        <v>299.77100000000002</v>
      </c>
      <c r="AF224" s="561">
        <f t="shared" ref="AF224:AF233" si="255">+AE224</f>
        <v>299.77100000000002</v>
      </c>
      <c r="AG224" s="562">
        <v>253.185</v>
      </c>
      <c r="AH224" s="585">
        <v>305.536</v>
      </c>
      <c r="AI224" s="562">
        <v>319.49599999999998</v>
      </c>
      <c r="AJ224" s="562">
        <v>364.87799999999999</v>
      </c>
      <c r="AK224" s="561">
        <f t="shared" ref="AK224:AK233" si="256">+AJ224</f>
        <v>364.87799999999999</v>
      </c>
      <c r="AL224" s="562">
        <v>345.72</v>
      </c>
      <c r="AM224" s="562">
        <v>379.11799999999999</v>
      </c>
      <c r="AN224" s="1193">
        <v>390.47</v>
      </c>
      <c r="AO224" s="585">
        <v>471.97899999999998</v>
      </c>
      <c r="AP224" s="561">
        <f t="shared" ref="AP224:AP233" si="257">+AO224</f>
        <v>471.97899999999998</v>
      </c>
      <c r="AQ224" s="585">
        <v>464.40199999999999</v>
      </c>
      <c r="AR224" s="585">
        <v>499.55</v>
      </c>
      <c r="AS224" s="585">
        <v>528.47299999999996</v>
      </c>
      <c r="AT224" s="585">
        <v>622.87099999999998</v>
      </c>
      <c r="AU224" s="561">
        <f t="shared" ref="AU224:AU233" si="258">+AT224</f>
        <v>622.87099999999998</v>
      </c>
      <c r="AV224" s="565">
        <f>+AV265*AV15/90</f>
        <v>556.12246160049108</v>
      </c>
      <c r="AW224" s="565">
        <f>+AW265*AW15/90</f>
        <v>627.71515565378718</v>
      </c>
      <c r="AX224" s="565">
        <f>+AX265*AX15/90</f>
        <v>634.46428332720757</v>
      </c>
      <c r="AY224" s="565">
        <f>+AY265*AY15/90</f>
        <v>653.93604564084444</v>
      </c>
      <c r="AZ224" s="561">
        <f t="shared" ref="AZ224:AZ233" si="259">+AY224</f>
        <v>653.93604564084444</v>
      </c>
      <c r="BA224" s="565">
        <f>+BA265*BA15/90</f>
        <v>602.72751524251112</v>
      </c>
      <c r="BB224" s="565">
        <f>+BB265*BB15/90</f>
        <v>649.34153091554515</v>
      </c>
      <c r="BC224" s="565">
        <f>+BC265*BC15/90</f>
        <v>679.30802877465499</v>
      </c>
      <c r="BD224" s="565">
        <f>+BD265*BD15/90</f>
        <v>700.67722716717185</v>
      </c>
      <c r="BE224" s="561">
        <f t="shared" ref="BE224:BE233" si="260">+BD224</f>
        <v>700.67722716717185</v>
      </c>
      <c r="BF224" s="565">
        <f>+BF265*BF15/90</f>
        <v>599.07420259645892</v>
      </c>
      <c r="BG224" s="565">
        <f>+BG265*BG15/90</f>
        <v>644.94950122840146</v>
      </c>
      <c r="BH224" s="565">
        <f>+BH265*BH15/90</f>
        <v>674.0033143396588</v>
      </c>
      <c r="BI224" s="565">
        <f>+BI265*BI15/90</f>
        <v>695.7780225872217</v>
      </c>
      <c r="BJ224" s="561">
        <f t="shared" ref="BJ224:BJ233" si="261">+BI224</f>
        <v>695.7780225872217</v>
      </c>
      <c r="BK224" s="473"/>
      <c r="BL224" s="473"/>
      <c r="BM224" s="473"/>
      <c r="BN224" s="473"/>
      <c r="BO224" s="473"/>
      <c r="BP224" s="473"/>
      <c r="BQ224" s="586"/>
      <c r="BR224" s="511"/>
      <c r="BS224" s="558"/>
      <c r="BZ224" s="558"/>
      <c r="CA224" s="558"/>
      <c r="CB224" s="558"/>
    </row>
    <row r="225" spans="1:80" ht="13.5" customHeight="1">
      <c r="A225" s="558"/>
      <c r="B225" s="559" t="s">
        <v>227</v>
      </c>
      <c r="C225" s="560"/>
      <c r="D225" s="560"/>
      <c r="E225" s="560"/>
      <c r="F225" s="560"/>
      <c r="G225" s="561">
        <v>28.777999999999999</v>
      </c>
      <c r="H225" s="560"/>
      <c r="I225" s="560"/>
      <c r="J225" s="562"/>
      <c r="K225" s="560">
        <v>12.465999999999999</v>
      </c>
      <c r="L225" s="561">
        <f t="shared" si="251"/>
        <v>12.465999999999999</v>
      </c>
      <c r="M225" s="560">
        <v>9.6999999999999993</v>
      </c>
      <c r="N225" s="560">
        <v>7.5750000000000002</v>
      </c>
      <c r="O225" s="560">
        <v>10.534000000000001</v>
      </c>
      <c r="P225" s="560">
        <v>3.8140000000000001</v>
      </c>
      <c r="Q225" s="561">
        <f t="shared" si="252"/>
        <v>3.8140000000000001</v>
      </c>
      <c r="R225" s="562">
        <v>0.95</v>
      </c>
      <c r="S225" s="562">
        <v>0.76</v>
      </c>
      <c r="T225" s="562">
        <v>0.752</v>
      </c>
      <c r="U225" s="562">
        <v>1.625</v>
      </c>
      <c r="V225" s="561">
        <f t="shared" si="253"/>
        <v>1.625</v>
      </c>
      <c r="W225" s="562">
        <v>2.7050000000000001</v>
      </c>
      <c r="X225" s="563">
        <v>2.6930000000000001</v>
      </c>
      <c r="Y225" s="563">
        <v>2.6629999999999998</v>
      </c>
      <c r="Z225" s="562">
        <v>2.3809999999999998</v>
      </c>
      <c r="AA225" s="561">
        <f t="shared" si="254"/>
        <v>2.3809999999999998</v>
      </c>
      <c r="AB225" s="563">
        <v>1.7889999999999999</v>
      </c>
      <c r="AC225" s="562">
        <v>2.1579999999999999</v>
      </c>
      <c r="AD225" s="562">
        <v>3.2010000000000001</v>
      </c>
      <c r="AE225" s="562">
        <v>2.0350000000000001</v>
      </c>
      <c r="AF225" s="561">
        <f t="shared" si="255"/>
        <v>2.0350000000000001</v>
      </c>
      <c r="AG225" s="562">
        <v>2.6840000000000002</v>
      </c>
      <c r="AH225" s="585">
        <v>2.63</v>
      </c>
      <c r="AI225" s="562">
        <v>3.9039999999999999</v>
      </c>
      <c r="AJ225" s="562">
        <v>4.6980000000000004</v>
      </c>
      <c r="AK225" s="561">
        <f t="shared" si="256"/>
        <v>4.6980000000000004</v>
      </c>
      <c r="AL225" s="562">
        <v>5.218</v>
      </c>
      <c r="AM225" s="562">
        <v>3.3940000000000001</v>
      </c>
      <c r="AN225" s="1193">
        <v>3.367</v>
      </c>
      <c r="AO225" s="585">
        <v>3.6230000000000002</v>
      </c>
      <c r="AP225" s="561">
        <f t="shared" si="257"/>
        <v>3.6230000000000002</v>
      </c>
      <c r="AQ225" s="585">
        <v>3.76</v>
      </c>
      <c r="AR225" s="585">
        <v>3.375</v>
      </c>
      <c r="AS225" s="585">
        <v>3.0369999999999999</v>
      </c>
      <c r="AT225" s="585">
        <v>9.0129999999999999</v>
      </c>
      <c r="AU225" s="561">
        <f t="shared" si="258"/>
        <v>9.0129999999999999</v>
      </c>
      <c r="AV225" s="565">
        <f>+AT225</f>
        <v>9.0129999999999999</v>
      </c>
      <c r="AW225" s="565">
        <f>+AV225</f>
        <v>9.0129999999999999</v>
      </c>
      <c r="AX225" s="565">
        <f>+AW225</f>
        <v>9.0129999999999999</v>
      </c>
      <c r="AY225" s="565">
        <f>+AX225</f>
        <v>9.0129999999999999</v>
      </c>
      <c r="AZ225" s="561">
        <f t="shared" si="259"/>
        <v>9.0129999999999999</v>
      </c>
      <c r="BA225" s="565">
        <f>+AY225</f>
        <v>9.0129999999999999</v>
      </c>
      <c r="BB225" s="565">
        <f>+BA225</f>
        <v>9.0129999999999999</v>
      </c>
      <c r="BC225" s="565">
        <f>+BB225</f>
        <v>9.0129999999999999</v>
      </c>
      <c r="BD225" s="565">
        <f>+BC225</f>
        <v>9.0129999999999999</v>
      </c>
      <c r="BE225" s="561">
        <f t="shared" si="260"/>
        <v>9.0129999999999999</v>
      </c>
      <c r="BF225" s="565">
        <f>+BD225</f>
        <v>9.0129999999999999</v>
      </c>
      <c r="BG225" s="565">
        <f>+BF225</f>
        <v>9.0129999999999999</v>
      </c>
      <c r="BH225" s="565">
        <f>+BG225</f>
        <v>9.0129999999999999</v>
      </c>
      <c r="BI225" s="565">
        <f>+BH225</f>
        <v>9.0129999999999999</v>
      </c>
      <c r="BJ225" s="561">
        <f t="shared" si="261"/>
        <v>9.0129999999999999</v>
      </c>
      <c r="BK225" s="473"/>
      <c r="BL225" s="473"/>
      <c r="BM225" s="473"/>
      <c r="BN225" s="473"/>
      <c r="BO225" s="473"/>
      <c r="BP225" s="473"/>
      <c r="BQ225" s="586"/>
      <c r="BR225" s="511"/>
      <c r="BS225" s="558"/>
      <c r="BZ225" s="558"/>
      <c r="CA225" s="558"/>
      <c r="CB225" s="558"/>
    </row>
    <row r="226" spans="1:80" ht="13.5" customHeight="1">
      <c r="A226" s="558"/>
      <c r="B226" s="559" t="s">
        <v>228</v>
      </c>
      <c r="C226" s="560"/>
      <c r="D226" s="560"/>
      <c r="E226" s="560"/>
      <c r="F226" s="560"/>
      <c r="G226" s="561">
        <v>126.232</v>
      </c>
      <c r="H226" s="560"/>
      <c r="I226" s="560"/>
      <c r="J226" s="562"/>
      <c r="K226" s="560">
        <v>229.131</v>
      </c>
      <c r="L226" s="561">
        <f t="shared" si="251"/>
        <v>229.131</v>
      </c>
      <c r="M226" s="560">
        <v>185.7</v>
      </c>
      <c r="N226" s="560">
        <v>186.33699999999999</v>
      </c>
      <c r="O226" s="560">
        <v>218.624</v>
      </c>
      <c r="P226" s="560">
        <v>208.66900000000001</v>
      </c>
      <c r="Q226" s="561">
        <f t="shared" si="252"/>
        <v>208.66900000000001</v>
      </c>
      <c r="R226" s="562">
        <v>163.851</v>
      </c>
      <c r="S226" s="562">
        <v>275.07799999999997</v>
      </c>
      <c r="T226" s="562">
        <v>248.75200000000001</v>
      </c>
      <c r="U226" s="562">
        <v>542.56399999999996</v>
      </c>
      <c r="V226" s="561">
        <f t="shared" si="253"/>
        <v>542.56399999999996</v>
      </c>
      <c r="W226" s="562">
        <v>319.55099999999999</v>
      </c>
      <c r="X226" s="563">
        <v>310.50299999999999</v>
      </c>
      <c r="Y226" s="563">
        <v>600.88800000000003</v>
      </c>
      <c r="Z226" s="562">
        <v>333.649</v>
      </c>
      <c r="AA226" s="561">
        <f t="shared" si="254"/>
        <v>333.649</v>
      </c>
      <c r="AB226" s="563">
        <v>722.92499999999995</v>
      </c>
      <c r="AC226" s="562">
        <v>748.52599999999995</v>
      </c>
      <c r="AD226" s="562">
        <v>434.053</v>
      </c>
      <c r="AE226" s="562">
        <v>501.04199999999997</v>
      </c>
      <c r="AF226" s="561">
        <f t="shared" si="255"/>
        <v>501.04199999999997</v>
      </c>
      <c r="AG226" s="562">
        <v>488.12799999999999</v>
      </c>
      <c r="AH226" s="585">
        <v>522.62599999999998</v>
      </c>
      <c r="AI226" s="562">
        <v>496.66699999999997</v>
      </c>
      <c r="AJ226" s="562">
        <v>677.50199999999995</v>
      </c>
      <c r="AK226" s="561">
        <f t="shared" si="256"/>
        <v>677.50199999999995</v>
      </c>
      <c r="AL226" s="562">
        <v>604.46600000000001</v>
      </c>
      <c r="AM226" s="562">
        <v>635.16099999999994</v>
      </c>
      <c r="AN226" s="1193">
        <v>668.28200000000004</v>
      </c>
      <c r="AO226" s="585">
        <v>801.38099999999997</v>
      </c>
      <c r="AP226" s="561">
        <f t="shared" si="257"/>
        <v>801.38099999999997</v>
      </c>
      <c r="AQ226" s="585">
        <v>762.14</v>
      </c>
      <c r="AR226" s="585">
        <v>834.68600000000004</v>
      </c>
      <c r="AS226" s="585">
        <v>788.26099999999997</v>
      </c>
      <c r="AT226" s="585">
        <v>816.23500000000001</v>
      </c>
      <c r="AU226" s="561">
        <f t="shared" si="258"/>
        <v>816.23500000000001</v>
      </c>
      <c r="AV226" s="565">
        <f>+AQ226/AQ15*AV15</f>
        <v>1352.3744641175413</v>
      </c>
      <c r="AW226" s="565">
        <f>+AR226/AR15*AW15</f>
        <v>1533.9068559712525</v>
      </c>
      <c r="AX226" s="565">
        <f>+AS226/AS15*AX15</f>
        <v>1450.2407494766542</v>
      </c>
      <c r="AY226" s="565">
        <f>+AT226/AT15*AY15</f>
        <v>1507.7844756150394</v>
      </c>
      <c r="AZ226" s="561">
        <f t="shared" si="259"/>
        <v>1507.7844756150394</v>
      </c>
      <c r="BA226" s="565">
        <f>+AV226/AV15*BA15</f>
        <v>1598.954494674301</v>
      </c>
      <c r="BB226" s="565">
        <f>+AW226/AW15*BB15</f>
        <v>1673.3040368184143</v>
      </c>
      <c r="BC226" s="565">
        <f>+AX226/AX15*BC15</f>
        <v>1580.9750280583009</v>
      </c>
      <c r="BD226" s="565">
        <f>+AY226/AY15*BD15</f>
        <v>1644.9296573098561</v>
      </c>
      <c r="BE226" s="561">
        <f t="shared" si="260"/>
        <v>1644.9296573098561</v>
      </c>
      <c r="BF226" s="565">
        <f>+BA226/BA15*BF15</f>
        <v>1748.1890259308611</v>
      </c>
      <c r="BG226" s="565">
        <f>+BB226/BB15*BG15</f>
        <v>1828.1847191733941</v>
      </c>
      <c r="BH226" s="565">
        <f>+BC226/BC15*BH15</f>
        <v>1725.492118492705</v>
      </c>
      <c r="BI226" s="565">
        <f>+BD226/BD15*BI15</f>
        <v>1796.77096082298</v>
      </c>
      <c r="BJ226" s="561">
        <f t="shared" si="261"/>
        <v>1796.77096082298</v>
      </c>
      <c r="BK226" s="473"/>
      <c r="BL226" s="473"/>
      <c r="BM226" s="473"/>
      <c r="BN226" s="473"/>
      <c r="BO226" s="473"/>
      <c r="BP226" s="473"/>
      <c r="BQ226" s="564"/>
      <c r="BR226" s="511"/>
      <c r="BS226" s="558"/>
      <c r="BZ226" s="558"/>
      <c r="CA226" s="558"/>
      <c r="CB226" s="558"/>
    </row>
    <row r="227" spans="1:80" ht="13.5" customHeight="1">
      <c r="A227" s="558"/>
      <c r="B227" s="559" t="s">
        <v>229</v>
      </c>
      <c r="C227" s="560"/>
      <c r="D227" s="560"/>
      <c r="E227" s="560"/>
      <c r="F227" s="560"/>
      <c r="G227" s="561">
        <v>18.75</v>
      </c>
      <c r="H227" s="560"/>
      <c r="I227" s="560"/>
      <c r="J227" s="562"/>
      <c r="K227" s="560">
        <v>3.8130000000000002</v>
      </c>
      <c r="L227" s="561">
        <f t="shared" si="251"/>
        <v>3.8130000000000002</v>
      </c>
      <c r="M227" s="560">
        <v>0</v>
      </c>
      <c r="N227" s="560">
        <v>3.48</v>
      </c>
      <c r="O227" s="560">
        <v>3.8029999999999999</v>
      </c>
      <c r="P227" s="560">
        <v>3.8029999999999999</v>
      </c>
      <c r="Q227" s="561">
        <f t="shared" si="252"/>
        <v>3.8029999999999999</v>
      </c>
      <c r="R227" s="562">
        <v>16</v>
      </c>
      <c r="S227" s="562">
        <v>16</v>
      </c>
      <c r="T227" s="562">
        <v>16</v>
      </c>
      <c r="U227" s="562">
        <v>28.8</v>
      </c>
      <c r="V227" s="561">
        <f t="shared" si="253"/>
        <v>28.8</v>
      </c>
      <c r="W227" s="562">
        <v>16</v>
      </c>
      <c r="X227" s="563">
        <v>17.620999999999999</v>
      </c>
      <c r="Y227" s="563">
        <v>17.620999999999999</v>
      </c>
      <c r="Z227" s="562">
        <v>17.620999999999999</v>
      </c>
      <c r="AA227" s="561">
        <f t="shared" si="254"/>
        <v>17.620999999999999</v>
      </c>
      <c r="AB227" s="563">
        <v>17.620999999999999</v>
      </c>
      <c r="AC227" s="562">
        <v>10.353</v>
      </c>
      <c r="AD227" s="562">
        <v>10.353</v>
      </c>
      <c r="AE227" s="562">
        <v>10.353</v>
      </c>
      <c r="AF227" s="561">
        <f t="shared" si="255"/>
        <v>10.353</v>
      </c>
      <c r="AG227" s="562">
        <v>10.353</v>
      </c>
      <c r="AH227" s="585">
        <v>10.353</v>
      </c>
      <c r="AI227" s="562">
        <v>10.353</v>
      </c>
      <c r="AJ227" s="562">
        <v>10.353</v>
      </c>
      <c r="AK227" s="561">
        <f t="shared" si="256"/>
        <v>10.353</v>
      </c>
      <c r="AL227" s="562">
        <v>10.353</v>
      </c>
      <c r="AM227" s="562">
        <v>10.353</v>
      </c>
      <c r="AN227" s="1193">
        <v>5.9790000000000001</v>
      </c>
      <c r="AO227" s="585">
        <v>7.5570000000000004</v>
      </c>
      <c r="AP227" s="561">
        <f t="shared" si="257"/>
        <v>7.5570000000000004</v>
      </c>
      <c r="AQ227" s="585">
        <f>7.557</f>
        <v>7.5570000000000004</v>
      </c>
      <c r="AR227" s="585">
        <f>7.557</f>
        <v>7.5570000000000004</v>
      </c>
      <c r="AS227" s="585">
        <f>7.557</f>
        <v>7.5570000000000004</v>
      </c>
      <c r="AT227" s="585">
        <v>0</v>
      </c>
      <c r="AU227" s="561">
        <f t="shared" si="258"/>
        <v>0</v>
      </c>
      <c r="AV227" s="565">
        <f>+AT227</f>
        <v>0</v>
      </c>
      <c r="AW227" s="565">
        <f t="shared" ref="AW227:AY233" si="262">+AV227</f>
        <v>0</v>
      </c>
      <c r="AX227" s="565">
        <f t="shared" si="262"/>
        <v>0</v>
      </c>
      <c r="AY227" s="565">
        <f t="shared" si="262"/>
        <v>0</v>
      </c>
      <c r="AZ227" s="561">
        <f t="shared" si="259"/>
        <v>0</v>
      </c>
      <c r="BA227" s="565">
        <f>+AY227</f>
        <v>0</v>
      </c>
      <c r="BB227" s="565">
        <f t="shared" ref="BB227:BD233" si="263">+BA227</f>
        <v>0</v>
      </c>
      <c r="BC227" s="565">
        <f t="shared" si="263"/>
        <v>0</v>
      </c>
      <c r="BD227" s="565">
        <f t="shared" si="263"/>
        <v>0</v>
      </c>
      <c r="BE227" s="561">
        <f t="shared" si="260"/>
        <v>0</v>
      </c>
      <c r="BF227" s="565">
        <f>+BD227</f>
        <v>0</v>
      </c>
      <c r="BG227" s="565">
        <f t="shared" ref="BG227:BI233" si="264">+BF227</f>
        <v>0</v>
      </c>
      <c r="BH227" s="565">
        <f t="shared" si="264"/>
        <v>0</v>
      </c>
      <c r="BI227" s="565">
        <f t="shared" si="264"/>
        <v>0</v>
      </c>
      <c r="BJ227" s="561">
        <f t="shared" si="261"/>
        <v>0</v>
      </c>
      <c r="BK227" s="473"/>
      <c r="BL227" s="473"/>
      <c r="BM227" s="473"/>
      <c r="BN227" s="473"/>
      <c r="BO227" s="473"/>
      <c r="BP227" s="473"/>
      <c r="BQ227" s="586"/>
      <c r="BR227" s="511"/>
      <c r="BS227" s="558"/>
      <c r="BZ227" s="558"/>
      <c r="CA227" s="558"/>
      <c r="CB227" s="558"/>
    </row>
    <row r="228" spans="1:80" ht="13.5" customHeight="1">
      <c r="A228" s="558"/>
      <c r="B228" s="559" t="s">
        <v>230</v>
      </c>
      <c r="C228" s="560"/>
      <c r="D228" s="560"/>
      <c r="E228" s="560"/>
      <c r="F228" s="560"/>
      <c r="G228" s="561">
        <v>0</v>
      </c>
      <c r="H228" s="560"/>
      <c r="I228" s="560"/>
      <c r="J228" s="562"/>
      <c r="K228" s="560">
        <v>11.938000000000001</v>
      </c>
      <c r="L228" s="561">
        <f t="shared" si="251"/>
        <v>11.938000000000001</v>
      </c>
      <c r="M228" s="560">
        <f>15.8</f>
        <v>15.8</v>
      </c>
      <c r="N228" s="560">
        <f>12.73</f>
        <v>12.73</v>
      </c>
      <c r="O228" s="560">
        <f>12.408</f>
        <v>12.407999999999999</v>
      </c>
      <c r="P228" s="560">
        <f>12.408</f>
        <v>12.407999999999999</v>
      </c>
      <c r="Q228" s="561">
        <f t="shared" si="252"/>
        <v>12.407999999999999</v>
      </c>
      <c r="R228" s="562">
        <v>36.5</v>
      </c>
      <c r="S228" s="562">
        <v>36.5</v>
      </c>
      <c r="T228" s="562">
        <v>36.5</v>
      </c>
      <c r="U228" s="562">
        <v>63.7</v>
      </c>
      <c r="V228" s="561">
        <f t="shared" si="253"/>
        <v>63.7</v>
      </c>
      <c r="W228" s="562">
        <v>36.5</v>
      </c>
      <c r="X228" s="563">
        <v>74.879000000000005</v>
      </c>
      <c r="Y228" s="563">
        <v>74.879000000000005</v>
      </c>
      <c r="Z228" s="562">
        <v>74.879000000000005</v>
      </c>
      <c r="AA228" s="561">
        <f t="shared" si="254"/>
        <v>74.879000000000005</v>
      </c>
      <c r="AB228" s="563">
        <v>74.879000000000005</v>
      </c>
      <c r="AC228" s="562">
        <v>106.148</v>
      </c>
      <c r="AD228" s="562">
        <v>106.148</v>
      </c>
      <c r="AE228" s="562">
        <v>106.148</v>
      </c>
      <c r="AF228" s="561">
        <f t="shared" si="255"/>
        <v>106.148</v>
      </c>
      <c r="AG228" s="562">
        <v>106.148</v>
      </c>
      <c r="AH228" s="585">
        <v>106.148</v>
      </c>
      <c r="AI228" s="562">
        <v>106.148</v>
      </c>
      <c r="AJ228" s="562">
        <v>106.148</v>
      </c>
      <c r="AK228" s="561">
        <f t="shared" si="256"/>
        <v>106.148</v>
      </c>
      <c r="AL228" s="562">
        <v>95.647999999999996</v>
      </c>
      <c r="AM228" s="562">
        <v>99.147999999999996</v>
      </c>
      <c r="AN228" s="1193">
        <v>92.36</v>
      </c>
      <c r="AO228" s="585">
        <v>123.562</v>
      </c>
      <c r="AP228" s="561">
        <f t="shared" si="257"/>
        <v>123.562</v>
      </c>
      <c r="AQ228" s="585">
        <v>123.562</v>
      </c>
      <c r="AR228" s="585">
        <v>123.562</v>
      </c>
      <c r="AS228" s="585">
        <v>133.09700000000001</v>
      </c>
      <c r="AT228" s="585">
        <v>107.89700000000001</v>
      </c>
      <c r="AU228" s="561">
        <f t="shared" si="258"/>
        <v>107.89700000000001</v>
      </c>
      <c r="AV228" s="565">
        <f>+AT228</f>
        <v>107.89700000000001</v>
      </c>
      <c r="AW228" s="565">
        <f t="shared" si="262"/>
        <v>107.89700000000001</v>
      </c>
      <c r="AX228" s="565">
        <f t="shared" si="262"/>
        <v>107.89700000000001</v>
      </c>
      <c r="AY228" s="565">
        <f t="shared" si="262"/>
        <v>107.89700000000001</v>
      </c>
      <c r="AZ228" s="561">
        <f t="shared" si="259"/>
        <v>107.89700000000001</v>
      </c>
      <c r="BA228" s="565">
        <f>+AY228</f>
        <v>107.89700000000001</v>
      </c>
      <c r="BB228" s="565">
        <f t="shared" si="263"/>
        <v>107.89700000000001</v>
      </c>
      <c r="BC228" s="565">
        <f t="shared" si="263"/>
        <v>107.89700000000001</v>
      </c>
      <c r="BD228" s="565">
        <f t="shared" si="263"/>
        <v>107.89700000000001</v>
      </c>
      <c r="BE228" s="561">
        <f t="shared" si="260"/>
        <v>107.89700000000001</v>
      </c>
      <c r="BF228" s="565">
        <f>+BD228</f>
        <v>107.89700000000001</v>
      </c>
      <c r="BG228" s="565">
        <f t="shared" si="264"/>
        <v>107.89700000000001</v>
      </c>
      <c r="BH228" s="565">
        <f t="shared" si="264"/>
        <v>107.89700000000001</v>
      </c>
      <c r="BI228" s="565">
        <f t="shared" si="264"/>
        <v>107.89700000000001</v>
      </c>
      <c r="BJ228" s="561">
        <f t="shared" si="261"/>
        <v>107.89700000000001</v>
      </c>
      <c r="BK228" s="473"/>
      <c r="BL228" s="473"/>
      <c r="BM228" s="473"/>
      <c r="BN228" s="473"/>
      <c r="BO228" s="473"/>
      <c r="BP228" s="473"/>
      <c r="BQ228" s="586"/>
      <c r="BR228" s="511"/>
      <c r="BS228" s="558"/>
      <c r="BZ228" s="558"/>
      <c r="CA228" s="558"/>
      <c r="CB228" s="558"/>
    </row>
    <row r="229" spans="1:80" ht="13.5" customHeight="1">
      <c r="A229" s="558"/>
      <c r="B229" s="1298" t="s">
        <v>451</v>
      </c>
      <c r="C229" s="560"/>
      <c r="D229" s="560"/>
      <c r="E229" s="560"/>
      <c r="F229" s="560"/>
      <c r="G229" s="561">
        <v>0</v>
      </c>
      <c r="H229" s="560"/>
      <c r="I229" s="560"/>
      <c r="J229" s="562"/>
      <c r="K229" s="560">
        <v>0</v>
      </c>
      <c r="L229" s="561">
        <f t="shared" si="251"/>
        <v>0</v>
      </c>
      <c r="M229" s="562">
        <v>0</v>
      </c>
      <c r="N229" s="562">
        <v>0</v>
      </c>
      <c r="O229" s="562">
        <v>0</v>
      </c>
      <c r="P229" s="562">
        <v>0</v>
      </c>
      <c r="Q229" s="561">
        <f t="shared" si="252"/>
        <v>0</v>
      </c>
      <c r="R229" s="562">
        <v>0</v>
      </c>
      <c r="S229" s="562">
        <v>0</v>
      </c>
      <c r="T229" s="562">
        <v>0</v>
      </c>
      <c r="U229" s="562">
        <v>0</v>
      </c>
      <c r="V229" s="561">
        <f t="shared" si="253"/>
        <v>0</v>
      </c>
      <c r="W229" s="562">
        <v>31.594999999999999</v>
      </c>
      <c r="X229" s="563">
        <v>31.594999999999999</v>
      </c>
      <c r="Y229" s="563">
        <v>31.594999999999999</v>
      </c>
      <c r="Z229" s="562">
        <v>8.6389999999999993</v>
      </c>
      <c r="AA229" s="561">
        <f t="shared" si="254"/>
        <v>8.6389999999999993</v>
      </c>
      <c r="AB229" s="563">
        <v>22.649000000000001</v>
      </c>
      <c r="AC229" s="562">
        <v>22.992000000000001</v>
      </c>
      <c r="AD229" s="562">
        <v>23.332999999999998</v>
      </c>
      <c r="AE229" s="562">
        <v>22.789000000000001</v>
      </c>
      <c r="AF229" s="561">
        <f t="shared" si="255"/>
        <v>22.789000000000001</v>
      </c>
      <c r="AG229" s="562">
        <v>33.65</v>
      </c>
      <c r="AH229" s="585">
        <v>33.65</v>
      </c>
      <c r="AI229" s="562">
        <v>33.665999999999997</v>
      </c>
      <c r="AJ229" s="562">
        <v>31.231999999999999</v>
      </c>
      <c r="AK229" s="561">
        <f t="shared" si="256"/>
        <v>31.231999999999999</v>
      </c>
      <c r="AL229" s="562">
        <v>35.659999999999997</v>
      </c>
      <c r="AM229" s="562">
        <v>35.658999999999999</v>
      </c>
      <c r="AN229" s="1193">
        <v>153.90299999999999</v>
      </c>
      <c r="AO229" s="585">
        <v>191.01400000000001</v>
      </c>
      <c r="AP229" s="561">
        <f t="shared" si="257"/>
        <v>191.01400000000001</v>
      </c>
      <c r="AQ229" s="585">
        <v>222.44399999999999</v>
      </c>
      <c r="AR229" s="585">
        <v>242.143</v>
      </c>
      <c r="AS229" s="585">
        <v>261.84399999999999</v>
      </c>
      <c r="AT229" s="585">
        <v>190.22</v>
      </c>
      <c r="AU229" s="561">
        <f t="shared" si="258"/>
        <v>190.22</v>
      </c>
      <c r="AV229" s="565">
        <f t="shared" ref="AV229:AV230" si="265">+AT229</f>
        <v>190.22</v>
      </c>
      <c r="AW229" s="565">
        <f t="shared" ref="AW229:AW230" si="266">+AV229</f>
        <v>190.22</v>
      </c>
      <c r="AX229" s="565">
        <f t="shared" ref="AX229:AX230" si="267">+AW229</f>
        <v>190.22</v>
      </c>
      <c r="AY229" s="565">
        <f t="shared" ref="AY229:AY230" si="268">+AX229</f>
        <v>190.22</v>
      </c>
      <c r="AZ229" s="561">
        <f t="shared" ref="AZ229:AZ230" si="269">+AY229</f>
        <v>190.22</v>
      </c>
      <c r="BA229" s="565">
        <f t="shared" ref="BA229:BA230" si="270">+AY229</f>
        <v>190.22</v>
      </c>
      <c r="BB229" s="565">
        <f t="shared" ref="BB229:BB230" si="271">+BA229</f>
        <v>190.22</v>
      </c>
      <c r="BC229" s="565">
        <f t="shared" ref="BC229:BC230" si="272">+BB229</f>
        <v>190.22</v>
      </c>
      <c r="BD229" s="565">
        <f t="shared" ref="BD229:BD230" si="273">+BC229</f>
        <v>190.22</v>
      </c>
      <c r="BE229" s="561">
        <f t="shared" ref="BE229:BE230" si="274">+BD229</f>
        <v>190.22</v>
      </c>
      <c r="BF229" s="565">
        <f t="shared" ref="BF229:BF230" si="275">+BD229</f>
        <v>190.22</v>
      </c>
      <c r="BG229" s="565">
        <f t="shared" ref="BG229:BG230" si="276">+BF229</f>
        <v>190.22</v>
      </c>
      <c r="BH229" s="565">
        <f t="shared" ref="BH229:BH230" si="277">+BG229</f>
        <v>190.22</v>
      </c>
      <c r="BI229" s="565">
        <f t="shared" ref="BI229:BI230" si="278">+BH229</f>
        <v>190.22</v>
      </c>
      <c r="BJ229" s="561">
        <f t="shared" ref="BJ229:BJ230" si="279">+BI229</f>
        <v>190.22</v>
      </c>
      <c r="BK229" s="473"/>
      <c r="BL229" s="473"/>
      <c r="BM229" s="473"/>
      <c r="BN229" s="473"/>
      <c r="BO229" s="473"/>
      <c r="BP229" s="473"/>
      <c r="BQ229" s="586"/>
      <c r="BR229" s="511"/>
      <c r="BS229" s="558"/>
      <c r="BZ229" s="558"/>
      <c r="CA229" s="558"/>
      <c r="CB229" s="558"/>
    </row>
    <row r="230" spans="1:80" ht="13.5" customHeight="1">
      <c r="A230" s="558"/>
      <c r="B230" s="1298" t="s">
        <v>452</v>
      </c>
      <c r="C230" s="560"/>
      <c r="D230" s="560"/>
      <c r="E230" s="560"/>
      <c r="F230" s="560"/>
      <c r="G230" s="561">
        <v>0</v>
      </c>
      <c r="H230" s="560"/>
      <c r="I230" s="560"/>
      <c r="J230" s="562"/>
      <c r="K230" s="560">
        <v>0</v>
      </c>
      <c r="L230" s="561">
        <f t="shared" si="251"/>
        <v>0</v>
      </c>
      <c r="M230" s="562">
        <v>0</v>
      </c>
      <c r="N230" s="562">
        <v>0</v>
      </c>
      <c r="O230" s="562">
        <v>0</v>
      </c>
      <c r="P230" s="562">
        <v>0</v>
      </c>
      <c r="Q230" s="561">
        <f t="shared" si="252"/>
        <v>0</v>
      </c>
      <c r="R230" s="562">
        <v>0</v>
      </c>
      <c r="S230" s="562">
        <v>0</v>
      </c>
      <c r="T230" s="562">
        <v>0</v>
      </c>
      <c r="U230" s="562">
        <v>0</v>
      </c>
      <c r="V230" s="561">
        <f t="shared" si="253"/>
        <v>0</v>
      </c>
      <c r="W230" s="562">
        <v>0</v>
      </c>
      <c r="X230" s="563">
        <v>0</v>
      </c>
      <c r="Y230" s="563">
        <v>0</v>
      </c>
      <c r="Z230" s="562">
        <v>0</v>
      </c>
      <c r="AA230" s="561">
        <f t="shared" si="254"/>
        <v>0</v>
      </c>
      <c r="AB230" s="563">
        <v>0</v>
      </c>
      <c r="AC230" s="562">
        <v>0</v>
      </c>
      <c r="AD230" s="562">
        <v>0</v>
      </c>
      <c r="AE230" s="562">
        <v>0</v>
      </c>
      <c r="AF230" s="561">
        <f t="shared" si="255"/>
        <v>0</v>
      </c>
      <c r="AG230" s="562">
        <v>20.814</v>
      </c>
      <c r="AH230" s="585">
        <v>19.170000000000002</v>
      </c>
      <c r="AI230" s="562">
        <v>61.195999999999998</v>
      </c>
      <c r="AJ230" s="562">
        <v>64.227000000000004</v>
      </c>
      <c r="AK230" s="561">
        <f t="shared" si="256"/>
        <v>64.227000000000004</v>
      </c>
      <c r="AL230" s="562">
        <v>61.887</v>
      </c>
      <c r="AM230" s="562">
        <v>59.503</v>
      </c>
      <c r="AN230" s="1193">
        <v>59.978000000000002</v>
      </c>
      <c r="AO230" s="585">
        <v>60.4</v>
      </c>
      <c r="AP230" s="561">
        <f t="shared" si="257"/>
        <v>60.4</v>
      </c>
      <c r="AQ230" s="585">
        <v>53.841000000000001</v>
      </c>
      <c r="AR230" s="585">
        <v>54.258000000000003</v>
      </c>
      <c r="AS230" s="585">
        <v>54.798000000000002</v>
      </c>
      <c r="AT230" s="585">
        <v>55.323999999999998</v>
      </c>
      <c r="AU230" s="561">
        <f t="shared" si="258"/>
        <v>55.323999999999998</v>
      </c>
      <c r="AV230" s="565">
        <f t="shared" si="265"/>
        <v>55.323999999999998</v>
      </c>
      <c r="AW230" s="565">
        <f t="shared" si="266"/>
        <v>55.323999999999998</v>
      </c>
      <c r="AX230" s="565">
        <f t="shared" si="267"/>
        <v>55.323999999999998</v>
      </c>
      <c r="AY230" s="565">
        <f t="shared" si="268"/>
        <v>55.323999999999998</v>
      </c>
      <c r="AZ230" s="561">
        <f t="shared" si="269"/>
        <v>55.323999999999998</v>
      </c>
      <c r="BA230" s="565">
        <f t="shared" si="270"/>
        <v>55.323999999999998</v>
      </c>
      <c r="BB230" s="565">
        <f t="shared" si="271"/>
        <v>55.323999999999998</v>
      </c>
      <c r="BC230" s="565">
        <f t="shared" si="272"/>
        <v>55.323999999999998</v>
      </c>
      <c r="BD230" s="565">
        <f t="shared" si="273"/>
        <v>55.323999999999998</v>
      </c>
      <c r="BE230" s="561">
        <f t="shared" si="274"/>
        <v>55.323999999999998</v>
      </c>
      <c r="BF230" s="565">
        <f t="shared" si="275"/>
        <v>55.323999999999998</v>
      </c>
      <c r="BG230" s="565">
        <f t="shared" si="276"/>
        <v>55.323999999999998</v>
      </c>
      <c r="BH230" s="565">
        <f t="shared" si="277"/>
        <v>55.323999999999998</v>
      </c>
      <c r="BI230" s="565">
        <f t="shared" si="278"/>
        <v>55.323999999999998</v>
      </c>
      <c r="BJ230" s="561">
        <f t="shared" si="279"/>
        <v>55.323999999999998</v>
      </c>
      <c r="BK230" s="473"/>
      <c r="BL230" s="473"/>
      <c r="BM230" s="473"/>
      <c r="BN230" s="473"/>
      <c r="BO230" s="473"/>
      <c r="BP230" s="473"/>
      <c r="BQ230" s="586"/>
      <c r="BR230" s="511"/>
      <c r="BS230" s="558"/>
      <c r="BZ230" s="558"/>
      <c r="CA230" s="558"/>
      <c r="CB230" s="558"/>
    </row>
    <row r="231" spans="1:80" ht="13.5" customHeight="1">
      <c r="A231" s="558"/>
      <c r="B231" s="559" t="s">
        <v>231</v>
      </c>
      <c r="C231" s="560"/>
      <c r="D231" s="560"/>
      <c r="E231" s="560"/>
      <c r="F231" s="560"/>
      <c r="G231" s="561">
        <v>1.7390000000000001</v>
      </c>
      <c r="H231" s="560"/>
      <c r="I231" s="560"/>
      <c r="J231" s="562"/>
      <c r="K231" s="560">
        <v>3.9870000000000001</v>
      </c>
      <c r="L231" s="561">
        <f t="shared" si="251"/>
        <v>3.9870000000000001</v>
      </c>
      <c r="M231" s="560">
        <v>5.8</v>
      </c>
      <c r="N231" s="560">
        <v>7.6950000000000003</v>
      </c>
      <c r="O231" s="560">
        <v>6.9370000000000003</v>
      </c>
      <c r="P231" s="560">
        <v>7.3129999999999997</v>
      </c>
      <c r="Q231" s="561">
        <f t="shared" si="252"/>
        <v>7.3129999999999997</v>
      </c>
      <c r="R231" s="562">
        <v>9.4019999999999992</v>
      </c>
      <c r="S231" s="562">
        <v>10.885999999999999</v>
      </c>
      <c r="T231" s="562">
        <v>9.83</v>
      </c>
      <c r="U231" s="562">
        <v>9.6669999999999998</v>
      </c>
      <c r="V231" s="561">
        <f t="shared" si="253"/>
        <v>9.6669999999999998</v>
      </c>
      <c r="W231" s="562">
        <v>11.715999999999999</v>
      </c>
      <c r="X231" s="563">
        <v>11.085000000000001</v>
      </c>
      <c r="Y231" s="563">
        <v>9.8659999999999997</v>
      </c>
      <c r="Z231" s="562">
        <v>9.0530000000000008</v>
      </c>
      <c r="AA231" s="561">
        <f t="shared" si="254"/>
        <v>9.0530000000000008</v>
      </c>
      <c r="AB231" s="563">
        <v>10.000999999999999</v>
      </c>
      <c r="AC231" s="562">
        <v>9.4770000000000003</v>
      </c>
      <c r="AD231" s="562">
        <v>8.0050000000000008</v>
      </c>
      <c r="AE231" s="562">
        <v>5.48</v>
      </c>
      <c r="AF231" s="561">
        <f t="shared" si="255"/>
        <v>5.48</v>
      </c>
      <c r="AG231" s="562">
        <v>9.0839999999999996</v>
      </c>
      <c r="AH231" s="585">
        <v>8.8350000000000009</v>
      </c>
      <c r="AI231" s="562">
        <v>7.9169999999999998</v>
      </c>
      <c r="AJ231" s="562">
        <v>14.47</v>
      </c>
      <c r="AK231" s="561">
        <f t="shared" si="256"/>
        <v>14.47</v>
      </c>
      <c r="AL231" s="562">
        <v>19.096</v>
      </c>
      <c r="AM231" s="562">
        <v>14.395</v>
      </c>
      <c r="AN231" s="1193">
        <v>12.255000000000001</v>
      </c>
      <c r="AO231" s="585">
        <v>7.907</v>
      </c>
      <c r="AP231" s="561">
        <f t="shared" si="257"/>
        <v>7.907</v>
      </c>
      <c r="AQ231" s="585">
        <v>9.702</v>
      </c>
      <c r="AR231" s="585">
        <v>18.731000000000002</v>
      </c>
      <c r="AS231" s="585">
        <v>19.349</v>
      </c>
      <c r="AT231" s="585">
        <v>18.879000000000001</v>
      </c>
      <c r="AU231" s="561">
        <f t="shared" si="258"/>
        <v>18.879000000000001</v>
      </c>
      <c r="AV231" s="565">
        <f>+AT231</f>
        <v>18.879000000000001</v>
      </c>
      <c r="AW231" s="565">
        <f t="shared" si="262"/>
        <v>18.879000000000001</v>
      </c>
      <c r="AX231" s="565">
        <f t="shared" si="262"/>
        <v>18.879000000000001</v>
      </c>
      <c r="AY231" s="565">
        <f t="shared" si="262"/>
        <v>18.879000000000001</v>
      </c>
      <c r="AZ231" s="561">
        <f t="shared" si="259"/>
        <v>18.879000000000001</v>
      </c>
      <c r="BA231" s="565">
        <f>+AY231</f>
        <v>18.879000000000001</v>
      </c>
      <c r="BB231" s="565">
        <f t="shared" si="263"/>
        <v>18.879000000000001</v>
      </c>
      <c r="BC231" s="565">
        <f t="shared" si="263"/>
        <v>18.879000000000001</v>
      </c>
      <c r="BD231" s="565">
        <f t="shared" si="263"/>
        <v>18.879000000000001</v>
      </c>
      <c r="BE231" s="561">
        <f t="shared" si="260"/>
        <v>18.879000000000001</v>
      </c>
      <c r="BF231" s="565">
        <f>+BD231</f>
        <v>18.879000000000001</v>
      </c>
      <c r="BG231" s="565">
        <f t="shared" si="264"/>
        <v>18.879000000000001</v>
      </c>
      <c r="BH231" s="565">
        <f t="shared" si="264"/>
        <v>18.879000000000001</v>
      </c>
      <c r="BI231" s="565">
        <f t="shared" si="264"/>
        <v>18.879000000000001</v>
      </c>
      <c r="BJ231" s="561">
        <f t="shared" si="261"/>
        <v>18.879000000000001</v>
      </c>
      <c r="BK231" s="473"/>
      <c r="BL231" s="473"/>
      <c r="BM231" s="473"/>
      <c r="BN231" s="473"/>
      <c r="BO231" s="473"/>
      <c r="BP231" s="473"/>
      <c r="BQ231" s="586"/>
      <c r="BR231" s="511"/>
      <c r="BS231" s="558"/>
      <c r="BZ231" s="558"/>
      <c r="CA231" s="558"/>
      <c r="CB231" s="558"/>
    </row>
    <row r="232" spans="1:80" ht="13.5" customHeight="1">
      <c r="A232" s="558"/>
      <c r="B232" s="559" t="s">
        <v>232</v>
      </c>
      <c r="C232" s="560"/>
      <c r="D232" s="560"/>
      <c r="E232" s="560"/>
      <c r="F232" s="560"/>
      <c r="G232" s="561">
        <v>0</v>
      </c>
      <c r="H232" s="560"/>
      <c r="I232" s="560"/>
      <c r="J232" s="562"/>
      <c r="K232" s="560">
        <v>0.112</v>
      </c>
      <c r="L232" s="561">
        <f t="shared" si="251"/>
        <v>0.112</v>
      </c>
      <c r="M232" s="560">
        <v>6.3</v>
      </c>
      <c r="N232" s="560">
        <v>6.2480000000000002</v>
      </c>
      <c r="O232" s="560">
        <v>4.5129999999999999</v>
      </c>
      <c r="P232" s="560">
        <v>4.6070000000000002</v>
      </c>
      <c r="Q232" s="561">
        <f t="shared" si="252"/>
        <v>4.6070000000000002</v>
      </c>
      <c r="R232" s="562">
        <v>4.2560000000000002</v>
      </c>
      <c r="S232" s="562">
        <v>4.274</v>
      </c>
      <c r="T232" s="562">
        <v>5.0679999999999996</v>
      </c>
      <c r="U232" s="562">
        <v>5.5049999999999999</v>
      </c>
      <c r="V232" s="561">
        <f t="shared" si="253"/>
        <v>5.5049999999999999</v>
      </c>
      <c r="W232" s="562">
        <v>4.8890000000000002</v>
      </c>
      <c r="X232" s="563">
        <v>4.6479999999999997</v>
      </c>
      <c r="Y232" s="563">
        <v>4.6790000000000003</v>
      </c>
      <c r="Z232" s="562">
        <v>4.3259999999999996</v>
      </c>
      <c r="AA232" s="561">
        <f t="shared" si="254"/>
        <v>4.3259999999999996</v>
      </c>
      <c r="AB232" s="563">
        <v>4.3470000000000004</v>
      </c>
      <c r="AC232" s="562">
        <v>8.7859999999999996</v>
      </c>
      <c r="AD232" s="562">
        <v>8.1180000000000003</v>
      </c>
      <c r="AE232" s="562">
        <v>8.1579999999999995</v>
      </c>
      <c r="AF232" s="561">
        <f t="shared" si="255"/>
        <v>8.1579999999999995</v>
      </c>
      <c r="AG232" s="562">
        <v>8.9160000000000004</v>
      </c>
      <c r="AH232" s="585">
        <v>17.262</v>
      </c>
      <c r="AI232" s="562">
        <v>8.5920000000000005</v>
      </c>
      <c r="AJ232" s="562">
        <v>7.931</v>
      </c>
      <c r="AK232" s="561">
        <f t="shared" si="256"/>
        <v>7.931</v>
      </c>
      <c r="AL232" s="562">
        <v>7.9160000000000004</v>
      </c>
      <c r="AM232" s="562">
        <v>8.6010000000000009</v>
      </c>
      <c r="AN232" s="1193">
        <v>7.8869999999999996</v>
      </c>
      <c r="AO232" s="585">
        <v>7.87</v>
      </c>
      <c r="AP232" s="561">
        <f t="shared" si="257"/>
        <v>7.87</v>
      </c>
      <c r="AQ232" s="585">
        <v>7.9130000000000003</v>
      </c>
      <c r="AR232" s="585">
        <v>8.6720000000000006</v>
      </c>
      <c r="AS232" s="585">
        <v>8</v>
      </c>
      <c r="AT232" s="585">
        <v>8.0440000000000005</v>
      </c>
      <c r="AU232" s="561">
        <f t="shared" si="258"/>
        <v>8.0440000000000005</v>
      </c>
      <c r="AV232" s="565">
        <f>+AT232</f>
        <v>8.0440000000000005</v>
      </c>
      <c r="AW232" s="565">
        <f t="shared" si="262"/>
        <v>8.0440000000000005</v>
      </c>
      <c r="AX232" s="565">
        <f t="shared" si="262"/>
        <v>8.0440000000000005</v>
      </c>
      <c r="AY232" s="565">
        <f t="shared" si="262"/>
        <v>8.0440000000000005</v>
      </c>
      <c r="AZ232" s="561">
        <f t="shared" si="259"/>
        <v>8.0440000000000005</v>
      </c>
      <c r="BA232" s="565">
        <f>+AY232</f>
        <v>8.0440000000000005</v>
      </c>
      <c r="BB232" s="565">
        <f t="shared" si="263"/>
        <v>8.0440000000000005</v>
      </c>
      <c r="BC232" s="565">
        <f t="shared" si="263"/>
        <v>8.0440000000000005</v>
      </c>
      <c r="BD232" s="565">
        <f t="shared" si="263"/>
        <v>8.0440000000000005</v>
      </c>
      <c r="BE232" s="561">
        <f t="shared" si="260"/>
        <v>8.0440000000000005</v>
      </c>
      <c r="BF232" s="565">
        <f>+BD232</f>
        <v>8.0440000000000005</v>
      </c>
      <c r="BG232" s="565">
        <f t="shared" si="264"/>
        <v>8.0440000000000005</v>
      </c>
      <c r="BH232" s="565">
        <f t="shared" si="264"/>
        <v>8.0440000000000005</v>
      </c>
      <c r="BI232" s="565">
        <f t="shared" si="264"/>
        <v>8.0440000000000005</v>
      </c>
      <c r="BJ232" s="561">
        <f t="shared" si="261"/>
        <v>8.0440000000000005</v>
      </c>
      <c r="BK232" s="473"/>
      <c r="BL232" s="473"/>
      <c r="BM232" s="473"/>
      <c r="BN232" s="473"/>
      <c r="BO232" s="473"/>
      <c r="BP232" s="473"/>
      <c r="BQ232" s="586"/>
      <c r="BR232" s="511"/>
      <c r="BS232" s="558"/>
      <c r="BZ232" s="558"/>
      <c r="CA232" s="558"/>
      <c r="CB232" s="558"/>
    </row>
    <row r="233" spans="1:80" ht="13.5" customHeight="1">
      <c r="A233" s="558"/>
      <c r="B233" s="566" t="s">
        <v>107</v>
      </c>
      <c r="C233" s="567"/>
      <c r="D233" s="567"/>
      <c r="E233" s="567"/>
      <c r="F233" s="567"/>
      <c r="G233" s="568">
        <v>0.23799999999999999</v>
      </c>
      <c r="H233" s="567"/>
      <c r="I233" s="567"/>
      <c r="J233" s="569"/>
      <c r="K233" s="567">
        <v>0</v>
      </c>
      <c r="L233" s="568">
        <f t="shared" si="251"/>
        <v>0</v>
      </c>
      <c r="M233" s="567">
        <v>0</v>
      </c>
      <c r="N233" s="567">
        <v>0</v>
      </c>
      <c r="O233" s="567">
        <v>6.3529999999999998</v>
      </c>
      <c r="P233" s="567">
        <v>6.4</v>
      </c>
      <c r="Q233" s="561">
        <f t="shared" si="252"/>
        <v>6.4</v>
      </c>
      <c r="R233" s="569">
        <f>5.759</f>
        <v>5.7590000000000003</v>
      </c>
      <c r="S233" s="569">
        <v>2.0870000000000002</v>
      </c>
      <c r="T233" s="569">
        <v>2.4769999999999999</v>
      </c>
      <c r="U233" s="569">
        <v>1.609</v>
      </c>
      <c r="V233" s="561">
        <f t="shared" si="253"/>
        <v>1.609</v>
      </c>
      <c r="W233" s="569">
        <v>0.222</v>
      </c>
      <c r="X233" s="570">
        <v>1.4810000000000001</v>
      </c>
      <c r="Y233" s="570">
        <v>1.3819999999999999</v>
      </c>
      <c r="Z233" s="569">
        <v>1.3819999999999999</v>
      </c>
      <c r="AA233" s="561">
        <f t="shared" si="254"/>
        <v>1.3819999999999999</v>
      </c>
      <c r="AB233" s="570">
        <v>1.3819999999999999</v>
      </c>
      <c r="AC233" s="569">
        <v>2.7480000000000002</v>
      </c>
      <c r="AD233" s="569">
        <v>5.242</v>
      </c>
      <c r="AE233" s="569">
        <v>7.5570000000000004</v>
      </c>
      <c r="AF233" s="561">
        <f t="shared" si="255"/>
        <v>7.5570000000000004</v>
      </c>
      <c r="AG233" s="569">
        <v>9.1809999999999992</v>
      </c>
      <c r="AH233" s="587">
        <v>9.9909999999999997</v>
      </c>
      <c r="AI233" s="569">
        <v>13.25</v>
      </c>
      <c r="AJ233" s="569">
        <v>13.94</v>
      </c>
      <c r="AK233" s="561">
        <f t="shared" si="256"/>
        <v>13.94</v>
      </c>
      <c r="AL233" s="569">
        <v>18.651</v>
      </c>
      <c r="AM233" s="569">
        <v>20.103999999999999</v>
      </c>
      <c r="AN233" s="1194">
        <v>16.795999999999999</v>
      </c>
      <c r="AO233" s="587">
        <v>13.718999999999999</v>
      </c>
      <c r="AP233" s="561">
        <f t="shared" si="257"/>
        <v>13.718999999999999</v>
      </c>
      <c r="AQ233" s="587">
        <f>11.034</f>
        <v>11.034000000000001</v>
      </c>
      <c r="AR233" s="587">
        <f>6.961</f>
        <v>6.9610000000000003</v>
      </c>
      <c r="AS233" s="587">
        <f>6.79</f>
        <v>6.79</v>
      </c>
      <c r="AT233" s="587">
        <v>5.9749999999999996</v>
      </c>
      <c r="AU233" s="561">
        <f t="shared" si="258"/>
        <v>5.9749999999999996</v>
      </c>
      <c r="AV233" s="571">
        <f>+AT233</f>
        <v>5.9749999999999996</v>
      </c>
      <c r="AW233" s="571">
        <f t="shared" si="262"/>
        <v>5.9749999999999996</v>
      </c>
      <c r="AX233" s="571">
        <f t="shared" si="262"/>
        <v>5.9749999999999996</v>
      </c>
      <c r="AY233" s="571">
        <f t="shared" si="262"/>
        <v>5.9749999999999996</v>
      </c>
      <c r="AZ233" s="561">
        <f t="shared" si="259"/>
        <v>5.9749999999999996</v>
      </c>
      <c r="BA233" s="571">
        <f>+AY233</f>
        <v>5.9749999999999996</v>
      </c>
      <c r="BB233" s="571">
        <f t="shared" si="263"/>
        <v>5.9749999999999996</v>
      </c>
      <c r="BC233" s="571">
        <f t="shared" si="263"/>
        <v>5.9749999999999996</v>
      </c>
      <c r="BD233" s="571">
        <f t="shared" si="263"/>
        <v>5.9749999999999996</v>
      </c>
      <c r="BE233" s="561">
        <f t="shared" si="260"/>
        <v>5.9749999999999996</v>
      </c>
      <c r="BF233" s="571">
        <f>+BD233</f>
        <v>5.9749999999999996</v>
      </c>
      <c r="BG233" s="571">
        <f t="shared" si="264"/>
        <v>5.9749999999999996</v>
      </c>
      <c r="BH233" s="571">
        <f t="shared" si="264"/>
        <v>5.9749999999999996</v>
      </c>
      <c r="BI233" s="571">
        <f t="shared" si="264"/>
        <v>5.9749999999999996</v>
      </c>
      <c r="BJ233" s="561">
        <f t="shared" si="261"/>
        <v>5.9749999999999996</v>
      </c>
      <c r="BK233" s="473"/>
      <c r="BL233" s="473"/>
      <c r="BM233" s="473"/>
      <c r="BN233" s="473"/>
      <c r="BO233" s="473"/>
      <c r="BP233" s="473"/>
      <c r="BQ233" s="586"/>
      <c r="BR233" s="511"/>
      <c r="BS233" s="558"/>
      <c r="BZ233" s="558"/>
      <c r="CA233" s="558"/>
      <c r="CB233" s="558"/>
    </row>
    <row r="234" spans="1:80" ht="13.5" customHeight="1">
      <c r="A234" s="108"/>
      <c r="B234" s="588" t="s">
        <v>233</v>
      </c>
      <c r="C234" s="589"/>
      <c r="D234" s="589"/>
      <c r="E234" s="589"/>
      <c r="F234" s="589"/>
      <c r="G234" s="590">
        <f>SUM(G224:G233)</f>
        <v>260.202</v>
      </c>
      <c r="H234" s="589"/>
      <c r="I234" s="589"/>
      <c r="J234" s="589"/>
      <c r="K234" s="589">
        <f t="shared" ref="K234:AZ234" si="280">SUM(K224:K233)</f>
        <v>424.827</v>
      </c>
      <c r="L234" s="590">
        <f t="shared" si="280"/>
        <v>424.827</v>
      </c>
      <c r="M234" s="589">
        <f t="shared" si="280"/>
        <v>370.3</v>
      </c>
      <c r="N234" s="589">
        <f t="shared" si="280"/>
        <v>374.65800000000002</v>
      </c>
      <c r="O234" s="591">
        <f t="shared" si="280"/>
        <v>418.31799999999998</v>
      </c>
      <c r="P234" s="591">
        <f t="shared" si="280"/>
        <v>440.71999999999997</v>
      </c>
      <c r="Q234" s="590">
        <f t="shared" si="280"/>
        <v>440.71999999999997</v>
      </c>
      <c r="R234" s="591">
        <f t="shared" si="280"/>
        <v>408.82500000000005</v>
      </c>
      <c r="S234" s="591">
        <f t="shared" si="280"/>
        <v>533.20299999999986</v>
      </c>
      <c r="T234" s="591">
        <f t="shared" si="280"/>
        <v>532.39599999999996</v>
      </c>
      <c r="U234" s="591">
        <f t="shared" si="280"/>
        <v>869.46799999999996</v>
      </c>
      <c r="V234" s="590">
        <f t="shared" si="280"/>
        <v>869.46799999999996</v>
      </c>
      <c r="W234" s="591">
        <f t="shared" si="280"/>
        <v>635.15499999999997</v>
      </c>
      <c r="X234" s="591">
        <f t="shared" si="280"/>
        <v>670.1160000000001</v>
      </c>
      <c r="Y234" s="592">
        <f t="shared" si="280"/>
        <v>955.31799999999998</v>
      </c>
      <c r="Z234" s="591">
        <f t="shared" si="280"/>
        <v>685.31299999999999</v>
      </c>
      <c r="AA234" s="590">
        <f t="shared" si="280"/>
        <v>685.31299999999999</v>
      </c>
      <c r="AB234" s="592">
        <f t="shared" si="280"/>
        <v>1064.8890000000001</v>
      </c>
      <c r="AC234" s="591">
        <f t="shared" si="280"/>
        <v>1189.327</v>
      </c>
      <c r="AD234" s="591">
        <f t="shared" si="280"/>
        <v>860.053</v>
      </c>
      <c r="AE234" s="591">
        <f t="shared" si="280"/>
        <v>963.33299999999997</v>
      </c>
      <c r="AF234" s="590">
        <f t="shared" si="280"/>
        <v>963.33299999999997</v>
      </c>
      <c r="AG234" s="591">
        <f t="shared" si="280"/>
        <v>942.14299999999992</v>
      </c>
      <c r="AH234" s="593">
        <f t="shared" si="280"/>
        <v>1036.2009999999998</v>
      </c>
      <c r="AI234" s="591">
        <f>SUM(AI224:AI233)</f>
        <v>1061.1889999999999</v>
      </c>
      <c r="AJ234" s="591">
        <f t="shared" si="280"/>
        <v>1295.3790000000001</v>
      </c>
      <c r="AK234" s="590">
        <f t="shared" si="280"/>
        <v>1295.3790000000001</v>
      </c>
      <c r="AL234" s="591">
        <f t="shared" si="280"/>
        <v>1204.615</v>
      </c>
      <c r="AM234" s="591">
        <f t="shared" si="280"/>
        <v>1265.4360000000001</v>
      </c>
      <c r="AN234" s="591">
        <f t="shared" si="280"/>
        <v>1411.2770000000003</v>
      </c>
      <c r="AO234" s="591">
        <f t="shared" si="280"/>
        <v>1689.0119999999999</v>
      </c>
      <c r="AP234" s="590">
        <f t="shared" si="280"/>
        <v>1689.0119999999999</v>
      </c>
      <c r="AQ234" s="591">
        <f t="shared" si="280"/>
        <v>1666.3549999999998</v>
      </c>
      <c r="AR234" s="591">
        <f>SUM(AR224:AR233)</f>
        <v>1799.4950000000001</v>
      </c>
      <c r="AS234" s="591">
        <f>SUM(AS224:AS233)</f>
        <v>1811.2059999999999</v>
      </c>
      <c r="AT234" s="591">
        <f t="shared" si="280"/>
        <v>1834.4580000000001</v>
      </c>
      <c r="AU234" s="590">
        <f t="shared" si="280"/>
        <v>1834.4580000000001</v>
      </c>
      <c r="AV234" s="591">
        <f t="shared" si="280"/>
        <v>2303.8489257180318</v>
      </c>
      <c r="AW234" s="591">
        <f t="shared" si="280"/>
        <v>2556.9740116250391</v>
      </c>
      <c r="AX234" s="591">
        <f t="shared" si="280"/>
        <v>2480.0570328038611</v>
      </c>
      <c r="AY234" s="591">
        <f t="shared" si="280"/>
        <v>2557.0725212558832</v>
      </c>
      <c r="AZ234" s="590">
        <f t="shared" si="280"/>
        <v>2557.0725212558832</v>
      </c>
      <c r="BA234" s="591">
        <f t="shared" ref="BA234:BJ234" si="281">SUM(BA224:BA233)</f>
        <v>2597.0340099168116</v>
      </c>
      <c r="BB234" s="591">
        <f t="shared" si="281"/>
        <v>2717.9975677339589</v>
      </c>
      <c r="BC234" s="591">
        <f t="shared" si="281"/>
        <v>2655.6350568329553</v>
      </c>
      <c r="BD234" s="591">
        <f t="shared" si="281"/>
        <v>2740.9588844770274</v>
      </c>
      <c r="BE234" s="590">
        <f t="shared" si="281"/>
        <v>2740.9588844770274</v>
      </c>
      <c r="BF234" s="591">
        <f t="shared" si="281"/>
        <v>2742.6152285273197</v>
      </c>
      <c r="BG234" s="591">
        <f t="shared" si="281"/>
        <v>2868.486220401795</v>
      </c>
      <c r="BH234" s="591">
        <f t="shared" si="281"/>
        <v>2794.8474328323632</v>
      </c>
      <c r="BI234" s="591">
        <f t="shared" si="281"/>
        <v>2887.9009834102012</v>
      </c>
      <c r="BJ234" s="590">
        <f t="shared" si="281"/>
        <v>2887.9009834102012</v>
      </c>
      <c r="BK234" s="473"/>
      <c r="BL234" s="473"/>
      <c r="BM234" s="473"/>
      <c r="BN234" s="473"/>
      <c r="BO234" s="473"/>
      <c r="BP234" s="473"/>
      <c r="BQ234" s="125"/>
      <c r="BR234" s="511"/>
      <c r="BS234" s="108"/>
      <c r="BZ234" s="108"/>
      <c r="CA234" s="108"/>
      <c r="CB234" s="108"/>
    </row>
    <row r="235" spans="1:80" ht="13.5" customHeight="1">
      <c r="A235" s="558"/>
      <c r="B235" s="559" t="s">
        <v>234</v>
      </c>
      <c r="C235" s="560"/>
      <c r="D235" s="560"/>
      <c r="E235" s="560"/>
      <c r="F235" s="560"/>
      <c r="G235" s="561">
        <v>1218.75</v>
      </c>
      <c r="H235" s="560"/>
      <c r="I235" s="560"/>
      <c r="J235" s="562"/>
      <c r="K235" s="560">
        <v>377.43700000000001</v>
      </c>
      <c r="L235" s="561">
        <f t="shared" ref="L235:L240" si="282">K235</f>
        <v>377.43700000000001</v>
      </c>
      <c r="M235" s="560">
        <v>0</v>
      </c>
      <c r="N235" s="560">
        <v>375.94600000000003</v>
      </c>
      <c r="O235" s="560">
        <v>374.54300000000001</v>
      </c>
      <c r="P235" s="560">
        <v>373.59199999999998</v>
      </c>
      <c r="Q235" s="561">
        <f t="shared" ref="Q235:Q240" si="283">+P235</f>
        <v>373.59199999999998</v>
      </c>
      <c r="R235" s="1193">
        <v>304</v>
      </c>
      <c r="S235" s="1193">
        <v>300</v>
      </c>
      <c r="T235" s="1193">
        <v>296</v>
      </c>
      <c r="U235" s="1193">
        <v>292</v>
      </c>
      <c r="V235" s="561">
        <f t="shared" ref="V235:V240" si="284">+U235</f>
        <v>292</v>
      </c>
      <c r="W235" s="1193">
        <v>288</v>
      </c>
      <c r="X235" s="1193">
        <v>334.80399999999997</v>
      </c>
      <c r="Y235" s="1193">
        <v>330.39800000000002</v>
      </c>
      <c r="Z235" s="1193">
        <v>325.99299999999999</v>
      </c>
      <c r="AA235" s="561">
        <f t="shared" ref="AA235:AA240" si="285">+Z235</f>
        <v>325.99299999999999</v>
      </c>
      <c r="AB235" s="1193">
        <v>321.58800000000002</v>
      </c>
      <c r="AC235" s="1193">
        <v>196.69800000000001</v>
      </c>
      <c r="AD235" s="1193">
        <v>194.10900000000001</v>
      </c>
      <c r="AE235" s="1193">
        <v>191.52099999999999</v>
      </c>
      <c r="AF235" s="561">
        <f t="shared" ref="AF235:AF240" si="286">+AE235</f>
        <v>191.52099999999999</v>
      </c>
      <c r="AG235" s="1193">
        <v>188.93299999999999</v>
      </c>
      <c r="AH235" s="1193">
        <v>186.345</v>
      </c>
      <c r="AI235" s="1193">
        <v>183.75700000000001</v>
      </c>
      <c r="AJ235" s="1193">
        <v>181.16900000000001</v>
      </c>
      <c r="AK235" s="561">
        <f t="shared" ref="AK235:AK240" si="287">+AJ235</f>
        <v>181.16900000000001</v>
      </c>
      <c r="AL235" s="1193">
        <v>178.58099999999999</v>
      </c>
      <c r="AM235" s="1193">
        <v>175.99299999999999</v>
      </c>
      <c r="AN235" s="1193">
        <v>177.77799999999999</v>
      </c>
      <c r="AO235" s="1193">
        <v>143.577</v>
      </c>
      <c r="AP235" s="561">
        <f t="shared" ref="AP235:AP240" si="288">+AO235</f>
        <v>143.577</v>
      </c>
      <c r="AQ235" s="1193">
        <v>141.68799999999999</v>
      </c>
      <c r="AR235" s="585">
        <v>171.89699999999999</v>
      </c>
      <c r="AS235" s="585">
        <v>170.09700000000001</v>
      </c>
      <c r="AT235" s="585">
        <v>0</v>
      </c>
      <c r="AU235" s="561">
        <f t="shared" ref="AU235:AU240" si="289">+AT235</f>
        <v>0</v>
      </c>
      <c r="AV235" s="565">
        <f>+AT235</f>
        <v>0</v>
      </c>
      <c r="AW235" s="565">
        <f>+AV235</f>
        <v>0</v>
      </c>
      <c r="AX235" s="565">
        <f>+AW235</f>
        <v>0</v>
      </c>
      <c r="AY235" s="565">
        <f>+AX235</f>
        <v>0</v>
      </c>
      <c r="AZ235" s="561">
        <f>+AY235</f>
        <v>0</v>
      </c>
      <c r="BA235" s="565">
        <f>+AY235</f>
        <v>0</v>
      </c>
      <c r="BB235" s="565">
        <f>+BA235</f>
        <v>0</v>
      </c>
      <c r="BC235" s="565">
        <f>+BB235</f>
        <v>0</v>
      </c>
      <c r="BD235" s="565">
        <f>+BC235</f>
        <v>0</v>
      </c>
      <c r="BE235" s="561">
        <f>+BD235</f>
        <v>0</v>
      </c>
      <c r="BF235" s="565">
        <f>+BD235</f>
        <v>0</v>
      </c>
      <c r="BG235" s="565">
        <f>+BF235</f>
        <v>0</v>
      </c>
      <c r="BH235" s="565">
        <f>+BG235</f>
        <v>0</v>
      </c>
      <c r="BI235" s="565">
        <f>+BH235</f>
        <v>0</v>
      </c>
      <c r="BJ235" s="561">
        <f>+BI235</f>
        <v>0</v>
      </c>
      <c r="BK235" s="473"/>
      <c r="BL235" s="473"/>
      <c r="BM235" s="473"/>
      <c r="BN235" s="473"/>
      <c r="BO235" s="473"/>
      <c r="BP235" s="473"/>
      <c r="BQ235" s="586"/>
      <c r="BR235" s="511"/>
      <c r="BS235" s="558"/>
      <c r="BZ235" s="558"/>
      <c r="CA235" s="558"/>
      <c r="CB235" s="558"/>
    </row>
    <row r="236" spans="1:80" ht="13.5" customHeight="1">
      <c r="A236" s="558"/>
      <c r="B236" s="559" t="s">
        <v>235</v>
      </c>
      <c r="C236" s="560"/>
      <c r="D236" s="560"/>
      <c r="E236" s="560"/>
      <c r="F236" s="560"/>
      <c r="G236" s="561">
        <v>0</v>
      </c>
      <c r="H236" s="560"/>
      <c r="I236" s="560"/>
      <c r="J236" s="562"/>
      <c r="K236" s="560">
        <v>1363.09</v>
      </c>
      <c r="L236" s="561">
        <f t="shared" si="282"/>
        <v>1363.09</v>
      </c>
      <c r="M236" s="560">
        <f>1737.4</f>
        <v>1737.4</v>
      </c>
      <c r="N236" s="560">
        <f>1358.9</f>
        <v>1358.9</v>
      </c>
      <c r="O236" s="560">
        <f>1367.291</f>
        <v>1367.2909999999999</v>
      </c>
      <c r="P236" s="560">
        <v>1364.9059999999999</v>
      </c>
      <c r="Q236" s="561">
        <f t="shared" si="283"/>
        <v>1364.9059999999999</v>
      </c>
      <c r="R236" s="562">
        <v>898.21699999999998</v>
      </c>
      <c r="S236" s="562">
        <v>889.35500000000002</v>
      </c>
      <c r="T236" s="562">
        <v>880.48</v>
      </c>
      <c r="U236" s="562">
        <v>871.60500000000002</v>
      </c>
      <c r="V236" s="561">
        <f t="shared" si="284"/>
        <v>871.60500000000002</v>
      </c>
      <c r="W236" s="562">
        <v>862.73</v>
      </c>
      <c r="X236" s="563">
        <v>1429.82</v>
      </c>
      <c r="Y236" s="563">
        <v>1411.326</v>
      </c>
      <c r="Z236" s="562">
        <v>1392.7570000000001</v>
      </c>
      <c r="AA236" s="561">
        <f t="shared" si="285"/>
        <v>1392.7570000000001</v>
      </c>
      <c r="AB236" s="563">
        <v>1374.1869999999999</v>
      </c>
      <c r="AC236" s="562">
        <v>3138.0439999999999</v>
      </c>
      <c r="AD236" s="562">
        <v>3111.88</v>
      </c>
      <c r="AE236" s="562">
        <v>3085.7159999999999</v>
      </c>
      <c r="AF236" s="561">
        <f t="shared" si="286"/>
        <v>3085.7159999999999</v>
      </c>
      <c r="AG236" s="562">
        <v>2860.3589999999999</v>
      </c>
      <c r="AH236" s="585">
        <v>2834.1350000000002</v>
      </c>
      <c r="AI236" s="562">
        <v>2807.9110000000001</v>
      </c>
      <c r="AJ236" s="562">
        <v>2762.4690000000001</v>
      </c>
      <c r="AK236" s="561">
        <f t="shared" si="287"/>
        <v>2762.4690000000001</v>
      </c>
      <c r="AL236" s="562">
        <v>2737.5230000000001</v>
      </c>
      <c r="AM236" s="1193">
        <v>2712.6320000000001</v>
      </c>
      <c r="AN236" s="1193">
        <v>2697.9650000000001</v>
      </c>
      <c r="AO236" s="585">
        <v>2946.0259999999998</v>
      </c>
      <c r="AP236" s="561">
        <f t="shared" si="288"/>
        <v>2946.0259999999998</v>
      </c>
      <c r="AQ236" s="562">
        <v>2916.2890000000002</v>
      </c>
      <c r="AR236" s="585">
        <v>3212.4540000000002</v>
      </c>
      <c r="AS236" s="585">
        <v>4421.5219999999999</v>
      </c>
      <c r="AT236" s="585">
        <v>5586.348</v>
      </c>
      <c r="AU236" s="561">
        <f t="shared" si="289"/>
        <v>5586.348</v>
      </c>
      <c r="AV236" s="562">
        <f>+AT236+AV178+AV179</f>
        <v>8436.348</v>
      </c>
      <c r="AW236" s="562">
        <f>+AV236+AW178+AW179</f>
        <v>8436.348</v>
      </c>
      <c r="AX236" s="562">
        <f>+AW236+AX178+AX179</f>
        <v>8436.348</v>
      </c>
      <c r="AY236" s="562">
        <f>+AX236+AY178+AY179</f>
        <v>8436.348</v>
      </c>
      <c r="AZ236" s="561">
        <f>+AY236</f>
        <v>8436.348</v>
      </c>
      <c r="BA236" s="562">
        <f>+AY236+BA178+BA179</f>
        <v>8336.348</v>
      </c>
      <c r="BB236" s="562">
        <f>+BA236+BB178+BB179</f>
        <v>8236.348</v>
      </c>
      <c r="BC236" s="562">
        <f>+BB236+BC178+BC179</f>
        <v>8136.348</v>
      </c>
      <c r="BD236" s="562">
        <f>+BC236+BD178+BD179</f>
        <v>8036.348</v>
      </c>
      <c r="BE236" s="561">
        <f>+BD236</f>
        <v>8036.348</v>
      </c>
      <c r="BF236" s="562">
        <f>+BD236+BF178+BF179</f>
        <v>8036.348</v>
      </c>
      <c r="BG236" s="562">
        <f>+BF236+BG178+BG179</f>
        <v>8036.348</v>
      </c>
      <c r="BH236" s="562">
        <f>+BG236+BH178+BH179</f>
        <v>8036.348</v>
      </c>
      <c r="BI236" s="562">
        <f>+BH236+BI178+BI179</f>
        <v>8036.348</v>
      </c>
      <c r="BJ236" s="561">
        <f>+BI236</f>
        <v>8036.348</v>
      </c>
      <c r="BK236" s="473"/>
      <c r="BL236" s="473"/>
      <c r="BM236" s="473"/>
      <c r="BN236" s="473"/>
      <c r="BO236" s="473"/>
      <c r="BP236" s="473"/>
      <c r="BQ236" s="586"/>
      <c r="BR236" s="511"/>
      <c r="BS236" s="558"/>
      <c r="BZ236" s="558"/>
      <c r="CA236" s="558"/>
      <c r="CB236" s="558"/>
    </row>
    <row r="237" spans="1:80" ht="13.5" customHeight="1">
      <c r="A237" s="558"/>
      <c r="B237" s="559" t="s">
        <v>236</v>
      </c>
      <c r="C237" s="560"/>
      <c r="D237" s="560"/>
      <c r="E237" s="560"/>
      <c r="F237" s="560"/>
      <c r="G237" s="561">
        <v>0</v>
      </c>
      <c r="H237" s="560"/>
      <c r="I237" s="560"/>
      <c r="J237" s="562"/>
      <c r="K237" s="560">
        <v>0</v>
      </c>
      <c r="L237" s="561">
        <f t="shared" si="282"/>
        <v>0</v>
      </c>
      <c r="M237" s="560">
        <v>0</v>
      </c>
      <c r="N237" s="560">
        <v>0</v>
      </c>
      <c r="O237" s="560">
        <v>0</v>
      </c>
      <c r="P237" s="560">
        <v>0</v>
      </c>
      <c r="Q237" s="561">
        <f t="shared" si="283"/>
        <v>0</v>
      </c>
      <c r="R237" s="562">
        <v>333</v>
      </c>
      <c r="S237" s="562">
        <v>333</v>
      </c>
      <c r="T237" s="562">
        <v>333</v>
      </c>
      <c r="U237" s="562">
        <v>484.7</v>
      </c>
      <c r="V237" s="561">
        <f t="shared" si="284"/>
        <v>484.7</v>
      </c>
      <c r="W237" s="562">
        <v>453.10500000000002</v>
      </c>
      <c r="X237" s="563">
        <v>694.90499999999997</v>
      </c>
      <c r="Y237" s="563">
        <v>782.005</v>
      </c>
      <c r="Z237" s="562">
        <v>551.06100000000004</v>
      </c>
      <c r="AA237" s="561">
        <f t="shared" si="285"/>
        <v>551.06100000000004</v>
      </c>
      <c r="AB237" s="563">
        <v>528.41200000000003</v>
      </c>
      <c r="AC237" s="562">
        <f>638.969+137.12</f>
        <v>776.08900000000006</v>
      </c>
      <c r="AD237" s="562">
        <f>637.766+144.793</f>
        <v>782.55899999999997</v>
      </c>
      <c r="AE237" s="562">
        <f>597.273+152.42</f>
        <v>749.69299999999998</v>
      </c>
      <c r="AF237" s="561">
        <f t="shared" si="286"/>
        <v>749.69299999999998</v>
      </c>
      <c r="AG237" s="562">
        <f>563.607+138.615</f>
        <v>702.22199999999998</v>
      </c>
      <c r="AH237" s="585">
        <f>563.607+201.63</f>
        <v>765.23699999999997</v>
      </c>
      <c r="AI237" s="562">
        <f>563.591+122.267</f>
        <v>685.85799999999995</v>
      </c>
      <c r="AJ237" s="562">
        <f>801.829+126.98</f>
        <v>928.80899999999997</v>
      </c>
      <c r="AK237" s="561">
        <f t="shared" si="287"/>
        <v>928.80899999999997</v>
      </c>
      <c r="AL237" s="562">
        <f>766.168+112.731</f>
        <v>878.899</v>
      </c>
      <c r="AM237" s="1193">
        <f>766.17+78.551</f>
        <v>844.721</v>
      </c>
      <c r="AN237" s="1193">
        <f>317.215+82.468</f>
        <v>399.68299999999999</v>
      </c>
      <c r="AO237" s="585">
        <f>451.318+86.64</f>
        <v>537.95799999999997</v>
      </c>
      <c r="AP237" s="561">
        <f t="shared" si="288"/>
        <v>537.95799999999997</v>
      </c>
      <c r="AQ237" s="585">
        <f>347.131+74.99</f>
        <v>422.12099999999998</v>
      </c>
      <c r="AR237" s="585">
        <f>288.03+39.895</f>
        <v>327.92499999999995</v>
      </c>
      <c r="AS237" s="585">
        <f>876.434+42.51</f>
        <v>918.94399999999996</v>
      </c>
      <c r="AT237" s="585">
        <f>489.78+45.247</f>
        <v>535.02699999999993</v>
      </c>
      <c r="AU237" s="561">
        <f t="shared" si="289"/>
        <v>535.02699999999993</v>
      </c>
      <c r="AV237" s="1193">
        <f>+AT237+AV183+AV184</f>
        <v>535.02699999999993</v>
      </c>
      <c r="AW237" s="1193">
        <f t="shared" ref="AW237:BI237" si="290">+AV237+AW183+AW184</f>
        <v>535.02699999999993</v>
      </c>
      <c r="AX237" s="1193">
        <f t="shared" si="290"/>
        <v>535.02699999999993</v>
      </c>
      <c r="AY237" s="1193">
        <f t="shared" si="290"/>
        <v>535.02699999999993</v>
      </c>
      <c r="AZ237" s="561">
        <f>+AY237</f>
        <v>535.02699999999993</v>
      </c>
      <c r="BA237" s="1193">
        <f>+AY237+BA183+BA184</f>
        <v>535.02699999999993</v>
      </c>
      <c r="BB237" s="1193">
        <f t="shared" si="290"/>
        <v>535.02699999999993</v>
      </c>
      <c r="BC237" s="1193">
        <f t="shared" si="290"/>
        <v>535.02699999999993</v>
      </c>
      <c r="BD237" s="1193">
        <f t="shared" si="290"/>
        <v>535.02699999999993</v>
      </c>
      <c r="BE237" s="561">
        <f>+BD237</f>
        <v>535.02699999999993</v>
      </c>
      <c r="BF237" s="1193">
        <f>+BD237+BF183+BF184</f>
        <v>535.02699999999993</v>
      </c>
      <c r="BG237" s="1193">
        <f t="shared" si="290"/>
        <v>535.02699999999993</v>
      </c>
      <c r="BH237" s="1193">
        <f t="shared" si="290"/>
        <v>535.02699999999993</v>
      </c>
      <c r="BI237" s="1193">
        <f t="shared" si="290"/>
        <v>535.02699999999993</v>
      </c>
      <c r="BJ237" s="561">
        <f>+BI237</f>
        <v>535.02699999999993</v>
      </c>
      <c r="BK237" s="473"/>
      <c r="BL237" s="473"/>
      <c r="BM237" s="473"/>
      <c r="BN237" s="473"/>
      <c r="BO237" s="473"/>
      <c r="BP237" s="473"/>
      <c r="BQ237" s="586"/>
      <c r="BR237" s="511"/>
      <c r="BS237" s="558"/>
      <c r="BZ237" s="558"/>
      <c r="CA237" s="558"/>
      <c r="CB237" s="558"/>
    </row>
    <row r="238" spans="1:80" ht="13.5" customHeight="1">
      <c r="A238" s="558"/>
      <c r="B238" s="559" t="s">
        <v>237</v>
      </c>
      <c r="C238" s="560"/>
      <c r="D238" s="560"/>
      <c r="E238" s="560"/>
      <c r="F238" s="560"/>
      <c r="G238" s="561">
        <v>0</v>
      </c>
      <c r="H238" s="560"/>
      <c r="I238" s="560"/>
      <c r="J238" s="562"/>
      <c r="K238" s="560">
        <v>0</v>
      </c>
      <c r="L238" s="561">
        <f t="shared" si="282"/>
        <v>0</v>
      </c>
      <c r="M238" s="560">
        <v>6</v>
      </c>
      <c r="N238" s="560">
        <v>5.0789999999999997</v>
      </c>
      <c r="O238" s="560">
        <v>13.448</v>
      </c>
      <c r="P238" s="560">
        <v>12.321999999999999</v>
      </c>
      <c r="Q238" s="561">
        <f t="shared" si="283"/>
        <v>12.321999999999999</v>
      </c>
      <c r="R238" s="562">
        <v>11.151999999999999</v>
      </c>
      <c r="S238" s="562">
        <v>9.9849999999999994</v>
      </c>
      <c r="T238" s="562">
        <v>9.5519999999999996</v>
      </c>
      <c r="U238" s="562">
        <v>8.2750000000000004</v>
      </c>
      <c r="V238" s="561">
        <f t="shared" si="284"/>
        <v>8.2750000000000004</v>
      </c>
      <c r="W238" s="562">
        <v>7.6109999999999998</v>
      </c>
      <c r="X238" s="563">
        <v>14.403</v>
      </c>
      <c r="Y238" s="563">
        <v>12.851000000000001</v>
      </c>
      <c r="Z238" s="562">
        <v>12.044</v>
      </c>
      <c r="AA238" s="561">
        <f t="shared" si="285"/>
        <v>12.044</v>
      </c>
      <c r="AB238" s="563">
        <v>10.855</v>
      </c>
      <c r="AC238" s="562">
        <v>19.236999999999998</v>
      </c>
      <c r="AD238" s="562">
        <v>17.013000000000002</v>
      </c>
      <c r="AE238" s="562">
        <v>14.779</v>
      </c>
      <c r="AF238" s="561">
        <f t="shared" si="286"/>
        <v>14.779</v>
      </c>
      <c r="AG238" s="562">
        <v>12.532999999999999</v>
      </c>
      <c r="AH238" s="585">
        <v>36.296999999999997</v>
      </c>
      <c r="AI238" s="562">
        <v>23.271000000000001</v>
      </c>
      <c r="AJ238" s="562">
        <v>21.800999999999998</v>
      </c>
      <c r="AK238" s="561">
        <f t="shared" si="287"/>
        <v>21.800999999999998</v>
      </c>
      <c r="AL238" s="562">
        <v>19.673999999999999</v>
      </c>
      <c r="AM238" s="1193">
        <v>17.536000000000001</v>
      </c>
      <c r="AN238" s="1193">
        <v>15.385</v>
      </c>
      <c r="AO238" s="585">
        <v>13.223000000000001</v>
      </c>
      <c r="AP238" s="561">
        <f t="shared" si="288"/>
        <v>13.223000000000001</v>
      </c>
      <c r="AQ238" s="585">
        <v>11.048999999999999</v>
      </c>
      <c r="AR238" s="585">
        <v>8.8629999999999995</v>
      </c>
      <c r="AS238" s="585">
        <v>6.6660000000000004</v>
      </c>
      <c r="AT238" s="585">
        <v>4.4560000000000004</v>
      </c>
      <c r="AU238" s="561">
        <f t="shared" si="289"/>
        <v>4.4560000000000004</v>
      </c>
      <c r="AV238" s="565">
        <f>+AT238</f>
        <v>4.4560000000000004</v>
      </c>
      <c r="AW238" s="565">
        <f t="shared" ref="AW238:AY240" si="291">+AV238</f>
        <v>4.4560000000000004</v>
      </c>
      <c r="AX238" s="565">
        <f t="shared" si="291"/>
        <v>4.4560000000000004</v>
      </c>
      <c r="AY238" s="565">
        <f t="shared" si="291"/>
        <v>4.4560000000000004</v>
      </c>
      <c r="AZ238" s="561">
        <f>+AY238</f>
        <v>4.4560000000000004</v>
      </c>
      <c r="BA238" s="565">
        <f>+AY238</f>
        <v>4.4560000000000004</v>
      </c>
      <c r="BB238" s="565">
        <f t="shared" ref="BB238:BD240" si="292">+BA238</f>
        <v>4.4560000000000004</v>
      </c>
      <c r="BC238" s="565">
        <f t="shared" si="292"/>
        <v>4.4560000000000004</v>
      </c>
      <c r="BD238" s="565">
        <f t="shared" si="292"/>
        <v>4.4560000000000004</v>
      </c>
      <c r="BE238" s="561">
        <f>+BD238</f>
        <v>4.4560000000000004</v>
      </c>
      <c r="BF238" s="565">
        <f>+BD238</f>
        <v>4.4560000000000004</v>
      </c>
      <c r="BG238" s="565">
        <f t="shared" ref="BG238:BI240" si="293">+BF238</f>
        <v>4.4560000000000004</v>
      </c>
      <c r="BH238" s="565">
        <f t="shared" si="293"/>
        <v>4.4560000000000004</v>
      </c>
      <c r="BI238" s="565">
        <f t="shared" si="293"/>
        <v>4.4560000000000004</v>
      </c>
      <c r="BJ238" s="561">
        <f>+BI238</f>
        <v>4.4560000000000004</v>
      </c>
      <c r="BK238" s="473"/>
      <c r="BL238" s="473"/>
      <c r="BM238" s="473"/>
      <c r="BN238" s="473"/>
      <c r="BO238" s="473"/>
      <c r="BP238" s="473"/>
      <c r="BQ238" s="586"/>
      <c r="BR238" s="511"/>
      <c r="BS238" s="558"/>
      <c r="BZ238" s="558"/>
      <c r="CA238" s="558"/>
      <c r="CB238" s="558"/>
    </row>
    <row r="239" spans="1:80" ht="13.5" customHeight="1">
      <c r="A239" s="558"/>
      <c r="B239" s="559" t="s">
        <v>174</v>
      </c>
      <c r="C239" s="560"/>
      <c r="D239" s="560"/>
      <c r="E239" s="560"/>
      <c r="F239" s="560"/>
      <c r="G239" s="561">
        <v>17.131</v>
      </c>
      <c r="H239" s="560"/>
      <c r="I239" s="560"/>
      <c r="J239" s="562"/>
      <c r="K239" s="560">
        <v>4.0430000000000001</v>
      </c>
      <c r="L239" s="561">
        <f t="shared" si="282"/>
        <v>4.0430000000000001</v>
      </c>
      <c r="M239" s="560">
        <v>4.7</v>
      </c>
      <c r="N239" s="560">
        <v>4.0430000000000001</v>
      </c>
      <c r="O239" s="560">
        <v>1.788</v>
      </c>
      <c r="P239" s="560">
        <v>9.2629999999999999</v>
      </c>
      <c r="Q239" s="561">
        <f t="shared" si="283"/>
        <v>9.2629999999999999</v>
      </c>
      <c r="R239" s="562">
        <v>9.2629999999999999</v>
      </c>
      <c r="S239" s="562">
        <v>9.2629999999999999</v>
      </c>
      <c r="T239" s="562">
        <v>9.2629999999999999</v>
      </c>
      <c r="U239" s="562">
        <v>8.2070000000000007</v>
      </c>
      <c r="V239" s="561">
        <f t="shared" si="284"/>
        <v>8.2070000000000007</v>
      </c>
      <c r="W239" s="562">
        <v>8.2070000000000007</v>
      </c>
      <c r="X239" s="563">
        <v>10.506</v>
      </c>
      <c r="Y239" s="563">
        <v>22.135000000000002</v>
      </c>
      <c r="Z239" s="562">
        <v>37.963000000000001</v>
      </c>
      <c r="AA239" s="561">
        <f t="shared" si="285"/>
        <v>37.963000000000001</v>
      </c>
      <c r="AB239" s="563">
        <v>42.262999999999998</v>
      </c>
      <c r="AC239" s="562">
        <v>32.863</v>
      </c>
      <c r="AD239" s="562">
        <v>43.052999999999997</v>
      </c>
      <c r="AE239" s="562">
        <v>24.38</v>
      </c>
      <c r="AF239" s="561">
        <f t="shared" si="286"/>
        <v>24.38</v>
      </c>
      <c r="AG239" s="562">
        <v>31.98</v>
      </c>
      <c r="AH239" s="585">
        <v>9.9689999999999994</v>
      </c>
      <c r="AI239" s="562">
        <v>17.658000000000001</v>
      </c>
      <c r="AJ239" s="562">
        <v>15.836</v>
      </c>
      <c r="AK239" s="561">
        <f t="shared" si="287"/>
        <v>15.836</v>
      </c>
      <c r="AL239" s="562">
        <v>21.359000000000002</v>
      </c>
      <c r="AM239" s="1193">
        <v>26.658999999999999</v>
      </c>
      <c r="AN239" s="1193">
        <v>33.844999999999999</v>
      </c>
      <c r="AO239" s="585">
        <v>62.148000000000003</v>
      </c>
      <c r="AP239" s="561">
        <f t="shared" si="288"/>
        <v>62.148000000000003</v>
      </c>
      <c r="AQ239" s="585">
        <v>63.463000000000001</v>
      </c>
      <c r="AR239" s="585">
        <v>94.614999999999995</v>
      </c>
      <c r="AS239" s="585">
        <v>98.096999999999994</v>
      </c>
      <c r="AT239" s="585">
        <v>65.617000000000004</v>
      </c>
      <c r="AU239" s="561">
        <f t="shared" si="289"/>
        <v>65.617000000000004</v>
      </c>
      <c r="AV239" s="565">
        <f>+AT239</f>
        <v>65.617000000000004</v>
      </c>
      <c r="AW239" s="565">
        <f t="shared" si="291"/>
        <v>65.617000000000004</v>
      </c>
      <c r="AX239" s="565">
        <f t="shared" si="291"/>
        <v>65.617000000000004</v>
      </c>
      <c r="AY239" s="565">
        <f t="shared" si="291"/>
        <v>65.617000000000004</v>
      </c>
      <c r="AZ239" s="561">
        <f>+AY239</f>
        <v>65.617000000000004</v>
      </c>
      <c r="BA239" s="565">
        <f>+AY239</f>
        <v>65.617000000000004</v>
      </c>
      <c r="BB239" s="565">
        <f t="shared" si="292"/>
        <v>65.617000000000004</v>
      </c>
      <c r="BC239" s="565">
        <f t="shared" si="292"/>
        <v>65.617000000000004</v>
      </c>
      <c r="BD239" s="565">
        <f t="shared" si="292"/>
        <v>65.617000000000004</v>
      </c>
      <c r="BE239" s="561">
        <f>+BD239</f>
        <v>65.617000000000004</v>
      </c>
      <c r="BF239" s="565">
        <f>+BD239</f>
        <v>65.617000000000004</v>
      </c>
      <c r="BG239" s="565">
        <f t="shared" si="293"/>
        <v>65.617000000000004</v>
      </c>
      <c r="BH239" s="565">
        <f t="shared" si="293"/>
        <v>65.617000000000004</v>
      </c>
      <c r="BI239" s="565">
        <f t="shared" si="293"/>
        <v>65.617000000000004</v>
      </c>
      <c r="BJ239" s="561">
        <f>+BI239</f>
        <v>65.617000000000004</v>
      </c>
      <c r="BK239" s="473"/>
      <c r="BL239" s="473"/>
      <c r="BM239" s="473"/>
      <c r="BN239" s="473"/>
      <c r="BO239" s="473"/>
      <c r="BP239" s="473"/>
      <c r="BQ239" s="586"/>
      <c r="BR239" s="511"/>
      <c r="BS239" s="558"/>
      <c r="BZ239" s="558"/>
      <c r="CA239" s="558"/>
      <c r="CB239" s="558"/>
    </row>
    <row r="240" spans="1:80" ht="13.5" customHeight="1">
      <c r="A240" s="558"/>
      <c r="B240" s="559" t="s">
        <v>107</v>
      </c>
      <c r="C240" s="560"/>
      <c r="D240" s="560"/>
      <c r="E240" s="560"/>
      <c r="F240" s="560"/>
      <c r="G240" s="561">
        <v>3.2719999999999998</v>
      </c>
      <c r="H240" s="560"/>
      <c r="I240" s="560"/>
      <c r="J240" s="562"/>
      <c r="K240" s="560">
        <v>6.407</v>
      </c>
      <c r="L240" s="561">
        <f t="shared" si="282"/>
        <v>6.407</v>
      </c>
      <c r="M240" s="560">
        <v>5.0999999999999996</v>
      </c>
      <c r="N240" s="560">
        <v>15.484</v>
      </c>
      <c r="O240" s="560">
        <v>35.008000000000003</v>
      </c>
      <c r="P240" s="560">
        <v>33.186999999999998</v>
      </c>
      <c r="Q240" s="561">
        <f t="shared" si="283"/>
        <v>33.186999999999998</v>
      </c>
      <c r="R240" s="562">
        <f>2.006</f>
        <v>2.0059999999999998</v>
      </c>
      <c r="S240" s="562">
        <v>0.89100000000000001</v>
      </c>
      <c r="T240" s="562">
        <v>1.423</v>
      </c>
      <c r="U240" s="562">
        <v>1.0389999999999999</v>
      </c>
      <c r="V240" s="561">
        <f t="shared" si="284"/>
        <v>1.0389999999999999</v>
      </c>
      <c r="W240" s="562">
        <v>1.0389999999999999</v>
      </c>
      <c r="X240" s="563">
        <v>2.4180000000000001</v>
      </c>
      <c r="Y240" s="563">
        <v>4.0780000000000003</v>
      </c>
      <c r="Z240" s="562">
        <v>8.1</v>
      </c>
      <c r="AA240" s="561">
        <f t="shared" si="285"/>
        <v>8.1</v>
      </c>
      <c r="AB240" s="563">
        <v>7.6050000000000004</v>
      </c>
      <c r="AC240" s="562">
        <v>11.313000000000001</v>
      </c>
      <c r="AD240" s="562">
        <v>21.437000000000001</v>
      </c>
      <c r="AE240" s="562">
        <v>6.0750000000000002</v>
      </c>
      <c r="AF240" s="561">
        <f t="shared" si="286"/>
        <v>6.0750000000000002</v>
      </c>
      <c r="AG240" s="562">
        <v>14.94</v>
      </c>
      <c r="AH240" s="585">
        <v>38.268999999999998</v>
      </c>
      <c r="AI240" s="562">
        <v>41.585000000000001</v>
      </c>
      <c r="AJ240" s="562">
        <v>34.896999999999998</v>
      </c>
      <c r="AK240" s="561">
        <f t="shared" si="287"/>
        <v>34.896999999999998</v>
      </c>
      <c r="AL240" s="562">
        <v>36.435000000000002</v>
      </c>
      <c r="AM240" s="1193">
        <v>34.720999999999997</v>
      </c>
      <c r="AN240" s="1193">
        <v>41.037999999999997</v>
      </c>
      <c r="AO240" s="585">
        <v>44.774000000000001</v>
      </c>
      <c r="AP240" s="561">
        <f t="shared" si="288"/>
        <v>44.774000000000001</v>
      </c>
      <c r="AQ240" s="585">
        <v>54.344999999999999</v>
      </c>
      <c r="AR240" s="585">
        <v>49.106999999999999</v>
      </c>
      <c r="AS240" s="585">
        <v>46.296999999999997</v>
      </c>
      <c r="AT240" s="585">
        <v>40.412999999999997</v>
      </c>
      <c r="AU240" s="561">
        <f t="shared" si="289"/>
        <v>40.412999999999997</v>
      </c>
      <c r="AV240" s="565">
        <f>+AT240</f>
        <v>40.412999999999997</v>
      </c>
      <c r="AW240" s="565">
        <f t="shared" si="291"/>
        <v>40.412999999999997</v>
      </c>
      <c r="AX240" s="565">
        <f t="shared" si="291"/>
        <v>40.412999999999997</v>
      </c>
      <c r="AY240" s="565">
        <f t="shared" si="291"/>
        <v>40.412999999999997</v>
      </c>
      <c r="AZ240" s="561">
        <f>+AY240</f>
        <v>40.412999999999997</v>
      </c>
      <c r="BA240" s="565">
        <f>+AY240</f>
        <v>40.412999999999997</v>
      </c>
      <c r="BB240" s="565">
        <f t="shared" si="292"/>
        <v>40.412999999999997</v>
      </c>
      <c r="BC240" s="565">
        <f t="shared" si="292"/>
        <v>40.412999999999997</v>
      </c>
      <c r="BD240" s="565">
        <f t="shared" si="292"/>
        <v>40.412999999999997</v>
      </c>
      <c r="BE240" s="561">
        <f>+BD240</f>
        <v>40.412999999999997</v>
      </c>
      <c r="BF240" s="565">
        <f>+BD240</f>
        <v>40.412999999999997</v>
      </c>
      <c r="BG240" s="565">
        <f t="shared" si="293"/>
        <v>40.412999999999997</v>
      </c>
      <c r="BH240" s="565">
        <f t="shared" si="293"/>
        <v>40.412999999999997</v>
      </c>
      <c r="BI240" s="565">
        <f t="shared" si="293"/>
        <v>40.412999999999997</v>
      </c>
      <c r="BJ240" s="561">
        <f>+BI240</f>
        <v>40.412999999999997</v>
      </c>
      <c r="BK240" s="473"/>
      <c r="BL240" s="473"/>
      <c r="BM240" s="473"/>
      <c r="BN240" s="473"/>
      <c r="BO240" s="473"/>
      <c r="BP240" s="473"/>
      <c r="BQ240" s="586"/>
      <c r="BR240" s="511"/>
      <c r="BS240" s="558"/>
      <c r="BZ240" s="558"/>
      <c r="CA240" s="558"/>
      <c r="CB240" s="558"/>
    </row>
    <row r="241" spans="1:80" ht="13.5" customHeight="1">
      <c r="A241" s="108"/>
      <c r="B241" s="588" t="s">
        <v>41</v>
      </c>
      <c r="C241" s="589"/>
      <c r="D241" s="589"/>
      <c r="E241" s="589"/>
      <c r="F241" s="589"/>
      <c r="G241" s="590">
        <f>SUM(G234:G240)</f>
        <v>1499.355</v>
      </c>
      <c r="H241" s="589"/>
      <c r="I241" s="589"/>
      <c r="J241" s="589"/>
      <c r="K241" s="589">
        <f t="shared" ref="K241:AZ241" si="294">SUM(K234:K240)</f>
        <v>2175.8040000000001</v>
      </c>
      <c r="L241" s="590">
        <f t="shared" si="294"/>
        <v>2175.8040000000001</v>
      </c>
      <c r="M241" s="589">
        <f t="shared" si="294"/>
        <v>2123.5</v>
      </c>
      <c r="N241" s="589">
        <f t="shared" si="294"/>
        <v>2134.11</v>
      </c>
      <c r="O241" s="591">
        <f t="shared" si="294"/>
        <v>2210.3959999999997</v>
      </c>
      <c r="P241" s="591">
        <f t="shared" si="294"/>
        <v>2233.9899999999998</v>
      </c>
      <c r="Q241" s="590">
        <f t="shared" si="294"/>
        <v>2233.9899999999998</v>
      </c>
      <c r="R241" s="589">
        <f t="shared" si="294"/>
        <v>1966.463</v>
      </c>
      <c r="S241" s="589">
        <f t="shared" si="294"/>
        <v>2075.6970000000001</v>
      </c>
      <c r="T241" s="591">
        <f t="shared" si="294"/>
        <v>2062.1139999999996</v>
      </c>
      <c r="U241" s="591">
        <f t="shared" si="294"/>
        <v>2535.2939999999999</v>
      </c>
      <c r="V241" s="590">
        <f t="shared" si="294"/>
        <v>2535.2939999999999</v>
      </c>
      <c r="W241" s="589">
        <f t="shared" si="294"/>
        <v>2255.8469999999998</v>
      </c>
      <c r="X241" s="591">
        <f t="shared" si="294"/>
        <v>3156.9719999999993</v>
      </c>
      <c r="Y241" s="591">
        <f t="shared" si="294"/>
        <v>3518.1110000000003</v>
      </c>
      <c r="Z241" s="591">
        <f t="shared" si="294"/>
        <v>3013.2310000000002</v>
      </c>
      <c r="AA241" s="590">
        <f t="shared" si="294"/>
        <v>3013.2310000000002</v>
      </c>
      <c r="AB241" s="591">
        <f t="shared" si="294"/>
        <v>3349.799</v>
      </c>
      <c r="AC241" s="591">
        <f t="shared" si="294"/>
        <v>5363.5709999999999</v>
      </c>
      <c r="AD241" s="591">
        <f t="shared" si="294"/>
        <v>5030.1040000000003</v>
      </c>
      <c r="AE241" s="591">
        <f t="shared" si="294"/>
        <v>5035.4970000000003</v>
      </c>
      <c r="AF241" s="590">
        <f t="shared" si="294"/>
        <v>5035.4970000000003</v>
      </c>
      <c r="AG241" s="591">
        <f t="shared" si="294"/>
        <v>4753.1099999999997</v>
      </c>
      <c r="AH241" s="591">
        <f t="shared" si="294"/>
        <v>4906.4529999999995</v>
      </c>
      <c r="AI241" s="591">
        <f t="shared" si="294"/>
        <v>4821.2290000000003</v>
      </c>
      <c r="AJ241" s="591">
        <f>SUM(AJ234:AJ240)</f>
        <v>5240.3600000000006</v>
      </c>
      <c r="AK241" s="590">
        <f t="shared" si="294"/>
        <v>5240.3600000000006</v>
      </c>
      <c r="AL241" s="591">
        <f t="shared" si="294"/>
        <v>5077.0860000000011</v>
      </c>
      <c r="AM241" s="591">
        <f t="shared" si="294"/>
        <v>5077.6979999999985</v>
      </c>
      <c r="AN241" s="591">
        <f t="shared" si="294"/>
        <v>4776.9710000000005</v>
      </c>
      <c r="AO241" s="591">
        <f t="shared" si="294"/>
        <v>5436.7179999999998</v>
      </c>
      <c r="AP241" s="590">
        <f t="shared" si="294"/>
        <v>5436.7179999999998</v>
      </c>
      <c r="AQ241" s="591">
        <f t="shared" si="294"/>
        <v>5275.31</v>
      </c>
      <c r="AR241" s="591">
        <f>SUM(AR234:AR240)</f>
        <v>5664.3560000000007</v>
      </c>
      <c r="AS241" s="591">
        <f>SUM(AS234:AS240)</f>
        <v>7472.8289999999997</v>
      </c>
      <c r="AT241" s="591">
        <f t="shared" si="294"/>
        <v>8066.3190000000004</v>
      </c>
      <c r="AU241" s="590">
        <f t="shared" si="294"/>
        <v>8066.3190000000004</v>
      </c>
      <c r="AV241" s="591">
        <f t="shared" si="294"/>
        <v>11385.709925718033</v>
      </c>
      <c r="AW241" s="591">
        <f t="shared" si="294"/>
        <v>11638.83501162504</v>
      </c>
      <c r="AX241" s="591">
        <f t="shared" si="294"/>
        <v>11561.918032803862</v>
      </c>
      <c r="AY241" s="591">
        <f t="shared" si="294"/>
        <v>11638.933521255884</v>
      </c>
      <c r="AZ241" s="590">
        <f t="shared" si="294"/>
        <v>11638.933521255884</v>
      </c>
      <c r="BA241" s="591">
        <f t="shared" ref="BA241:BJ241" si="295">SUM(BA234:BA240)</f>
        <v>11578.895009916812</v>
      </c>
      <c r="BB241" s="591">
        <f t="shared" si="295"/>
        <v>11599.85856773396</v>
      </c>
      <c r="BC241" s="591">
        <f t="shared" si="295"/>
        <v>11437.496056832957</v>
      </c>
      <c r="BD241" s="591">
        <f t="shared" si="295"/>
        <v>11422.819884477029</v>
      </c>
      <c r="BE241" s="590">
        <f t="shared" si="295"/>
        <v>11422.819884477029</v>
      </c>
      <c r="BF241" s="591">
        <f t="shared" si="295"/>
        <v>11424.476228527321</v>
      </c>
      <c r="BG241" s="591">
        <f t="shared" si="295"/>
        <v>11550.347220401796</v>
      </c>
      <c r="BH241" s="591">
        <f t="shared" si="295"/>
        <v>11476.708432832364</v>
      </c>
      <c r="BI241" s="591">
        <f t="shared" si="295"/>
        <v>11569.761983410202</v>
      </c>
      <c r="BJ241" s="590">
        <f t="shared" si="295"/>
        <v>11569.761983410202</v>
      </c>
      <c r="BK241" s="473"/>
      <c r="BL241" s="473"/>
      <c r="BM241" s="473"/>
      <c r="BN241" s="473"/>
      <c r="BO241" s="473"/>
      <c r="BP241" s="473"/>
      <c r="BQ241" s="125"/>
      <c r="BR241" s="511"/>
      <c r="BS241" s="108"/>
      <c r="BZ241" s="108"/>
      <c r="CA241" s="108"/>
      <c r="CB241" s="108"/>
    </row>
    <row r="242" spans="1:80" ht="13.5" customHeight="1">
      <c r="A242" s="108"/>
      <c r="B242" s="594"/>
      <c r="C242" s="595"/>
      <c r="D242" s="595"/>
      <c r="E242" s="595"/>
      <c r="F242" s="595"/>
      <c r="G242" s="596"/>
      <c r="H242" s="595"/>
      <c r="I242" s="595"/>
      <c r="J242" s="597"/>
      <c r="K242" s="595"/>
      <c r="L242" s="596"/>
      <c r="M242" s="595"/>
      <c r="N242" s="595"/>
      <c r="O242" s="597"/>
      <c r="P242" s="597"/>
      <c r="Q242" s="596"/>
      <c r="R242" s="597"/>
      <c r="S242" s="597"/>
      <c r="T242" s="597"/>
      <c r="U242" s="597"/>
      <c r="V242" s="596"/>
      <c r="W242" s="597"/>
      <c r="X242" s="598"/>
      <c r="Y242" s="597"/>
      <c r="Z242" s="597"/>
      <c r="AA242" s="596"/>
      <c r="AB242" s="598"/>
      <c r="AC242" s="598"/>
      <c r="AD242" s="598"/>
      <c r="AE242" s="598"/>
      <c r="AF242" s="596"/>
      <c r="AG242" s="598"/>
      <c r="AH242" s="598"/>
      <c r="AI242" s="597"/>
      <c r="AJ242" s="597"/>
      <c r="AK242" s="596"/>
      <c r="AL242" s="598"/>
      <c r="AM242" s="597"/>
      <c r="AN242" s="597"/>
      <c r="AO242" s="598"/>
      <c r="AP242" s="596"/>
      <c r="AQ242" s="598"/>
      <c r="AR242" s="598"/>
      <c r="AS242" s="598"/>
      <c r="AT242" s="598"/>
      <c r="AU242" s="596"/>
      <c r="AV242" s="598"/>
      <c r="AW242" s="598"/>
      <c r="AX242" s="598"/>
      <c r="AY242" s="598"/>
      <c r="AZ242" s="596"/>
      <c r="BA242" s="598"/>
      <c r="BB242" s="598"/>
      <c r="BC242" s="598"/>
      <c r="BD242" s="598"/>
      <c r="BE242" s="596"/>
      <c r="BF242" s="598"/>
      <c r="BG242" s="598"/>
      <c r="BH242" s="598"/>
      <c r="BI242" s="598"/>
      <c r="BJ242" s="596"/>
      <c r="BK242" s="473"/>
      <c r="BL242" s="473"/>
      <c r="BM242" s="473"/>
      <c r="BN242" s="473"/>
      <c r="BO242" s="473"/>
      <c r="BP242" s="473"/>
      <c r="BQ242" s="125"/>
      <c r="BR242" s="511"/>
      <c r="BS242" s="108"/>
      <c r="BZ242" s="108"/>
      <c r="CA242" s="108"/>
      <c r="CB242" s="108"/>
    </row>
    <row r="243" spans="1:80" ht="13.5" customHeight="1">
      <c r="A243" s="108"/>
      <c r="B243" s="559" t="s">
        <v>238</v>
      </c>
      <c r="C243" s="599"/>
      <c r="D243" s="600"/>
      <c r="E243" s="599"/>
      <c r="F243" s="600"/>
      <c r="G243" s="596">
        <v>590.91499999999996</v>
      </c>
      <c r="H243" s="599"/>
      <c r="I243" s="599"/>
      <c r="J243" s="600"/>
      <c r="K243" s="599">
        <v>599.25599999999997</v>
      </c>
      <c r="L243" s="596">
        <f>K243</f>
        <v>599.25599999999997</v>
      </c>
      <c r="M243" s="599">
        <v>603.29999999999995</v>
      </c>
      <c r="N243" s="600">
        <v>599.21299999999997</v>
      </c>
      <c r="O243" s="600">
        <v>607.59199999999998</v>
      </c>
      <c r="P243" s="600">
        <v>632.02200000000005</v>
      </c>
      <c r="Q243" s="596">
        <f>+P243</f>
        <v>632.02200000000005</v>
      </c>
      <c r="R243" s="600">
        <v>670.71900000000005</v>
      </c>
      <c r="S243" s="600">
        <v>698.495</v>
      </c>
      <c r="T243" s="600">
        <v>716.33600000000001</v>
      </c>
      <c r="U243" s="600">
        <v>626.30899999999997</v>
      </c>
      <c r="V243" s="596">
        <f>+U243</f>
        <v>626.30899999999997</v>
      </c>
      <c r="W243" s="600">
        <v>640.09400000000005</v>
      </c>
      <c r="X243" s="601">
        <v>445.02</v>
      </c>
      <c r="Y243" s="600">
        <v>417.57299999999998</v>
      </c>
      <c r="Z243" s="600">
        <v>408.39100000000002</v>
      </c>
      <c r="AA243" s="596">
        <f>+Z243</f>
        <v>408.39100000000002</v>
      </c>
      <c r="AB243" s="601">
        <v>413.53100000000001</v>
      </c>
      <c r="AC243" s="600">
        <v>389.53300000000002</v>
      </c>
      <c r="AD243" s="600">
        <v>398.084</v>
      </c>
      <c r="AE243" s="600">
        <v>397.57299999999998</v>
      </c>
      <c r="AF243" s="596">
        <f>+AE243</f>
        <v>397.57299999999998</v>
      </c>
      <c r="AG243" s="602">
        <v>400.59300000000002</v>
      </c>
      <c r="AH243" s="600">
        <v>417.2</v>
      </c>
      <c r="AI243" s="600">
        <v>394.09800000000001</v>
      </c>
      <c r="AJ243" s="600">
        <v>272.27800000000002</v>
      </c>
      <c r="AK243" s="596">
        <f>+AJ243</f>
        <v>272.27800000000002</v>
      </c>
      <c r="AL243" s="600">
        <v>280.14800000000002</v>
      </c>
      <c r="AM243" s="1195">
        <v>299.38</v>
      </c>
      <c r="AN243" s="1195">
        <v>310.49299999999999</v>
      </c>
      <c r="AO243" s="600">
        <v>291.62400000000002</v>
      </c>
      <c r="AP243" s="596">
        <f>+AO243</f>
        <v>291.62400000000002</v>
      </c>
      <c r="AQ243" s="600">
        <v>295.38299999999998</v>
      </c>
      <c r="AR243" s="600">
        <v>310.46499999999997</v>
      </c>
      <c r="AS243" s="600">
        <v>58.936999999999998</v>
      </c>
      <c r="AT243" s="600">
        <f>+AS243+AT187</f>
        <v>48.893000000000001</v>
      </c>
      <c r="AU243" s="596">
        <f>+AT243</f>
        <v>48.893000000000001</v>
      </c>
      <c r="AV243" s="600">
        <f>+AT243+AV187</f>
        <v>48.893000000000001</v>
      </c>
      <c r="AW243" s="600">
        <f>+AV243+AW187</f>
        <v>48.893000000000001</v>
      </c>
      <c r="AX243" s="600">
        <f>+AW243+AX187</f>
        <v>48.893000000000001</v>
      </c>
      <c r="AY243" s="600">
        <f>+AX243+AY187</f>
        <v>48.893000000000001</v>
      </c>
      <c r="AZ243" s="596">
        <f>+AY243</f>
        <v>48.893000000000001</v>
      </c>
      <c r="BA243" s="600">
        <f>+AY243+BA187</f>
        <v>48.893000000000001</v>
      </c>
      <c r="BB243" s="600">
        <f>+BA243+BB187</f>
        <v>48.893000000000001</v>
      </c>
      <c r="BC243" s="600">
        <f>+BB243+BC187</f>
        <v>48.893000000000001</v>
      </c>
      <c r="BD243" s="600">
        <f>+BC243+BD187</f>
        <v>48.893000000000001</v>
      </c>
      <c r="BE243" s="596">
        <f>+BD243</f>
        <v>48.893000000000001</v>
      </c>
      <c r="BF243" s="600">
        <f>+BD243+BF187</f>
        <v>48.893000000000001</v>
      </c>
      <c r="BG243" s="600">
        <f>+BF243+BG187</f>
        <v>48.893000000000001</v>
      </c>
      <c r="BH243" s="600">
        <f>+BG243+BH187</f>
        <v>48.893000000000001</v>
      </c>
      <c r="BI243" s="600">
        <f>+BH243+BI187</f>
        <v>48.893000000000001</v>
      </c>
      <c r="BJ243" s="596">
        <f>+BI243</f>
        <v>48.893000000000001</v>
      </c>
      <c r="BK243" s="473"/>
      <c r="BL243" s="473"/>
      <c r="BM243" s="473"/>
      <c r="BN243" s="473"/>
      <c r="BO243" s="473"/>
      <c r="BP243" s="473"/>
      <c r="BQ243" s="564"/>
      <c r="BR243" s="511"/>
      <c r="BS243" s="108"/>
      <c r="BZ243" s="108"/>
      <c r="CA243" s="108"/>
      <c r="CB243" s="108"/>
    </row>
    <row r="244" spans="1:80" ht="13.5" customHeight="1">
      <c r="A244" s="108"/>
      <c r="B244" s="559"/>
      <c r="C244" s="599"/>
      <c r="D244" s="600"/>
      <c r="E244" s="599"/>
      <c r="F244" s="600"/>
      <c r="G244" s="596"/>
      <c r="H244" s="599"/>
      <c r="I244" s="599"/>
      <c r="J244" s="600"/>
      <c r="K244" s="599"/>
      <c r="L244" s="596"/>
      <c r="M244" s="599"/>
      <c r="N244" s="600"/>
      <c r="O244" s="600"/>
      <c r="P244" s="600"/>
      <c r="Q244" s="596"/>
      <c r="R244" s="600"/>
      <c r="S244" s="600"/>
      <c r="T244" s="600"/>
      <c r="U244" s="600"/>
      <c r="V244" s="596"/>
      <c r="W244" s="600"/>
      <c r="X244" s="601"/>
      <c r="Y244" s="600"/>
      <c r="Z244" s="600"/>
      <c r="AA244" s="596"/>
      <c r="AB244" s="601"/>
      <c r="AC244" s="600"/>
      <c r="AD244" s="600"/>
      <c r="AE244" s="603"/>
      <c r="AF244" s="596"/>
      <c r="AG244" s="602"/>
      <c r="AH244" s="600"/>
      <c r="AI244" s="603"/>
      <c r="AJ244" s="603"/>
      <c r="AK244" s="596"/>
      <c r="AL244" s="603"/>
      <c r="AM244" s="1195"/>
      <c r="AN244" s="1195"/>
      <c r="AO244" s="603"/>
      <c r="AP244" s="596"/>
      <c r="AQ244" s="603"/>
      <c r="AR244" s="603"/>
      <c r="AS244" s="603"/>
      <c r="AT244" s="603"/>
      <c r="AU244" s="596"/>
      <c r="AV244" s="603"/>
      <c r="AW244" s="603"/>
      <c r="AX244" s="603"/>
      <c r="AY244" s="603"/>
      <c r="AZ244" s="596"/>
      <c r="BA244" s="603"/>
      <c r="BB244" s="603"/>
      <c r="BC244" s="603"/>
      <c r="BD244" s="603"/>
      <c r="BE244" s="596"/>
      <c r="BF244" s="603"/>
      <c r="BG244" s="603"/>
      <c r="BH244" s="603"/>
      <c r="BI244" s="603"/>
      <c r="BJ244" s="596"/>
      <c r="BK244" s="473"/>
      <c r="BL244" s="473"/>
      <c r="BM244" s="473"/>
      <c r="BN244" s="473"/>
      <c r="BO244" s="473"/>
      <c r="BP244" s="473"/>
      <c r="BQ244" s="564"/>
      <c r="BR244" s="511"/>
      <c r="BS244" s="108"/>
      <c r="BZ244" s="108"/>
      <c r="CA244" s="108"/>
      <c r="CB244" s="108"/>
    </row>
    <row r="245" spans="1:80" ht="13.5" customHeight="1">
      <c r="A245" s="108"/>
      <c r="B245" s="559" t="s">
        <v>239</v>
      </c>
      <c r="C245" s="599"/>
      <c r="D245" s="600"/>
      <c r="E245" s="599"/>
      <c r="F245" s="600"/>
      <c r="G245" s="596">
        <v>5.0000000000000001E-3</v>
      </c>
      <c r="H245" s="599"/>
      <c r="I245" s="599"/>
      <c r="J245" s="600"/>
      <c r="K245" s="599">
        <v>5.0000000000000001E-3</v>
      </c>
      <c r="L245" s="596">
        <f>K245</f>
        <v>5.0000000000000001E-3</v>
      </c>
      <c r="M245" s="599">
        <v>0</v>
      </c>
      <c r="N245" s="600">
        <v>5.0000000000000001E-3</v>
      </c>
      <c r="O245" s="600">
        <v>5.0000000000000001E-3</v>
      </c>
      <c r="P245" s="600">
        <v>1E-3</v>
      </c>
      <c r="Q245" s="596">
        <f>+P245</f>
        <v>1E-3</v>
      </c>
      <c r="R245" s="600">
        <v>1E-3</v>
      </c>
      <c r="S245" s="600">
        <v>1E-3</v>
      </c>
      <c r="T245" s="600">
        <v>1E-3</v>
      </c>
      <c r="U245" s="600">
        <v>1E-3</v>
      </c>
      <c r="V245" s="596">
        <f>+U245</f>
        <v>1E-3</v>
      </c>
      <c r="W245" s="600">
        <v>1E-3</v>
      </c>
      <c r="X245" s="601">
        <v>1E-3</v>
      </c>
      <c r="Y245" s="601">
        <v>1E-3</v>
      </c>
      <c r="Z245" s="601">
        <v>1E-3</v>
      </c>
      <c r="AA245" s="596">
        <f>+Z245</f>
        <v>1E-3</v>
      </c>
      <c r="AB245" s="601">
        <v>1E-3</v>
      </c>
      <c r="AC245" s="600">
        <v>1E-3</v>
      </c>
      <c r="AD245" s="600">
        <v>1E-3</v>
      </c>
      <c r="AE245" s="600">
        <v>1E-3</v>
      </c>
      <c r="AF245" s="596">
        <f>+AE245</f>
        <v>1E-3</v>
      </c>
      <c r="AG245" s="602">
        <v>1E-3</v>
      </c>
      <c r="AH245" s="600">
        <v>1E-3</v>
      </c>
      <c r="AI245" s="600">
        <v>1E-3</v>
      </c>
      <c r="AJ245" s="600">
        <v>1E-3</v>
      </c>
      <c r="AK245" s="596">
        <f>+AJ245</f>
        <v>1E-3</v>
      </c>
      <c r="AL245" s="602">
        <v>1E-3</v>
      </c>
      <c r="AM245" s="602">
        <v>1E-3</v>
      </c>
      <c r="AN245" s="1195">
        <v>1E-3</v>
      </c>
      <c r="AO245" s="602">
        <v>1E-3</v>
      </c>
      <c r="AP245" s="596">
        <f>+AO245</f>
        <v>1E-3</v>
      </c>
      <c r="AQ245" s="602">
        <v>1E-3</v>
      </c>
      <c r="AR245" s="602">
        <v>1E-3</v>
      </c>
      <c r="AS245" s="602">
        <v>1E-3</v>
      </c>
      <c r="AT245" s="603">
        <f>+AS245</f>
        <v>1E-3</v>
      </c>
      <c r="AU245" s="596">
        <f>+AT245</f>
        <v>1E-3</v>
      </c>
      <c r="AV245" s="603">
        <f>+AT245</f>
        <v>1E-3</v>
      </c>
      <c r="AW245" s="603">
        <f>+AV245</f>
        <v>1E-3</v>
      </c>
      <c r="AX245" s="603">
        <f>+AW245</f>
        <v>1E-3</v>
      </c>
      <c r="AY245" s="603">
        <f>+AX245</f>
        <v>1E-3</v>
      </c>
      <c r="AZ245" s="596">
        <f>+AY245</f>
        <v>1E-3</v>
      </c>
      <c r="BA245" s="603">
        <f>+AY245</f>
        <v>1E-3</v>
      </c>
      <c r="BB245" s="603">
        <f>+BA245</f>
        <v>1E-3</v>
      </c>
      <c r="BC245" s="603">
        <f>+BB245</f>
        <v>1E-3</v>
      </c>
      <c r="BD245" s="603">
        <f>+BC245</f>
        <v>1E-3</v>
      </c>
      <c r="BE245" s="596">
        <f>+BD245</f>
        <v>1E-3</v>
      </c>
      <c r="BF245" s="603">
        <f>+BD245</f>
        <v>1E-3</v>
      </c>
      <c r="BG245" s="603">
        <f>+BF245</f>
        <v>1E-3</v>
      </c>
      <c r="BH245" s="603">
        <f>+BG245</f>
        <v>1E-3</v>
      </c>
      <c r="BI245" s="603">
        <f>+BH245</f>
        <v>1E-3</v>
      </c>
      <c r="BJ245" s="596">
        <f>+BI245</f>
        <v>1E-3</v>
      </c>
      <c r="BK245" s="473"/>
      <c r="BL245" s="473"/>
      <c r="BM245" s="473"/>
      <c r="BN245" s="473"/>
      <c r="BO245" s="473"/>
      <c r="BP245" s="473"/>
      <c r="BQ245" s="125"/>
      <c r="BR245" s="511"/>
      <c r="BS245" s="108"/>
      <c r="BZ245" s="108"/>
      <c r="CA245" s="108"/>
      <c r="CB245" s="108"/>
    </row>
    <row r="246" spans="1:80" ht="13.5" customHeight="1">
      <c r="A246" s="108"/>
      <c r="B246" s="559" t="s">
        <v>240</v>
      </c>
      <c r="C246" s="599"/>
      <c r="D246" s="600"/>
      <c r="E246" s="599"/>
      <c r="F246" s="600"/>
      <c r="G246" s="596">
        <v>573.86300000000006</v>
      </c>
      <c r="H246" s="599"/>
      <c r="I246" s="599"/>
      <c r="J246" s="600"/>
      <c r="K246" s="599">
        <v>579.72199999999998</v>
      </c>
      <c r="L246" s="596">
        <f>K246</f>
        <v>579.72199999999998</v>
      </c>
      <c r="M246" s="599">
        <v>580.1</v>
      </c>
      <c r="N246" s="600">
        <v>576.30899999999997</v>
      </c>
      <c r="O246" s="600">
        <v>580.84299999999996</v>
      </c>
      <c r="P246" s="600">
        <v>581.24099999999999</v>
      </c>
      <c r="Q246" s="596">
        <f>+P246</f>
        <v>581.24099999999999</v>
      </c>
      <c r="R246" s="600">
        <f>664.986</f>
        <v>664.98599999999999</v>
      </c>
      <c r="S246" s="600">
        <f>669.008</f>
        <v>669.00800000000004</v>
      </c>
      <c r="T246" s="600">
        <v>676.23199999999997</v>
      </c>
      <c r="U246" s="600">
        <v>766.33699999999999</v>
      </c>
      <c r="V246" s="596">
        <f>+U246</f>
        <v>766.33699999999999</v>
      </c>
      <c r="W246" s="600">
        <v>774.44899999999996</v>
      </c>
      <c r="X246" s="601">
        <v>510.06400000000002</v>
      </c>
      <c r="Y246" s="601">
        <v>535.27099999999996</v>
      </c>
      <c r="Z246" s="601">
        <v>597.73</v>
      </c>
      <c r="AA246" s="596">
        <f>+Z246</f>
        <v>597.73</v>
      </c>
      <c r="AB246" s="601">
        <v>587.62300000000005</v>
      </c>
      <c r="AC246" s="562">
        <v>623.43499999999995</v>
      </c>
      <c r="AD246" s="562">
        <v>636.74099999999999</v>
      </c>
      <c r="AE246" s="600">
        <v>629.35299999999995</v>
      </c>
      <c r="AF246" s="596">
        <f>+AE246</f>
        <v>629.35299999999995</v>
      </c>
      <c r="AG246" s="602">
        <v>658.68399999999997</v>
      </c>
      <c r="AH246" s="600">
        <v>668.37800000000004</v>
      </c>
      <c r="AI246" s="600">
        <v>548.98599999999999</v>
      </c>
      <c r="AJ246" s="600">
        <v>553.14499999999998</v>
      </c>
      <c r="AK246" s="596">
        <f>+AJ246</f>
        <v>553.14499999999998</v>
      </c>
      <c r="AL246" s="602">
        <v>570.68899999999996</v>
      </c>
      <c r="AM246" s="602">
        <v>583.04600000000005</v>
      </c>
      <c r="AN246" s="1195">
        <v>709.84699999999998</v>
      </c>
      <c r="AO246" s="602">
        <v>706.05499999999995</v>
      </c>
      <c r="AP246" s="596">
        <f>+AO246</f>
        <v>706.05499999999995</v>
      </c>
      <c r="AQ246" s="602">
        <v>737.81299999999999</v>
      </c>
      <c r="AR246" s="602">
        <v>765.64400000000001</v>
      </c>
      <c r="AS246" s="600">
        <v>25.047999999999998</v>
      </c>
      <c r="AT246" s="600">
        <f>+AR246+AT152+AT176+AT185+AT177</f>
        <v>782.15000000000009</v>
      </c>
      <c r="AU246" s="596">
        <f>+AT246</f>
        <v>782.15000000000009</v>
      </c>
      <c r="AV246" s="600">
        <f>+AT246+AV152+AV176+AV185+AV177</f>
        <v>797.16530646321337</v>
      </c>
      <c r="AW246" s="600">
        <f>+AV246+AW152+AW176+AW185+AW177</f>
        <v>814.69804012112945</v>
      </c>
      <c r="AX246" s="600">
        <f>+AW246+AX152+AX176+AX185+AX177</f>
        <v>833.05218546023798</v>
      </c>
      <c r="AY246" s="600">
        <f>+AX246+AY152+AY176+AY185+AY177</f>
        <v>851.96962106627666</v>
      </c>
      <c r="AZ246" s="596">
        <f>+AY246</f>
        <v>851.96962106627666</v>
      </c>
      <c r="BA246" s="600">
        <f>+AY246+BA152+BA176+BA185+BA177</f>
        <v>869.72268606069247</v>
      </c>
      <c r="BB246" s="600">
        <f>+BA246+BB152+BB176+BB185+BB177</f>
        <v>888.84874569856856</v>
      </c>
      <c r="BC246" s="600">
        <f>+BB246+BC152+BC176+BC185+BC177</f>
        <v>908.85745490974932</v>
      </c>
      <c r="BD246" s="600">
        <f>+BC246+BD152+BD176+BD185+BD177</f>
        <v>929.49558414630962</v>
      </c>
      <c r="BE246" s="596">
        <f>+BD246</f>
        <v>929.49558414630962</v>
      </c>
      <c r="BF246" s="600">
        <f>+BD246+BF152+BF176+BF185+BF177</f>
        <v>948.90558831043484</v>
      </c>
      <c r="BG246" s="600">
        <f>+BF246+BG152+BG176+BG185+BG177</f>
        <v>969.80195215023502</v>
      </c>
      <c r="BH246" s="600">
        <f>+BG246+BH152+BH176+BH185+BH177</f>
        <v>991.63965953484001</v>
      </c>
      <c r="BI246" s="600">
        <f>+BH246+BI152+BI176+BI185+BI177</f>
        <v>1014.182867466666</v>
      </c>
      <c r="BJ246" s="596">
        <f>+BI246</f>
        <v>1014.182867466666</v>
      </c>
      <c r="BK246" s="473"/>
      <c r="BL246" s="473"/>
      <c r="BM246" s="473"/>
      <c r="BN246" s="473"/>
      <c r="BO246" s="473"/>
      <c r="BP246" s="473"/>
      <c r="BQ246" s="125"/>
      <c r="BR246" s="511"/>
      <c r="BS246" s="108"/>
      <c r="BZ246" s="108"/>
      <c r="CA246" s="108"/>
      <c r="CB246" s="108"/>
    </row>
    <row r="247" spans="1:80" ht="13.5" customHeight="1">
      <c r="A247" s="108"/>
      <c r="B247" s="559" t="s">
        <v>241</v>
      </c>
      <c r="C247" s="599"/>
      <c r="D247" s="600"/>
      <c r="E247" s="599"/>
      <c r="F247" s="600"/>
      <c r="G247" s="596">
        <v>-2.141</v>
      </c>
      <c r="H247" s="599"/>
      <c r="I247" s="599"/>
      <c r="J247" s="600"/>
      <c r="K247" s="599">
        <v>15.73</v>
      </c>
      <c r="L247" s="596">
        <f>K247</f>
        <v>15.73</v>
      </c>
      <c r="M247" s="599">
        <v>17.8</v>
      </c>
      <c r="N247" s="600">
        <v>28.731000000000002</v>
      </c>
      <c r="O247" s="600">
        <v>36.256999999999998</v>
      </c>
      <c r="P247" s="600">
        <v>51.97</v>
      </c>
      <c r="Q247" s="596">
        <f>+P247</f>
        <v>51.97</v>
      </c>
      <c r="R247" s="600">
        <v>-6.48</v>
      </c>
      <c r="S247" s="600">
        <v>16.475999999999999</v>
      </c>
      <c r="T247" s="600">
        <v>40.74</v>
      </c>
      <c r="U247" s="600">
        <v>69.494</v>
      </c>
      <c r="V247" s="596">
        <f>+U247</f>
        <v>69.494</v>
      </c>
      <c r="W247" s="600">
        <v>95.613</v>
      </c>
      <c r="X247" s="601">
        <v>124.521</v>
      </c>
      <c r="Y247" s="601">
        <v>160.232</v>
      </c>
      <c r="Z247" s="601">
        <v>203.066</v>
      </c>
      <c r="AA247" s="596">
        <f>+Z247</f>
        <v>203.066</v>
      </c>
      <c r="AB247" s="601">
        <v>231.202</v>
      </c>
      <c r="AC247" s="562">
        <v>229.79300000000001</v>
      </c>
      <c r="AD247" s="562">
        <v>259.779</v>
      </c>
      <c r="AE247" s="600">
        <v>328.358</v>
      </c>
      <c r="AF247" s="596">
        <f>+AE247</f>
        <v>328.358</v>
      </c>
      <c r="AG247" s="602">
        <v>347.34699999999998</v>
      </c>
      <c r="AH247" s="600">
        <v>383.88299999999998</v>
      </c>
      <c r="AI247" s="600">
        <v>425.375</v>
      </c>
      <c r="AJ247" s="600">
        <v>476.30399999999997</v>
      </c>
      <c r="AK247" s="596">
        <f>+AJ247</f>
        <v>476.30399999999997</v>
      </c>
      <c r="AL247" s="602">
        <v>516.04200000000003</v>
      </c>
      <c r="AM247" s="602">
        <v>575.36900000000003</v>
      </c>
      <c r="AN247" s="1195">
        <v>641.66499999999996</v>
      </c>
      <c r="AO247" s="602">
        <v>689.51199999999994</v>
      </c>
      <c r="AP247" s="596">
        <f>+AO247</f>
        <v>689.51199999999994</v>
      </c>
      <c r="AQ247" s="602">
        <v>717.58900000000006</v>
      </c>
      <c r="AR247" s="602">
        <v>786.36599999999999</v>
      </c>
      <c r="AS247" s="600">
        <v>617.68299999999999</v>
      </c>
      <c r="AT247" s="600">
        <f>600.654-AT246-AT245-AT243-AT249-AT248</f>
        <v>-144.92100000000011</v>
      </c>
      <c r="AU247" s="596">
        <f>+AT247</f>
        <v>-144.92100000000011</v>
      </c>
      <c r="AV247" s="600">
        <f>+AT247+AV146</f>
        <v>-22.576333298130095</v>
      </c>
      <c r="AW247" s="600">
        <f>+AV247+AW146</f>
        <v>134.46446578895402</v>
      </c>
      <c r="AX247" s="600">
        <f>+AW247+AX146</f>
        <v>306.02996103861778</v>
      </c>
      <c r="AY247" s="600">
        <f>+AX247+AY146</f>
        <v>489.19298986994352</v>
      </c>
      <c r="AZ247" s="596">
        <f>+AY247</f>
        <v>489.19298986994352</v>
      </c>
      <c r="BA247" s="600">
        <f>+AY247+BA146</f>
        <v>658.20678011762232</v>
      </c>
      <c r="BB247" s="600">
        <f>+BA247+BB146</f>
        <v>850.77172923236571</v>
      </c>
      <c r="BC247" s="600">
        <f>+BB247+BC146</f>
        <v>1061.1832806308237</v>
      </c>
      <c r="BD247" s="600">
        <f>+BC247+BD146</f>
        <v>1286.4134073713171</v>
      </c>
      <c r="BE247" s="596">
        <f>+BD247</f>
        <v>1286.4134073713171</v>
      </c>
      <c r="BF247" s="600">
        <f>+BD247+BF146</f>
        <v>1491.7949611971687</v>
      </c>
      <c r="BG247" s="600">
        <f>+BF247+BG146</f>
        <v>1723.0635564910394</v>
      </c>
      <c r="BH247" s="600">
        <f>+BG247+BH146</f>
        <v>1973.4899235801568</v>
      </c>
      <c r="BI247" s="600">
        <f>+BH247+BI146</f>
        <v>2240.1622660552175</v>
      </c>
      <c r="BJ247" s="596">
        <f>+BI247</f>
        <v>2240.1622660552175</v>
      </c>
      <c r="BK247" s="473"/>
      <c r="BL247" s="473"/>
      <c r="BM247" s="473"/>
      <c r="BN247" s="473"/>
      <c r="BO247" s="473"/>
      <c r="BP247" s="473"/>
      <c r="BQ247" s="125"/>
      <c r="BR247" s="511"/>
      <c r="BS247" s="108"/>
      <c r="BZ247" s="108"/>
      <c r="CA247" s="108"/>
      <c r="CB247" s="108"/>
    </row>
    <row r="248" spans="1:80" ht="13.5" customHeight="1">
      <c r="A248" s="108"/>
      <c r="B248" s="559" t="s">
        <v>242</v>
      </c>
      <c r="C248" s="599"/>
      <c r="D248" s="600"/>
      <c r="E248" s="599"/>
      <c r="F248" s="600"/>
      <c r="G248" s="596">
        <v>0</v>
      </c>
      <c r="H248" s="599"/>
      <c r="I248" s="599"/>
      <c r="J248" s="600"/>
      <c r="K248" s="599">
        <v>0</v>
      </c>
      <c r="L248" s="596">
        <f>K248</f>
        <v>0</v>
      </c>
      <c r="M248" s="599">
        <v>0.5</v>
      </c>
      <c r="N248" s="600">
        <v>-2.4860000000000002</v>
      </c>
      <c r="O248" s="600">
        <v>-6.6440000000000001</v>
      </c>
      <c r="P248" s="600">
        <v>-9.5139999999999993</v>
      </c>
      <c r="Q248" s="596">
        <f>+P248</f>
        <v>-9.5139999999999993</v>
      </c>
      <c r="R248" s="600">
        <v>0</v>
      </c>
      <c r="S248" s="600">
        <v>0</v>
      </c>
      <c r="T248" s="600">
        <v>0</v>
      </c>
      <c r="U248" s="600">
        <v>0</v>
      </c>
      <c r="V248" s="596">
        <f>+U248</f>
        <v>0</v>
      </c>
      <c r="W248" s="600">
        <v>0</v>
      </c>
      <c r="X248" s="601">
        <v>3.915</v>
      </c>
      <c r="Y248" s="601">
        <v>0.26500000000000001</v>
      </c>
      <c r="Z248" s="601">
        <v>0.26400000000000001</v>
      </c>
      <c r="AA248" s="596">
        <f>+Z248</f>
        <v>0.26400000000000001</v>
      </c>
      <c r="AB248" s="601">
        <v>-0.81299999999999994</v>
      </c>
      <c r="AC248" s="562">
        <v>-3.4580000000000002</v>
      </c>
      <c r="AD248" s="562">
        <v>-1.552</v>
      </c>
      <c r="AE248" s="600">
        <v>-3.7679999999999998</v>
      </c>
      <c r="AF248" s="596">
        <f>+AE248</f>
        <v>-3.7679999999999998</v>
      </c>
      <c r="AG248" s="602">
        <v>-8.7629999999999999</v>
      </c>
      <c r="AH248" s="600">
        <v>-8.9870000000000001</v>
      </c>
      <c r="AI248" s="600">
        <v>-12.478999999999999</v>
      </c>
      <c r="AJ248" s="600">
        <v>-9.2040000000000006</v>
      </c>
      <c r="AK248" s="596">
        <f>+AJ248</f>
        <v>-9.2040000000000006</v>
      </c>
      <c r="AL248" s="602">
        <v>-15.164</v>
      </c>
      <c r="AM248" s="602">
        <v>-18.923999999999999</v>
      </c>
      <c r="AN248" s="1195">
        <v>-16.297999999999998</v>
      </c>
      <c r="AO248" s="602">
        <v>-6.1970000000000001</v>
      </c>
      <c r="AP248" s="596">
        <f>+AO248</f>
        <v>-6.1970000000000001</v>
      </c>
      <c r="AQ248" s="602">
        <v>-2.6309999999999998</v>
      </c>
      <c r="AR248" s="602">
        <v>-2.5760000000000001</v>
      </c>
      <c r="AS248" s="600">
        <v>-1.671</v>
      </c>
      <c r="AT248" s="603">
        <f>+AS248</f>
        <v>-1.671</v>
      </c>
      <c r="AU248" s="596">
        <f>+AT248</f>
        <v>-1.671</v>
      </c>
      <c r="AV248" s="603">
        <f>+AT248</f>
        <v>-1.671</v>
      </c>
      <c r="AW248" s="603">
        <f>+AV248</f>
        <v>-1.671</v>
      </c>
      <c r="AX248" s="603">
        <f>+AW248</f>
        <v>-1.671</v>
      </c>
      <c r="AY248" s="603">
        <f>+AX248</f>
        <v>-1.671</v>
      </c>
      <c r="AZ248" s="596">
        <f>+AY248</f>
        <v>-1.671</v>
      </c>
      <c r="BA248" s="603">
        <f>+AY248</f>
        <v>-1.671</v>
      </c>
      <c r="BB248" s="603">
        <f>+BA248</f>
        <v>-1.671</v>
      </c>
      <c r="BC248" s="603">
        <f>+BB248</f>
        <v>-1.671</v>
      </c>
      <c r="BD248" s="603">
        <f>+BC248</f>
        <v>-1.671</v>
      </c>
      <c r="BE248" s="596">
        <f>+BD248</f>
        <v>-1.671</v>
      </c>
      <c r="BF248" s="603">
        <f>+BD248</f>
        <v>-1.671</v>
      </c>
      <c r="BG248" s="603">
        <f>+BF248</f>
        <v>-1.671</v>
      </c>
      <c r="BH248" s="603">
        <f>+BG248</f>
        <v>-1.671</v>
      </c>
      <c r="BI248" s="603">
        <f>+BH248</f>
        <v>-1.671</v>
      </c>
      <c r="BJ248" s="596">
        <f>+BI248</f>
        <v>-1.671</v>
      </c>
      <c r="BK248" s="473"/>
      <c r="BL248" s="473"/>
      <c r="BM248" s="473"/>
      <c r="BN248" s="473"/>
      <c r="BO248" s="473"/>
      <c r="BP248" s="473"/>
      <c r="BQ248" s="125"/>
      <c r="BR248" s="511"/>
      <c r="BS248" s="108"/>
      <c r="BZ248" s="108"/>
      <c r="CA248" s="108"/>
      <c r="CB248" s="108"/>
    </row>
    <row r="249" spans="1:80" ht="13.5" customHeight="1">
      <c r="A249" s="108"/>
      <c r="B249" s="559" t="s">
        <v>243</v>
      </c>
      <c r="C249" s="599"/>
      <c r="D249" s="600"/>
      <c r="E249" s="599"/>
      <c r="F249" s="600"/>
      <c r="G249" s="596">
        <v>0</v>
      </c>
      <c r="H249" s="599"/>
      <c r="I249" s="599"/>
      <c r="J249" s="600"/>
      <c r="K249" s="599">
        <v>0</v>
      </c>
      <c r="L249" s="596">
        <f>K249</f>
        <v>0</v>
      </c>
      <c r="M249" s="599">
        <v>0</v>
      </c>
      <c r="N249" s="600">
        <v>0</v>
      </c>
      <c r="O249" s="600">
        <v>0</v>
      </c>
      <c r="P249" s="600">
        <v>0</v>
      </c>
      <c r="Q249" s="596">
        <f>+P249</f>
        <v>0</v>
      </c>
      <c r="R249" s="600">
        <v>-11.929</v>
      </c>
      <c r="S249" s="600">
        <v>-14.045</v>
      </c>
      <c r="T249" s="600">
        <v>-16.126000000000001</v>
      </c>
      <c r="U249" s="600">
        <v>-17.905999999999999</v>
      </c>
      <c r="V249" s="596">
        <f>+U249</f>
        <v>-17.905999999999999</v>
      </c>
      <c r="W249" s="600">
        <v>-27.308</v>
      </c>
      <c r="X249" s="563">
        <v>-29.027999999999999</v>
      </c>
      <c r="Y249" s="563">
        <v>-30.645</v>
      </c>
      <c r="Z249" s="563">
        <v>-33.130000000000003</v>
      </c>
      <c r="AA249" s="561">
        <f>+Z249</f>
        <v>-33.130000000000003</v>
      </c>
      <c r="AB249" s="563">
        <v>-46.418999999999997</v>
      </c>
      <c r="AC249" s="562">
        <v>-48.107999999999997</v>
      </c>
      <c r="AD249" s="562">
        <v>-49.829000000000001</v>
      </c>
      <c r="AE249" s="562">
        <v>-50.930999999999997</v>
      </c>
      <c r="AF249" s="561">
        <f>+AE249</f>
        <v>-50.930999999999997</v>
      </c>
      <c r="AG249" s="585">
        <v>-66.549000000000007</v>
      </c>
      <c r="AH249" s="562">
        <v>-66.798000000000002</v>
      </c>
      <c r="AI249" s="562">
        <v>-67.05</v>
      </c>
      <c r="AJ249" s="562">
        <v>-67.457999999999998</v>
      </c>
      <c r="AK249" s="561">
        <f>+AJ249</f>
        <v>-67.457999999999998</v>
      </c>
      <c r="AL249" s="585">
        <v>-73.063000000000002</v>
      </c>
      <c r="AM249" s="585">
        <v>-73.242000000000004</v>
      </c>
      <c r="AN249" s="562">
        <v>-73.494</v>
      </c>
      <c r="AO249" s="585">
        <v>-73.706000000000003</v>
      </c>
      <c r="AP249" s="561">
        <f>+AO249</f>
        <v>-73.706000000000003</v>
      </c>
      <c r="AQ249" s="585">
        <v>-79.382999999999996</v>
      </c>
      <c r="AR249" s="585">
        <v>-79.397000000000006</v>
      </c>
      <c r="AS249" s="562">
        <v>-82.893000000000001</v>
      </c>
      <c r="AT249" s="562">
        <f>+AS249+AT181+AT182</f>
        <v>-83.798000000000002</v>
      </c>
      <c r="AU249" s="561">
        <f>+AT249</f>
        <v>-83.798000000000002</v>
      </c>
      <c r="AV249" s="562">
        <f>+AT249+AV181+AV182</f>
        <v>-83.798000000000002</v>
      </c>
      <c r="AW249" s="562">
        <f>+AV249+AW181+AW182</f>
        <v>-83.798000000000002</v>
      </c>
      <c r="AX249" s="562">
        <f>+AW249+AX181+AX182</f>
        <v>-83.798000000000002</v>
      </c>
      <c r="AY249" s="562">
        <f>+AX249+AY181+AY182</f>
        <v>-83.798000000000002</v>
      </c>
      <c r="AZ249" s="561">
        <f>+AY249</f>
        <v>-83.798000000000002</v>
      </c>
      <c r="BA249" s="562">
        <f>+AY249+BA181+BA182</f>
        <v>-83.798000000000002</v>
      </c>
      <c r="BB249" s="562">
        <f>+BA249+BB181+BB182</f>
        <v>-83.798000000000002</v>
      </c>
      <c r="BC249" s="562">
        <f>+BB249+BC181+BC182</f>
        <v>-83.798000000000002</v>
      </c>
      <c r="BD249" s="562">
        <f>+BC249+BD181+BD182</f>
        <v>-83.798000000000002</v>
      </c>
      <c r="BE249" s="561">
        <f>+BD249</f>
        <v>-83.798000000000002</v>
      </c>
      <c r="BF249" s="562">
        <f>+BD249+BF181+BF182</f>
        <v>-83.798000000000002</v>
      </c>
      <c r="BG249" s="562">
        <f>+BF249+BG181+BG182</f>
        <v>-83.798000000000002</v>
      </c>
      <c r="BH249" s="562">
        <f>+BG249+BH181+BH182</f>
        <v>-83.798000000000002</v>
      </c>
      <c r="BI249" s="562">
        <f>+BH249+BI181+BI182</f>
        <v>-83.798000000000002</v>
      </c>
      <c r="BJ249" s="561">
        <f>+BI249</f>
        <v>-83.798000000000002</v>
      </c>
      <c r="BK249" s="473"/>
      <c r="BL249" s="473"/>
      <c r="BM249" s="473"/>
      <c r="BN249" s="473"/>
      <c r="BO249" s="473"/>
      <c r="BP249" s="473"/>
      <c r="BQ249" s="125"/>
      <c r="BR249" s="511"/>
      <c r="BS249" s="108"/>
      <c r="BZ249" s="108"/>
      <c r="CA249" s="108"/>
      <c r="CB249" s="108"/>
    </row>
    <row r="250" spans="1:80" ht="13.5" customHeight="1">
      <c r="A250" s="108"/>
      <c r="B250" s="588" t="s">
        <v>244</v>
      </c>
      <c r="C250" s="589"/>
      <c r="D250" s="589"/>
      <c r="E250" s="589"/>
      <c r="F250" s="589"/>
      <c r="G250" s="590">
        <f>SUM(G245:G249)</f>
        <v>571.72700000000009</v>
      </c>
      <c r="H250" s="589"/>
      <c r="I250" s="589"/>
      <c r="J250" s="589"/>
      <c r="K250" s="589">
        <f t="shared" ref="K250:Q250" si="296">SUM(K245:K249)</f>
        <v>595.45699999999999</v>
      </c>
      <c r="L250" s="590">
        <f t="shared" si="296"/>
        <v>595.45699999999999</v>
      </c>
      <c r="M250" s="589">
        <f t="shared" si="296"/>
        <v>598.4</v>
      </c>
      <c r="N250" s="589">
        <f t="shared" si="296"/>
        <v>602.55899999999997</v>
      </c>
      <c r="O250" s="589">
        <f t="shared" si="296"/>
        <v>610.4609999999999</v>
      </c>
      <c r="P250" s="589">
        <f t="shared" si="296"/>
        <v>623.69799999999998</v>
      </c>
      <c r="Q250" s="590">
        <f t="shared" si="296"/>
        <v>623.69799999999998</v>
      </c>
      <c r="R250" s="589">
        <f>+SUM(R245:R249)</f>
        <v>646.57799999999997</v>
      </c>
      <c r="S250" s="589">
        <f>+SUM(S245:S249)</f>
        <v>671.44</v>
      </c>
      <c r="T250" s="589">
        <f>+SUM(T245:T249)</f>
        <v>700.84699999999998</v>
      </c>
      <c r="U250" s="589">
        <f>+SUM(U245:U249)</f>
        <v>817.92600000000004</v>
      </c>
      <c r="V250" s="590">
        <f t="shared" ref="V250:AU250" si="297">SUM(V245:V249)</f>
        <v>817.92600000000004</v>
      </c>
      <c r="W250" s="589">
        <f t="shared" si="297"/>
        <v>842.75499999999988</v>
      </c>
      <c r="X250" s="604">
        <f t="shared" si="297"/>
        <v>609.47299999999996</v>
      </c>
      <c r="Y250" s="604">
        <f t="shared" si="297"/>
        <v>665.12399999999991</v>
      </c>
      <c r="Z250" s="604">
        <f t="shared" si="297"/>
        <v>767.93100000000004</v>
      </c>
      <c r="AA250" s="590">
        <f t="shared" si="297"/>
        <v>767.93100000000004</v>
      </c>
      <c r="AB250" s="604">
        <f t="shared" si="297"/>
        <v>771.59400000000005</v>
      </c>
      <c r="AC250" s="605">
        <f t="shared" si="297"/>
        <v>801.66300000000001</v>
      </c>
      <c r="AD250" s="605">
        <f t="shared" si="297"/>
        <v>845.14</v>
      </c>
      <c r="AE250" s="589">
        <f>SUM(AE245:AE249)</f>
        <v>903.01299999999992</v>
      </c>
      <c r="AF250" s="590">
        <f t="shared" si="297"/>
        <v>903.01299999999992</v>
      </c>
      <c r="AG250" s="605">
        <f t="shared" si="297"/>
        <v>930.71999999999991</v>
      </c>
      <c r="AH250" s="589">
        <f t="shared" si="297"/>
        <v>976.47699999999986</v>
      </c>
      <c r="AI250" s="589">
        <f>SUM(AI245:AI249)</f>
        <v>894.83299999999997</v>
      </c>
      <c r="AJ250" s="589">
        <f>SUM(AJ245:AJ249)</f>
        <v>952.7879999999999</v>
      </c>
      <c r="AK250" s="590">
        <f t="shared" si="297"/>
        <v>952.7879999999999</v>
      </c>
      <c r="AL250" s="589">
        <f t="shared" si="297"/>
        <v>998.505</v>
      </c>
      <c r="AM250" s="589">
        <f t="shared" si="297"/>
        <v>1066.2500000000002</v>
      </c>
      <c r="AN250" s="589">
        <f t="shared" si="297"/>
        <v>1261.721</v>
      </c>
      <c r="AO250" s="589">
        <f>SUM(AO245:AO249)</f>
        <v>1315.665</v>
      </c>
      <c r="AP250" s="590">
        <f t="shared" si="297"/>
        <v>1315.665</v>
      </c>
      <c r="AQ250" s="589">
        <f>SUM(AQ245:AQ249)</f>
        <v>1373.3889999999999</v>
      </c>
      <c r="AR250" s="589">
        <f>SUM(AR245:AR249)</f>
        <v>1470.038</v>
      </c>
      <c r="AS250" s="589">
        <f>SUM(AS245:AS249)</f>
        <v>558.16799999999989</v>
      </c>
      <c r="AT250" s="589">
        <f>SUM(AT245:AT249)</f>
        <v>551.76099999999997</v>
      </c>
      <c r="AU250" s="590">
        <f t="shared" si="297"/>
        <v>551.76099999999997</v>
      </c>
      <c r="AV250" s="589">
        <f t="shared" ref="AV250:BE250" si="298">SUM(AV245:AV249)</f>
        <v>689.12097316508323</v>
      </c>
      <c r="AW250" s="589">
        <f t="shared" si="298"/>
        <v>863.69450591008342</v>
      </c>
      <c r="AX250" s="589">
        <f t="shared" si="298"/>
        <v>1053.6141464988557</v>
      </c>
      <c r="AY250" s="589">
        <f t="shared" si="298"/>
        <v>1255.6946109362202</v>
      </c>
      <c r="AZ250" s="590">
        <f t="shared" si="298"/>
        <v>1255.6946109362202</v>
      </c>
      <c r="BA250" s="589">
        <f t="shared" si="298"/>
        <v>1442.4614661783148</v>
      </c>
      <c r="BB250" s="589">
        <f t="shared" si="298"/>
        <v>1654.1524749309342</v>
      </c>
      <c r="BC250" s="589">
        <f t="shared" si="298"/>
        <v>1884.5727355405729</v>
      </c>
      <c r="BD250" s="589">
        <f t="shared" si="298"/>
        <v>2130.4409915176266</v>
      </c>
      <c r="BE250" s="590">
        <f t="shared" si="298"/>
        <v>2130.4409915176266</v>
      </c>
      <c r="BF250" s="589">
        <f>SUM(BF245:BF249)</f>
        <v>2355.2325495076038</v>
      </c>
      <c r="BG250" s="589">
        <f>SUM(BG245:BG249)</f>
        <v>2607.3975086412747</v>
      </c>
      <c r="BH250" s="589">
        <f>SUM(BH245:BH249)</f>
        <v>2879.6615831149966</v>
      </c>
      <c r="BI250" s="589">
        <f>SUM(BI245:BI249)</f>
        <v>3168.8771335218835</v>
      </c>
      <c r="BJ250" s="590">
        <f>SUM(BJ245:BJ249)</f>
        <v>3168.8771335218835</v>
      </c>
      <c r="BK250" s="473"/>
      <c r="BL250" s="473"/>
      <c r="BM250" s="473"/>
      <c r="BN250" s="473"/>
      <c r="BO250" s="473"/>
      <c r="BP250" s="473"/>
      <c r="BQ250" s="125"/>
      <c r="BR250" s="511"/>
      <c r="BS250" s="108"/>
      <c r="BZ250" s="108"/>
      <c r="CA250" s="108"/>
      <c r="CB250" s="108"/>
    </row>
    <row r="251" spans="1:80" ht="13.5" customHeight="1" thickBot="1">
      <c r="A251" s="108"/>
      <c r="B251" s="606"/>
      <c r="C251" s="607"/>
      <c r="D251" s="607"/>
      <c r="E251" s="607"/>
      <c r="F251" s="607"/>
      <c r="G251" s="608"/>
      <c r="H251" s="607"/>
      <c r="I251" s="607"/>
      <c r="J251" s="607"/>
      <c r="K251" s="607"/>
      <c r="L251" s="608"/>
      <c r="M251" s="607"/>
      <c r="N251" s="607"/>
      <c r="O251" s="607"/>
      <c r="P251" s="607"/>
      <c r="Q251" s="608"/>
      <c r="R251" s="607"/>
      <c r="S251" s="607"/>
      <c r="T251" s="607"/>
      <c r="U251" s="607"/>
      <c r="V251" s="608"/>
      <c r="W251" s="607"/>
      <c r="X251" s="609"/>
      <c r="Y251" s="609"/>
      <c r="Z251" s="609"/>
      <c r="AA251" s="608"/>
      <c r="AB251" s="609"/>
      <c r="AC251" s="607"/>
      <c r="AD251" s="607"/>
      <c r="AE251" s="607"/>
      <c r="AF251" s="608"/>
      <c r="AG251" s="610"/>
      <c r="AH251" s="607"/>
      <c r="AI251" s="607"/>
      <c r="AJ251" s="607"/>
      <c r="AK251" s="608"/>
      <c r="AL251" s="607"/>
      <c r="AM251" s="607"/>
      <c r="AN251" s="607"/>
      <c r="AO251" s="607"/>
      <c r="AP251" s="608"/>
      <c r="AQ251" s="607"/>
      <c r="AR251" s="607"/>
      <c r="AS251" s="607"/>
      <c r="AT251" s="607"/>
      <c r="AU251" s="608"/>
      <c r="AV251" s="607"/>
      <c r="AW251" s="607"/>
      <c r="AX251" s="607"/>
      <c r="AY251" s="607"/>
      <c r="AZ251" s="608"/>
      <c r="BA251" s="607"/>
      <c r="BB251" s="607"/>
      <c r="BC251" s="607"/>
      <c r="BD251" s="607"/>
      <c r="BE251" s="608"/>
      <c r="BF251" s="607"/>
      <c r="BG251" s="607"/>
      <c r="BH251" s="607"/>
      <c r="BI251" s="607"/>
      <c r="BJ251" s="608"/>
      <c r="BK251" s="473"/>
      <c r="BL251" s="473"/>
      <c r="BM251" s="473"/>
      <c r="BN251" s="473"/>
      <c r="BO251" s="473"/>
      <c r="BP251" s="473"/>
      <c r="BQ251" s="125"/>
      <c r="BR251" s="511"/>
      <c r="BS251" s="108"/>
      <c r="BZ251" s="108"/>
      <c r="CA251" s="108"/>
      <c r="CB251" s="108"/>
    </row>
    <row r="252" spans="1:80" ht="13.5" customHeight="1" thickTop="1">
      <c r="A252" s="108"/>
      <c r="B252" s="611" t="s">
        <v>245</v>
      </c>
      <c r="C252" s="612"/>
      <c r="D252" s="612"/>
      <c r="E252" s="612"/>
      <c r="F252" s="612"/>
      <c r="G252" s="613">
        <f>G250+G241+G243</f>
        <v>2661.9970000000003</v>
      </c>
      <c r="H252" s="612"/>
      <c r="I252" s="612"/>
      <c r="J252" s="612"/>
      <c r="K252" s="612">
        <f t="shared" ref="K252:AU252" si="299">K250+K241+K243</f>
        <v>3370.5169999999998</v>
      </c>
      <c r="L252" s="613">
        <f t="shared" si="299"/>
        <v>3370.5169999999998</v>
      </c>
      <c r="M252" s="612">
        <f t="shared" si="299"/>
        <v>3325.2</v>
      </c>
      <c r="N252" s="612">
        <f t="shared" si="299"/>
        <v>3335.8819999999996</v>
      </c>
      <c r="O252" s="612">
        <f t="shared" si="299"/>
        <v>3428.4489999999996</v>
      </c>
      <c r="P252" s="612">
        <f t="shared" si="299"/>
        <v>3489.7099999999996</v>
      </c>
      <c r="Q252" s="613">
        <f t="shared" si="299"/>
        <v>3489.7099999999996</v>
      </c>
      <c r="R252" s="612">
        <f t="shared" si="299"/>
        <v>3283.76</v>
      </c>
      <c r="S252" s="612">
        <f t="shared" si="299"/>
        <v>3445.6320000000001</v>
      </c>
      <c r="T252" s="612">
        <f t="shared" si="299"/>
        <v>3479.2969999999996</v>
      </c>
      <c r="U252" s="612">
        <f t="shared" si="299"/>
        <v>3979.5289999999995</v>
      </c>
      <c r="V252" s="613">
        <f t="shared" si="299"/>
        <v>3979.5289999999995</v>
      </c>
      <c r="W252" s="612">
        <f t="shared" si="299"/>
        <v>3738.6959999999999</v>
      </c>
      <c r="X252" s="614">
        <f t="shared" si="299"/>
        <v>4211.4649999999992</v>
      </c>
      <c r="Y252" s="612">
        <f t="shared" si="299"/>
        <v>4600.8080000000009</v>
      </c>
      <c r="Z252" s="612">
        <f t="shared" si="299"/>
        <v>4189.5529999999999</v>
      </c>
      <c r="AA252" s="613">
        <f t="shared" si="299"/>
        <v>4189.5529999999999</v>
      </c>
      <c r="AB252" s="612">
        <f>AB250+AB241+AB243</f>
        <v>4534.924</v>
      </c>
      <c r="AC252" s="612">
        <f t="shared" si="299"/>
        <v>6554.7670000000007</v>
      </c>
      <c r="AD252" s="612">
        <f t="shared" si="299"/>
        <v>6273.3280000000004</v>
      </c>
      <c r="AE252" s="612">
        <f t="shared" si="299"/>
        <v>6336.0830000000005</v>
      </c>
      <c r="AF252" s="613">
        <f t="shared" si="299"/>
        <v>6336.0830000000005</v>
      </c>
      <c r="AG252" s="615">
        <f t="shared" si="299"/>
        <v>6084.4229999999998</v>
      </c>
      <c r="AH252" s="612">
        <f t="shared" si="299"/>
        <v>6300.1299999999992</v>
      </c>
      <c r="AI252" s="612">
        <f>AI250+AI241+AI243</f>
        <v>6110.16</v>
      </c>
      <c r="AJ252" s="612">
        <f>AJ250+AJ241+AJ243</f>
        <v>6465.4260000000004</v>
      </c>
      <c r="AK252" s="613">
        <f t="shared" si="299"/>
        <v>6465.4260000000004</v>
      </c>
      <c r="AL252" s="612">
        <f t="shared" si="299"/>
        <v>6355.7390000000014</v>
      </c>
      <c r="AM252" s="612">
        <f t="shared" si="299"/>
        <v>6443.3279999999986</v>
      </c>
      <c r="AN252" s="612">
        <f t="shared" si="299"/>
        <v>6349.1850000000013</v>
      </c>
      <c r="AO252" s="612">
        <f t="shared" si="299"/>
        <v>7044.0069999999996</v>
      </c>
      <c r="AP252" s="613">
        <f t="shared" si="299"/>
        <v>7044.0069999999996</v>
      </c>
      <c r="AQ252" s="612">
        <f>AQ250+AQ241+AQ243</f>
        <v>6944.0820000000003</v>
      </c>
      <c r="AR252" s="612">
        <f>AR250+AR241+AR243</f>
        <v>7444.8590000000004</v>
      </c>
      <c r="AS252" s="612">
        <f>AS250+AS241+AS243</f>
        <v>8089.9339999999993</v>
      </c>
      <c r="AT252" s="612">
        <f>AT250+AT241+AT243</f>
        <v>8666.973</v>
      </c>
      <c r="AU252" s="613">
        <f t="shared" si="299"/>
        <v>8666.973</v>
      </c>
      <c r="AV252" s="612">
        <f t="shared" ref="AV252:BE252" si="300">AV250+AV241+AV243</f>
        <v>12123.723898883116</v>
      </c>
      <c r="AW252" s="612">
        <f t="shared" si="300"/>
        <v>12551.422517535124</v>
      </c>
      <c r="AX252" s="612">
        <f t="shared" si="300"/>
        <v>12664.425179302718</v>
      </c>
      <c r="AY252" s="612">
        <f t="shared" si="300"/>
        <v>12943.521132192103</v>
      </c>
      <c r="AZ252" s="613">
        <f t="shared" si="300"/>
        <v>12943.521132192103</v>
      </c>
      <c r="BA252" s="612">
        <f t="shared" si="300"/>
        <v>13070.249476095127</v>
      </c>
      <c r="BB252" s="612">
        <f t="shared" si="300"/>
        <v>13302.904042664893</v>
      </c>
      <c r="BC252" s="612">
        <f t="shared" si="300"/>
        <v>13370.96179237353</v>
      </c>
      <c r="BD252" s="612">
        <f t="shared" si="300"/>
        <v>13602.153875994656</v>
      </c>
      <c r="BE252" s="613">
        <f t="shared" si="300"/>
        <v>13602.153875994656</v>
      </c>
      <c r="BF252" s="612">
        <f>BF250+BF241+BF243</f>
        <v>13828.601778034925</v>
      </c>
      <c r="BG252" s="612">
        <f>BG250+BG241+BG243</f>
        <v>14206.637729043072</v>
      </c>
      <c r="BH252" s="612">
        <f>BH250+BH241+BH243</f>
        <v>14405.263015947359</v>
      </c>
      <c r="BI252" s="612">
        <f>BI250+BI241+BI243</f>
        <v>14787.532116932085</v>
      </c>
      <c r="BJ252" s="613">
        <f>BJ250+BJ241+BJ243</f>
        <v>14787.532116932085</v>
      </c>
      <c r="BK252" s="473"/>
      <c r="BL252" s="473"/>
      <c r="BM252" s="473"/>
      <c r="BN252" s="473"/>
      <c r="BO252" s="473"/>
      <c r="BP252" s="473"/>
      <c r="BQ252" s="125"/>
      <c r="BR252" s="511"/>
      <c r="BS252" s="108"/>
      <c r="BZ252" s="108"/>
      <c r="CA252" s="108"/>
      <c r="CB252" s="108"/>
    </row>
    <row r="253" spans="1:80" ht="13.5" customHeight="1">
      <c r="A253" s="108"/>
      <c r="B253" s="616"/>
      <c r="C253" s="617">
        <f>C252-C221</f>
        <v>0</v>
      </c>
      <c r="D253" s="617">
        <f>D252-D221</f>
        <v>0</v>
      </c>
      <c r="E253" s="617">
        <f>E252-E221</f>
        <v>0</v>
      </c>
      <c r="F253" s="617">
        <f>F252-F221</f>
        <v>0</v>
      </c>
      <c r="G253" s="617">
        <f>G252-G221</f>
        <v>0</v>
      </c>
      <c r="H253" s="617"/>
      <c r="I253" s="617"/>
      <c r="J253" s="617"/>
      <c r="K253" s="617">
        <f t="shared" ref="K253:AU253" si="301">K252-K221</f>
        <v>0</v>
      </c>
      <c r="L253" s="617">
        <f t="shared" si="301"/>
        <v>0</v>
      </c>
      <c r="M253" s="617">
        <f t="shared" si="301"/>
        <v>0.1999999999998181</v>
      </c>
      <c r="N253" s="617">
        <f t="shared" si="301"/>
        <v>0</v>
      </c>
      <c r="O253" s="617">
        <f t="shared" si="301"/>
        <v>0</v>
      </c>
      <c r="P253" s="617">
        <f t="shared" si="301"/>
        <v>0</v>
      </c>
      <c r="Q253" s="617">
        <f t="shared" si="301"/>
        <v>0</v>
      </c>
      <c r="R253" s="617">
        <f t="shared" si="301"/>
        <v>0</v>
      </c>
      <c r="S253" s="617">
        <f t="shared" si="301"/>
        <v>0</v>
      </c>
      <c r="T253" s="617">
        <f t="shared" si="301"/>
        <v>0</v>
      </c>
      <c r="U253" s="617">
        <f t="shared" si="301"/>
        <v>0</v>
      </c>
      <c r="V253" s="617">
        <f t="shared" si="301"/>
        <v>0</v>
      </c>
      <c r="W253" s="617">
        <f t="shared" si="301"/>
        <v>0</v>
      </c>
      <c r="X253" s="617">
        <f t="shared" si="301"/>
        <v>0</v>
      </c>
      <c r="Y253" s="617">
        <f t="shared" si="301"/>
        <v>0</v>
      </c>
      <c r="Z253" s="617">
        <f t="shared" si="301"/>
        <v>0</v>
      </c>
      <c r="AA253" s="617">
        <f t="shared" si="301"/>
        <v>0</v>
      </c>
      <c r="AB253" s="617">
        <f t="shared" si="301"/>
        <v>0</v>
      </c>
      <c r="AC253" s="617">
        <f t="shared" si="301"/>
        <v>0</v>
      </c>
      <c r="AD253" s="617">
        <f t="shared" si="301"/>
        <v>0</v>
      </c>
      <c r="AE253" s="617">
        <f t="shared" si="301"/>
        <v>0</v>
      </c>
      <c r="AF253" s="617">
        <f t="shared" si="301"/>
        <v>0</v>
      </c>
      <c r="AG253" s="617">
        <f t="shared" si="301"/>
        <v>0</v>
      </c>
      <c r="AH253" s="618">
        <f t="shared" si="301"/>
        <v>0</v>
      </c>
      <c r="AI253" s="618">
        <f t="shared" si="301"/>
        <v>0</v>
      </c>
      <c r="AJ253" s="617">
        <f t="shared" si="301"/>
        <v>0</v>
      </c>
      <c r="AK253" s="617">
        <f t="shared" si="301"/>
        <v>0</v>
      </c>
      <c r="AL253" s="617">
        <f t="shared" si="301"/>
        <v>0</v>
      </c>
      <c r="AM253" s="619">
        <f t="shared" si="301"/>
        <v>0</v>
      </c>
      <c r="AN253" s="617">
        <f t="shared" si="301"/>
        <v>0</v>
      </c>
      <c r="AO253" s="617">
        <f t="shared" si="301"/>
        <v>0</v>
      </c>
      <c r="AP253" s="617">
        <f t="shared" si="301"/>
        <v>0</v>
      </c>
      <c r="AQ253" s="617">
        <f t="shared" si="301"/>
        <v>0</v>
      </c>
      <c r="AR253" s="617">
        <f>AR252-AR221</f>
        <v>0</v>
      </c>
      <c r="AS253" s="617">
        <f>AS252-AS221</f>
        <v>0</v>
      </c>
      <c r="AT253" s="617">
        <f t="shared" si="301"/>
        <v>0</v>
      </c>
      <c r="AU253" s="617">
        <f t="shared" si="301"/>
        <v>0</v>
      </c>
      <c r="AV253" s="617">
        <f>AV252-AV221</f>
        <v>0</v>
      </c>
      <c r="AW253" s="617">
        <f t="shared" ref="AW253:BE253" si="302">AW252-AW221</f>
        <v>0</v>
      </c>
      <c r="AX253" s="617">
        <f t="shared" si="302"/>
        <v>0</v>
      </c>
      <c r="AY253" s="617">
        <f t="shared" si="302"/>
        <v>0</v>
      </c>
      <c r="AZ253" s="617">
        <f t="shared" si="302"/>
        <v>0</v>
      </c>
      <c r="BA253" s="617">
        <f t="shared" si="302"/>
        <v>0</v>
      </c>
      <c r="BB253" s="617">
        <f t="shared" si="302"/>
        <v>0</v>
      </c>
      <c r="BC253" s="617">
        <f t="shared" si="302"/>
        <v>0</v>
      </c>
      <c r="BD253" s="617">
        <f t="shared" si="302"/>
        <v>0</v>
      </c>
      <c r="BE253" s="617">
        <f t="shared" si="302"/>
        <v>0</v>
      </c>
      <c r="BF253" s="617">
        <f>BF252-BF221</f>
        <v>0</v>
      </c>
      <c r="BG253" s="617">
        <f>BG252-BG221</f>
        <v>0</v>
      </c>
      <c r="BH253" s="617">
        <f>BH252-BH221</f>
        <v>0</v>
      </c>
      <c r="BI253" s="617">
        <f>BI252-BI221</f>
        <v>0</v>
      </c>
      <c r="BJ253" s="617">
        <f>BJ252-BJ221</f>
        <v>0</v>
      </c>
      <c r="BK253" s="620"/>
      <c r="BL253" s="620"/>
      <c r="BM253" s="620"/>
      <c r="BN253" s="620"/>
      <c r="BO253" s="620"/>
      <c r="BP253" s="620"/>
      <c r="BQ253" s="125"/>
      <c r="BR253" s="108"/>
      <c r="BS253" s="108"/>
      <c r="BZ253" s="108"/>
      <c r="CA253" s="108"/>
      <c r="CB253" s="108"/>
    </row>
    <row r="254" spans="1:80" ht="13.5" customHeight="1">
      <c r="A254" s="108"/>
      <c r="B254" s="621" t="s">
        <v>246</v>
      </c>
      <c r="C254" s="622"/>
      <c r="D254" s="622"/>
      <c r="E254" s="622"/>
      <c r="F254" s="622"/>
      <c r="G254" s="623"/>
      <c r="H254" s="622"/>
      <c r="I254" s="622"/>
      <c r="J254" s="622"/>
      <c r="K254" s="622"/>
      <c r="L254" s="623"/>
      <c r="M254" s="622"/>
      <c r="N254" s="622"/>
      <c r="O254" s="622"/>
      <c r="P254" s="622"/>
      <c r="Q254" s="623"/>
      <c r="R254" s="622"/>
      <c r="S254" s="622"/>
      <c r="T254" s="622"/>
      <c r="U254" s="624"/>
      <c r="V254" s="625"/>
      <c r="W254" s="626"/>
      <c r="X254" s="627"/>
      <c r="Y254" s="627"/>
      <c r="Z254" s="627"/>
      <c r="AA254" s="628"/>
      <c r="AB254" s="627"/>
      <c r="AC254" s="627"/>
      <c r="AD254" s="627"/>
      <c r="AE254" s="627"/>
      <c r="AF254" s="628"/>
      <c r="AG254" s="627"/>
      <c r="AH254" s="627"/>
      <c r="AI254" s="627"/>
      <c r="AJ254" s="627"/>
      <c r="AK254" s="628"/>
      <c r="AL254" s="627"/>
      <c r="AM254" s="627"/>
      <c r="AN254" s="627"/>
      <c r="AO254" s="627"/>
      <c r="AP254" s="628"/>
      <c r="AQ254" s="627"/>
      <c r="AR254" s="627"/>
      <c r="AS254" s="627"/>
      <c r="AT254" s="627"/>
      <c r="AU254" s="628"/>
      <c r="AV254" s="627"/>
      <c r="AW254" s="627"/>
      <c r="AX254" s="627"/>
      <c r="AY254" s="627"/>
      <c r="AZ254" s="628"/>
      <c r="BA254" s="627"/>
      <c r="BB254" s="627"/>
      <c r="BC254" s="627"/>
      <c r="BD254" s="627"/>
      <c r="BE254" s="628"/>
      <c r="BF254" s="627"/>
      <c r="BG254" s="627"/>
      <c r="BH254" s="627"/>
      <c r="BI254" s="627"/>
      <c r="BJ254" s="628"/>
      <c r="BK254" s="629"/>
      <c r="BL254" s="629"/>
      <c r="BM254" s="629"/>
      <c r="BN254" s="629"/>
      <c r="BO254" s="629"/>
      <c r="BP254" s="629"/>
      <c r="BQ254" s="125"/>
      <c r="BR254" s="108"/>
      <c r="BS254" s="108"/>
      <c r="BZ254" s="108"/>
      <c r="CA254" s="108"/>
      <c r="CB254" s="108"/>
    </row>
    <row r="255" spans="1:80" ht="13.5" customHeight="1" outlineLevel="1">
      <c r="A255" s="108"/>
      <c r="B255" s="630" t="s">
        <v>247</v>
      </c>
      <c r="C255" s="631"/>
      <c r="D255" s="631"/>
      <c r="E255" s="631"/>
      <c r="F255" s="631"/>
      <c r="G255" s="632">
        <f>+G227+G228+G235+G236+G232+G238</f>
        <v>1237.5</v>
      </c>
      <c r="H255" s="631"/>
      <c r="I255" s="631"/>
      <c r="J255" s="631"/>
      <c r="K255" s="631">
        <f t="shared" ref="K255:AU255" si="303">+K227+K228+K235+K236+K232+K238</f>
        <v>1756.3899999999999</v>
      </c>
      <c r="L255" s="632">
        <f t="shared" si="303"/>
        <v>1756.3899999999999</v>
      </c>
      <c r="M255" s="631">
        <f t="shared" si="303"/>
        <v>1765.5</v>
      </c>
      <c r="N255" s="631">
        <f t="shared" si="303"/>
        <v>1762.383</v>
      </c>
      <c r="O255" s="631">
        <f t="shared" si="303"/>
        <v>1776.0060000000001</v>
      </c>
      <c r="P255" s="631">
        <f t="shared" si="303"/>
        <v>1771.6379999999997</v>
      </c>
      <c r="Q255" s="632">
        <f t="shared" si="303"/>
        <v>1771.6379999999997</v>
      </c>
      <c r="R255" s="631">
        <f t="shared" si="303"/>
        <v>1270.1250000000002</v>
      </c>
      <c r="S255" s="631">
        <f t="shared" si="303"/>
        <v>1256.1139999999998</v>
      </c>
      <c r="T255" s="631">
        <f t="shared" si="303"/>
        <v>1243.5999999999999</v>
      </c>
      <c r="U255" s="631">
        <f t="shared" si="303"/>
        <v>1269.8850000000002</v>
      </c>
      <c r="V255" s="632">
        <f t="shared" si="303"/>
        <v>1269.8850000000002</v>
      </c>
      <c r="W255" s="631">
        <f t="shared" si="303"/>
        <v>1215.73</v>
      </c>
      <c r="X255" s="631">
        <f t="shared" si="303"/>
        <v>1876.1749999999997</v>
      </c>
      <c r="Y255" s="631">
        <f t="shared" si="303"/>
        <v>1851.7540000000004</v>
      </c>
      <c r="Z255" s="631">
        <f t="shared" si="303"/>
        <v>1827.6200000000001</v>
      </c>
      <c r="AA255" s="632">
        <f t="shared" si="303"/>
        <v>1827.6200000000001</v>
      </c>
      <c r="AB255" s="631">
        <f t="shared" si="303"/>
        <v>1803.4769999999999</v>
      </c>
      <c r="AC255" s="631">
        <f t="shared" si="303"/>
        <v>3479.2660000000001</v>
      </c>
      <c r="AD255" s="631">
        <f t="shared" si="303"/>
        <v>3447.6210000000001</v>
      </c>
      <c r="AE255" s="631">
        <f t="shared" si="303"/>
        <v>3416.6749999999997</v>
      </c>
      <c r="AF255" s="632">
        <f t="shared" si="303"/>
        <v>3416.6749999999997</v>
      </c>
      <c r="AG255" s="631">
        <f t="shared" si="303"/>
        <v>3187.2419999999997</v>
      </c>
      <c r="AH255" s="631">
        <f t="shared" si="303"/>
        <v>3190.5400000000004</v>
      </c>
      <c r="AI255" s="631">
        <f t="shared" si="303"/>
        <v>3140.0320000000002</v>
      </c>
      <c r="AJ255" s="631">
        <f t="shared" si="303"/>
        <v>3089.8710000000001</v>
      </c>
      <c r="AK255" s="632">
        <f t="shared" si="303"/>
        <v>3089.8710000000001</v>
      </c>
      <c r="AL255" s="631">
        <f>+AL227+AL228+AL235+AL236+AL232+AL238</f>
        <v>3049.6950000000002</v>
      </c>
      <c r="AM255" s="631">
        <f>+AM227+AM228+AM235+AM236+AM232+AM238</f>
        <v>3024.2630000000004</v>
      </c>
      <c r="AN255" s="631">
        <f>+AN227+AN228+AN235+AN236+AN232+AN238</f>
        <v>2997.3540000000007</v>
      </c>
      <c r="AO255" s="631">
        <f t="shared" si="303"/>
        <v>3241.8149999999996</v>
      </c>
      <c r="AP255" s="632">
        <f t="shared" si="303"/>
        <v>3241.8149999999996</v>
      </c>
      <c r="AQ255" s="631">
        <f>+AQ227+AQ228+AQ235+AQ236+AQ232+AQ238</f>
        <v>3208.0580000000004</v>
      </c>
      <c r="AR255" s="631">
        <f>+AR227+AR228+AR235+AR236+AR232+AR238</f>
        <v>3533.0050000000001</v>
      </c>
      <c r="AS255" s="631">
        <f t="shared" si="303"/>
        <v>4746.9390000000003</v>
      </c>
      <c r="AT255" s="631">
        <f>+AT227+AT228+AT235+AT236+AT232+AT238</f>
        <v>5706.7449999999999</v>
      </c>
      <c r="AU255" s="632">
        <f t="shared" si="303"/>
        <v>5706.7449999999999</v>
      </c>
      <c r="AV255" s="631">
        <f>+AV227+AV228+AV235+AV236+AV232+AV238</f>
        <v>8556.7450000000008</v>
      </c>
      <c r="AW255" s="631">
        <f t="shared" ref="AW255:BE255" si="304">+AW227+AW228+AW235+AW236+AW232+AW238</f>
        <v>8556.7450000000008</v>
      </c>
      <c r="AX255" s="631">
        <f t="shared" si="304"/>
        <v>8556.7450000000008</v>
      </c>
      <c r="AY255" s="631">
        <f t="shared" si="304"/>
        <v>8556.7450000000008</v>
      </c>
      <c r="AZ255" s="632">
        <f t="shared" si="304"/>
        <v>8556.7450000000008</v>
      </c>
      <c r="BA255" s="631">
        <f t="shared" si="304"/>
        <v>8456.7450000000008</v>
      </c>
      <c r="BB255" s="631">
        <f t="shared" si="304"/>
        <v>8356.7450000000008</v>
      </c>
      <c r="BC255" s="631">
        <f t="shared" si="304"/>
        <v>8256.7450000000008</v>
      </c>
      <c r="BD255" s="631">
        <f t="shared" si="304"/>
        <v>8156.7449999999999</v>
      </c>
      <c r="BE255" s="632">
        <f t="shared" si="304"/>
        <v>8156.7449999999999</v>
      </c>
      <c r="BF255" s="631">
        <f>+BF227+BF228+BF235+BF236+BF232+BF238</f>
        <v>8156.7449999999999</v>
      </c>
      <c r="BG255" s="631">
        <f>+BG227+BG228+BG235+BG236+BG232+BG238</f>
        <v>8156.7449999999999</v>
      </c>
      <c r="BH255" s="631">
        <f>+BH227+BH228+BH235+BH236+BH232+BH238</f>
        <v>8156.7449999999999</v>
      </c>
      <c r="BI255" s="631">
        <f>+BI227+BI228+BI235+BI236+BI232+BI238</f>
        <v>8156.7449999999999</v>
      </c>
      <c r="BJ255" s="632">
        <f>+BJ227+BJ228+BJ235+BJ236+BJ232+BJ238</f>
        <v>8156.7449999999999</v>
      </c>
      <c r="BK255" s="633"/>
      <c r="BL255" s="633"/>
      <c r="BM255" s="633"/>
      <c r="BN255" s="633"/>
      <c r="BO255" s="633"/>
      <c r="BP255" s="633"/>
      <c r="BQ255" s="564"/>
      <c r="BR255" s="108"/>
      <c r="BS255" s="108"/>
      <c r="BZ255" s="108"/>
      <c r="CA255" s="108"/>
      <c r="CB255" s="108"/>
    </row>
    <row r="256" spans="1:80" ht="13.5" customHeight="1" outlineLevel="1">
      <c r="A256" s="108"/>
      <c r="B256" s="630" t="s">
        <v>248</v>
      </c>
      <c r="C256" s="631"/>
      <c r="D256" s="631"/>
      <c r="E256" s="631"/>
      <c r="F256" s="631"/>
      <c r="G256" s="632"/>
      <c r="H256" s="631"/>
      <c r="I256" s="631"/>
      <c r="J256" s="631"/>
      <c r="K256" s="631">
        <f t="shared" ref="K256:AU256" si="305">K255-K208</f>
        <v>1519.8779999999999</v>
      </c>
      <c r="L256" s="632">
        <f t="shared" si="305"/>
        <v>1519.8779999999999</v>
      </c>
      <c r="M256" s="631">
        <f t="shared" si="305"/>
        <v>1542.7</v>
      </c>
      <c r="N256" s="631">
        <f t="shared" si="305"/>
        <v>1506.5520000000001</v>
      </c>
      <c r="O256" s="631">
        <f t="shared" si="305"/>
        <v>1465.0630000000001</v>
      </c>
      <c r="P256" s="631">
        <f t="shared" si="305"/>
        <v>1401.0889999999997</v>
      </c>
      <c r="Q256" s="632">
        <f t="shared" si="305"/>
        <v>1401.0889999999997</v>
      </c>
      <c r="R256" s="631">
        <f t="shared" si="305"/>
        <v>1113.7630000000001</v>
      </c>
      <c r="S256" s="631">
        <f t="shared" si="305"/>
        <v>947.29099999999983</v>
      </c>
      <c r="T256" s="631">
        <f t="shared" si="305"/>
        <v>862.84299999999985</v>
      </c>
      <c r="U256" s="631">
        <f t="shared" si="305"/>
        <v>1202.8270000000002</v>
      </c>
      <c r="V256" s="632">
        <f t="shared" si="305"/>
        <v>1202.8270000000002</v>
      </c>
      <c r="W256" s="631">
        <f t="shared" si="305"/>
        <v>1073.99</v>
      </c>
      <c r="X256" s="631">
        <f t="shared" si="305"/>
        <v>1403.5839999999998</v>
      </c>
      <c r="Y256" s="631">
        <f t="shared" si="305"/>
        <v>1547.4950000000003</v>
      </c>
      <c r="Z256" s="631">
        <f t="shared" si="305"/>
        <v>1656.1930000000002</v>
      </c>
      <c r="AA256" s="632">
        <f t="shared" si="305"/>
        <v>1656.1930000000002</v>
      </c>
      <c r="AB256" s="631">
        <f t="shared" si="305"/>
        <v>1666.5089999999998</v>
      </c>
      <c r="AC256" s="631">
        <f t="shared" si="305"/>
        <v>3248.6109999999999</v>
      </c>
      <c r="AD256" s="631">
        <f t="shared" si="305"/>
        <v>3076.174</v>
      </c>
      <c r="AE256" s="631">
        <f t="shared" si="305"/>
        <v>3005.107</v>
      </c>
      <c r="AF256" s="632">
        <f t="shared" si="305"/>
        <v>3005.107</v>
      </c>
      <c r="AG256" s="631">
        <f t="shared" si="305"/>
        <v>2947.7039999999997</v>
      </c>
      <c r="AH256" s="631">
        <f t="shared" si="305"/>
        <v>2789.7580000000003</v>
      </c>
      <c r="AI256" s="631">
        <f t="shared" si="305"/>
        <v>2852.4740000000002</v>
      </c>
      <c r="AJ256" s="631">
        <f t="shared" si="305"/>
        <v>2892.7750000000001</v>
      </c>
      <c r="AK256" s="632">
        <f t="shared" si="305"/>
        <v>2892.7750000000001</v>
      </c>
      <c r="AL256" s="631">
        <f t="shared" si="305"/>
        <v>2967.1410000000001</v>
      </c>
      <c r="AM256" s="631">
        <f>AM255-AM208</f>
        <v>2821.5390000000002</v>
      </c>
      <c r="AN256" s="631">
        <f>AN255-AN208</f>
        <v>2813.5360000000005</v>
      </c>
      <c r="AO256" s="631">
        <f t="shared" si="305"/>
        <v>3102.6669999999995</v>
      </c>
      <c r="AP256" s="632">
        <f>AP255-AP208</f>
        <v>3102.6669999999995</v>
      </c>
      <c r="AQ256" s="631">
        <f>AQ255-AQ208</f>
        <v>3069.7770000000005</v>
      </c>
      <c r="AR256" s="631">
        <f>AR255-AR208</f>
        <v>3413.0889999999999</v>
      </c>
      <c r="AS256" s="631">
        <f t="shared" si="305"/>
        <v>4654.3010000000004</v>
      </c>
      <c r="AT256" s="631">
        <f>AT255-AT208</f>
        <v>5580.2420000000002</v>
      </c>
      <c r="AU256" s="632">
        <f t="shared" si="305"/>
        <v>5580.2420000000002</v>
      </c>
      <c r="AV256" s="631">
        <f t="shared" ref="AV256:BE256" si="306">AV255-AV208</f>
        <v>8903.249665086616</v>
      </c>
      <c r="AW256" s="631">
        <f>AW255-AW208</f>
        <v>8632.4009811699379</v>
      </c>
      <c r="AX256" s="631">
        <f t="shared" si="306"/>
        <v>8491.3671165185333</v>
      </c>
      <c r="AY256" s="631">
        <f t="shared" si="306"/>
        <v>8198.8847396549045</v>
      </c>
      <c r="AZ256" s="632">
        <f t="shared" si="306"/>
        <v>8198.8847396549045</v>
      </c>
      <c r="BA256" s="631">
        <f t="shared" si="306"/>
        <v>7852.9844160817438</v>
      </c>
      <c r="BB256" s="631">
        <f t="shared" si="306"/>
        <v>7520.7108586510549</v>
      </c>
      <c r="BC256" s="631">
        <f t="shared" si="306"/>
        <v>7320.7968947752688</v>
      </c>
      <c r="BD256" s="631">
        <f t="shared" si="306"/>
        <v>6976.938770240562</v>
      </c>
      <c r="BE256" s="632">
        <f t="shared" si="306"/>
        <v>6976.938770240562</v>
      </c>
      <c r="BF256" s="631">
        <f>BF255-BF208</f>
        <v>6625.1990924750571</v>
      </c>
      <c r="BG256" s="631">
        <f>BG255-BG208</f>
        <v>6246.2790618563686</v>
      </c>
      <c r="BH256" s="631">
        <f>BH255-BH208</f>
        <v>6010.4917502519256</v>
      </c>
      <c r="BI256" s="631">
        <f>BI255-BI208</f>
        <v>5616.7168136194659</v>
      </c>
      <c r="BJ256" s="632">
        <f>BJ255-BJ208</f>
        <v>5616.7168136194659</v>
      </c>
      <c r="BK256" s="633"/>
      <c r="BL256" s="633"/>
      <c r="BM256" s="633"/>
      <c r="BN256" s="633"/>
      <c r="BO256" s="633"/>
      <c r="BP256" s="633"/>
      <c r="BQ256" s="125"/>
      <c r="BR256" s="108"/>
      <c r="BS256" s="108"/>
      <c r="BZ256" s="108"/>
      <c r="CA256" s="108"/>
      <c r="CB256" s="108"/>
    </row>
    <row r="257" spans="1:80" ht="13.5" customHeight="1" outlineLevel="1">
      <c r="A257" s="108"/>
      <c r="B257" s="630" t="s">
        <v>249</v>
      </c>
      <c r="C257" s="305"/>
      <c r="D257" s="305"/>
      <c r="E257" s="305"/>
      <c r="F257" s="305"/>
      <c r="G257" s="634"/>
      <c r="H257" s="305"/>
      <c r="I257" s="305"/>
      <c r="J257" s="305"/>
      <c r="K257" s="305">
        <f t="shared" ref="K257:AU257" si="307">K255/(K255+K250)</f>
        <v>0.74681303673240651</v>
      </c>
      <c r="L257" s="634">
        <f t="shared" si="307"/>
        <v>0.74681303673240651</v>
      </c>
      <c r="M257" s="305">
        <f t="shared" si="307"/>
        <v>0.74685900418799434</v>
      </c>
      <c r="N257" s="305">
        <f t="shared" si="307"/>
        <v>0.74521193331591218</v>
      </c>
      <c r="O257" s="305">
        <f t="shared" si="307"/>
        <v>0.74419885127261343</v>
      </c>
      <c r="P257" s="305">
        <f t="shared" si="307"/>
        <v>0.73961982786548519</v>
      </c>
      <c r="Q257" s="634">
        <f t="shared" si="307"/>
        <v>0.73961982786548519</v>
      </c>
      <c r="R257" s="305">
        <f t="shared" si="307"/>
        <v>0.66266135128916692</v>
      </c>
      <c r="S257" s="305">
        <f t="shared" si="307"/>
        <v>0.65166215836235974</v>
      </c>
      <c r="T257" s="305">
        <f t="shared" si="307"/>
        <v>0.63956487371473736</v>
      </c>
      <c r="U257" s="305">
        <f t="shared" si="307"/>
        <v>0.60823752724743774</v>
      </c>
      <c r="V257" s="634">
        <f t="shared" si="307"/>
        <v>0.60823752724743774</v>
      </c>
      <c r="W257" s="305">
        <f t="shared" si="307"/>
        <v>0.5905945391878008</v>
      </c>
      <c r="X257" s="305">
        <f t="shared" si="307"/>
        <v>0.75480317406165309</v>
      </c>
      <c r="Y257" s="305">
        <f t="shared" si="307"/>
        <v>0.73573450918161321</v>
      </c>
      <c r="Z257" s="305">
        <f t="shared" si="307"/>
        <v>0.70413565366274822</v>
      </c>
      <c r="AA257" s="634">
        <f t="shared" si="307"/>
        <v>0.70413565366274822</v>
      </c>
      <c r="AB257" s="305">
        <f t="shared" si="307"/>
        <v>0.70036010657570213</v>
      </c>
      <c r="AC257" s="305">
        <f t="shared" si="307"/>
        <v>0.81273620749141129</v>
      </c>
      <c r="AD257" s="305">
        <f t="shared" si="307"/>
        <v>0.80312437612995458</v>
      </c>
      <c r="AE257" s="305">
        <f t="shared" si="307"/>
        <v>0.79095411520461656</v>
      </c>
      <c r="AF257" s="634">
        <f t="shared" si="307"/>
        <v>0.79095411520461656</v>
      </c>
      <c r="AG257" s="305">
        <f t="shared" si="307"/>
        <v>0.77398528689677082</v>
      </c>
      <c r="AH257" s="305">
        <f t="shared" si="307"/>
        <v>0.76566522286806138</v>
      </c>
      <c r="AI257" s="305">
        <f t="shared" si="307"/>
        <v>0.77822479810353007</v>
      </c>
      <c r="AJ257" s="305">
        <f t="shared" si="307"/>
        <v>0.76431650554746267</v>
      </c>
      <c r="AK257" s="634">
        <f t="shared" si="307"/>
        <v>0.76431650554746267</v>
      </c>
      <c r="AL257" s="305">
        <f t="shared" si="307"/>
        <v>0.7533459315251223</v>
      </c>
      <c r="AM257" s="305">
        <f>AM255/(AM255+AM250)</f>
        <v>0.73933587303108428</v>
      </c>
      <c r="AN257" s="305">
        <f>AN255/(AN255+AN250)</f>
        <v>0.7037570364457072</v>
      </c>
      <c r="AO257" s="305">
        <f t="shared" si="307"/>
        <v>0.71131743858448093</v>
      </c>
      <c r="AP257" s="634">
        <f t="shared" si="307"/>
        <v>0.71131743858448093</v>
      </c>
      <c r="AQ257" s="305">
        <f t="shared" si="307"/>
        <v>0.70022811570230981</v>
      </c>
      <c r="AR257" s="305">
        <f t="shared" si="307"/>
        <v>0.70617122419295619</v>
      </c>
      <c r="AS257" s="305">
        <f t="shared" si="307"/>
        <v>0.89478666500034787</v>
      </c>
      <c r="AT257" s="305">
        <f t="shared" si="307"/>
        <v>0.9118382246497807</v>
      </c>
      <c r="AU257" s="634">
        <f t="shared" si="307"/>
        <v>0.9118382246497807</v>
      </c>
      <c r="AV257" s="305">
        <f t="shared" ref="AV257:BE257" si="308">AV255/(AV255+AV250)</f>
        <v>0.92546712496534489</v>
      </c>
      <c r="AW257" s="305">
        <f t="shared" si="308"/>
        <v>0.9083169627735278</v>
      </c>
      <c r="AX257" s="305">
        <f t="shared" si="308"/>
        <v>0.89036682912285359</v>
      </c>
      <c r="AY257" s="305">
        <f t="shared" si="308"/>
        <v>0.87203033488871462</v>
      </c>
      <c r="AZ257" s="634">
        <f t="shared" si="308"/>
        <v>0.87203033488871462</v>
      </c>
      <c r="BA257" s="305">
        <f t="shared" si="308"/>
        <v>0.85428514183367765</v>
      </c>
      <c r="BB257" s="305">
        <f t="shared" si="308"/>
        <v>0.8347648171332066</v>
      </c>
      <c r="BC257" s="305">
        <f t="shared" si="308"/>
        <v>0.81416885017456586</v>
      </c>
      <c r="BD257" s="305">
        <f t="shared" si="308"/>
        <v>0.79290342438891481</v>
      </c>
      <c r="BE257" s="634">
        <f t="shared" si="308"/>
        <v>0.79290342438891481</v>
      </c>
      <c r="BF257" s="305">
        <f>BF255/(BF255+BF250)</f>
        <v>0.77594771883641189</v>
      </c>
      <c r="BG257" s="305">
        <f>BG255/(BG255+BG250)</f>
        <v>0.75777006793173729</v>
      </c>
      <c r="BH257" s="305">
        <f>BH255/(BH255+BH250)</f>
        <v>0.73907616021317146</v>
      </c>
      <c r="BI257" s="305">
        <f>BI255/(BI255+BI250)</f>
        <v>0.72020282010446424</v>
      </c>
      <c r="BJ257" s="634">
        <f>BJ255/(BJ255+BJ250)</f>
        <v>0.72020282010446424</v>
      </c>
      <c r="BK257" s="635"/>
      <c r="BL257" s="635"/>
      <c r="BM257" s="635"/>
      <c r="BN257" s="635"/>
      <c r="BO257" s="635"/>
      <c r="BP257" s="635"/>
      <c r="BQ257" s="125"/>
      <c r="BR257" s="108"/>
      <c r="BS257" s="108"/>
      <c r="BZ257" s="108"/>
      <c r="CA257" s="108"/>
      <c r="CB257" s="108"/>
    </row>
    <row r="258" spans="1:80" ht="13.5" customHeight="1" outlineLevel="1">
      <c r="A258" s="108"/>
      <c r="B258" s="630" t="s">
        <v>250</v>
      </c>
      <c r="C258" s="636"/>
      <c r="D258" s="636"/>
      <c r="E258" s="636"/>
      <c r="F258" s="636"/>
      <c r="G258" s="637"/>
      <c r="H258" s="636"/>
      <c r="I258" s="636"/>
      <c r="J258" s="636"/>
      <c r="K258" s="636">
        <f>K256/(K38*4)</f>
        <v>3.5247634508348789</v>
      </c>
      <c r="L258" s="637">
        <f>L256/(L38)</f>
        <v>3.924291247095276</v>
      </c>
      <c r="M258" s="636">
        <f>M256/(M38*4)</f>
        <v>4.4062035873414818</v>
      </c>
      <c r="N258" s="636">
        <f>N256/(N38*4)</f>
        <v>3.4405590572759652</v>
      </c>
      <c r="O258" s="636">
        <f>O256/(O38*4)</f>
        <v>3.2884337403483572</v>
      </c>
      <c r="P258" s="636">
        <f>P256/(P38*4)</f>
        <v>2.6843253785788721</v>
      </c>
      <c r="Q258" s="637">
        <f>Q256/(Q38)</f>
        <v>3.1925066306953336</v>
      </c>
      <c r="R258" s="636">
        <f>R256/(R38*4)</f>
        <v>2.7048839129590054</v>
      </c>
      <c r="S258" s="636">
        <f>S256/(S38*4)</f>
        <v>1.8071450918747318</v>
      </c>
      <c r="T258" s="636">
        <f>T256/(T38*4)</f>
        <v>1.6359322149585163</v>
      </c>
      <c r="U258" s="636">
        <f>U256/(U38*4)</f>
        <v>2.0882558212209816</v>
      </c>
      <c r="V258" s="637">
        <f>V256/(V38)</f>
        <v>2.3592013258931641</v>
      </c>
      <c r="W258" s="636">
        <f>W256/(W38*4)</f>
        <v>2.1440863392079983</v>
      </c>
      <c r="X258" s="636">
        <f>X256/(X38*4)</f>
        <v>2.3187471089671576</v>
      </c>
      <c r="Y258" s="636">
        <f>Y256/(Y38*4)</f>
        <v>2.5884248944554842</v>
      </c>
      <c r="Z258" s="636">
        <f>Z256/(Z38*4)</f>
        <v>2.6365950496373518</v>
      </c>
      <c r="AA258" s="637">
        <f>AA256/(AA38)</f>
        <v>2.8405238577914083</v>
      </c>
      <c r="AB258" s="636">
        <f>AB256/(AB38*4)</f>
        <v>3.1172308141231397</v>
      </c>
      <c r="AC258" s="636">
        <f>AC256/(AC38*4)</f>
        <v>5.0227139199485462</v>
      </c>
      <c r="AD258" s="636">
        <f>AD256/(AD38*4)</f>
        <v>4.2379948639950626</v>
      </c>
      <c r="AE258" s="636">
        <f>AE256/(AE38*4)</f>
        <v>3.8805617252066122</v>
      </c>
      <c r="AF258" s="637">
        <f>AF256/(AF38)</f>
        <v>4.4824712527949186</v>
      </c>
      <c r="AG258" s="636">
        <f>AG256/(AG38*4)</f>
        <v>4.3832029739776956</v>
      </c>
      <c r="AH258" s="636">
        <f>AH256/(AH38*4)</f>
        <v>3.3930076087802612</v>
      </c>
      <c r="AI258" s="636">
        <f>AI256/(AI38*4)</f>
        <v>3.4217917036539434</v>
      </c>
      <c r="AJ258" s="636">
        <f>AJ256/(AJ38*4)</f>
        <v>3.2525748274078574</v>
      </c>
      <c r="AK258" s="637">
        <f>AK256/(AK38)</f>
        <v>3.5960690031537981</v>
      </c>
      <c r="AL258" s="636">
        <f>AL256/(AL38*4)</f>
        <v>3.8354976732161323</v>
      </c>
      <c r="AM258" s="636">
        <f>AM256/(AM38*4)</f>
        <v>3.023950125607676</v>
      </c>
      <c r="AN258" s="636">
        <f>AN256/(AN38*4)</f>
        <v>2.9693433861585103</v>
      </c>
      <c r="AO258" s="636">
        <f>AO256/(AO38*4)</f>
        <v>3.12203611203909</v>
      </c>
      <c r="AP258" s="637">
        <f>AP256/(AP38)</f>
        <v>3.4020583401041886</v>
      </c>
      <c r="AQ258" s="636">
        <f>AQ256/(AQ38*4)</f>
        <v>3.6551578380849867</v>
      </c>
      <c r="AR258" s="636">
        <f>AR256/(AR38*4)</f>
        <v>3.3302718008563068</v>
      </c>
      <c r="AS258" s="636">
        <f>AS256/(AS38*4)</f>
        <v>4.3081497813667458</v>
      </c>
      <c r="AT258" s="636">
        <f>AT256/(AT38*4)</f>
        <v>4.9509732942950926</v>
      </c>
      <c r="AU258" s="637">
        <f>AU256/(AU38)</f>
        <v>5.4813529121125768</v>
      </c>
      <c r="AV258" s="636">
        <f>AV256/(AV38*4)</f>
        <v>5.6411250161772584</v>
      </c>
      <c r="AW258" s="636">
        <f>AW256/((AW38+AV38)*2)</f>
        <v>5.0082608076083428</v>
      </c>
      <c r="AX258" s="636">
        <f>AX256/(AX38+AW38+AV38+AV38)</f>
        <v>4.8448433447609816</v>
      </c>
      <c r="AY258" s="636">
        <f>AY256/(AY38+AX38+AW38+AV38)</f>
        <v>4.3681836075240135</v>
      </c>
      <c r="AZ258" s="637">
        <f>AZ256/(AZ38)</f>
        <v>4.3681836075240135</v>
      </c>
      <c r="BA258" s="636">
        <f>BA256/(BA38*4)</f>
        <v>4.0376343554871124</v>
      </c>
      <c r="BB258" s="636">
        <f>BB256/(BB38*4)</f>
        <v>3.5410866237238978</v>
      </c>
      <c r="BC258" s="636">
        <f>BC256/(BC38*4)</f>
        <v>3.2493829325378827</v>
      </c>
      <c r="BD258" s="636">
        <f>BD256/(BD38*4)</f>
        <v>2.9614031362000768</v>
      </c>
      <c r="BE258" s="637">
        <f>BE256/(BE38)</f>
        <v>3.2160212019249297</v>
      </c>
      <c r="BF258" s="636">
        <f>BF256/(BF38*4)</f>
        <v>3.0117272802700068</v>
      </c>
      <c r="BG258" s="636">
        <f>BG256/(BG38*4)</f>
        <v>2.6033029702040653</v>
      </c>
      <c r="BH258" s="636">
        <f>BH256/(BH38*4)</f>
        <v>2.3650095725933937</v>
      </c>
      <c r="BI258" s="636">
        <f>BI256/(BI38*4)</f>
        <v>2.1126630528244204</v>
      </c>
      <c r="BJ258" s="637">
        <f>BJ256/(BJ38)</f>
        <v>2.292727697184616</v>
      </c>
      <c r="BK258" s="638"/>
      <c r="BL258" s="638"/>
      <c r="BM258" s="638"/>
      <c r="BN258" s="638"/>
      <c r="BO258" s="638"/>
      <c r="BP258" s="638"/>
      <c r="BQ258" s="564"/>
      <c r="BR258" s="108"/>
      <c r="BS258" s="108"/>
      <c r="BZ258" s="108"/>
      <c r="CA258" s="108"/>
      <c r="CB258" s="108"/>
    </row>
    <row r="259" spans="1:80" ht="13.5" customHeight="1" outlineLevel="1">
      <c r="A259" s="108"/>
      <c r="B259" s="630" t="s">
        <v>251</v>
      </c>
      <c r="C259" s="636"/>
      <c r="D259" s="636"/>
      <c r="E259" s="636"/>
      <c r="F259" s="636"/>
      <c r="G259" s="637"/>
      <c r="H259" s="636"/>
      <c r="I259" s="636"/>
      <c r="J259" s="636"/>
      <c r="K259" s="636">
        <f>K255/(K38*4)</f>
        <v>4.0732606679035239</v>
      </c>
      <c r="L259" s="637">
        <f>L255/(L38)</f>
        <v>4.5349599793441788</v>
      </c>
      <c r="M259" s="636">
        <f>M255/(M38*4)</f>
        <v>5.0425568376556589</v>
      </c>
      <c r="N259" s="636">
        <f>N255/(N38*4)</f>
        <v>4.0248081666209909</v>
      </c>
      <c r="O259" s="636">
        <f>O255/(O38*4)</f>
        <v>3.9863664930867304</v>
      </c>
      <c r="P259" s="636">
        <f>P255/(P38*4)</f>
        <v>3.3942546441052039</v>
      </c>
      <c r="Q259" s="637">
        <f>Q255/(Q38)</f>
        <v>4.036835677242359</v>
      </c>
      <c r="R259" s="636">
        <f>R255/(R38*4)</f>
        <v>3.084624538566155</v>
      </c>
      <c r="S259" s="636">
        <f>S255/(S38*4)</f>
        <v>2.3962860936450752</v>
      </c>
      <c r="T259" s="636">
        <f>T255/(T38*4)</f>
        <v>2.3578394940011234</v>
      </c>
      <c r="U259" s="636">
        <f>U255/(U38*4)</f>
        <v>2.2046767685886715</v>
      </c>
      <c r="V259" s="637">
        <f>V255/(V38)</f>
        <v>2.4907275740666286</v>
      </c>
      <c r="W259" s="636">
        <f>W255/(W38*4)</f>
        <v>2.4270524727095593</v>
      </c>
      <c r="X259" s="636">
        <f>X255/(X38*4)</f>
        <v>3.099476310050882</v>
      </c>
      <c r="Y259" s="636">
        <f>Y255/(Y38*4)</f>
        <v>3.0973451623478723</v>
      </c>
      <c r="Z259" s="636">
        <f>Z255/(Z38*4)</f>
        <v>2.9095001878514259</v>
      </c>
      <c r="AA259" s="637">
        <f>AA255/(AA38)</f>
        <v>3.1345369851078546</v>
      </c>
      <c r="AB259" s="636">
        <f>AB255/(AB38*4)</f>
        <v>3.3734315728042019</v>
      </c>
      <c r="AC259" s="636">
        <f>AC255/(AC38*4)</f>
        <v>5.3793322036414022</v>
      </c>
      <c r="AD259" s="636">
        <f>AD255/(AD38*4)</f>
        <v>4.7497313516730593</v>
      </c>
      <c r="AE259" s="636">
        <f>AE255/(AE38*4)</f>
        <v>4.4120286673553721</v>
      </c>
      <c r="AF259" s="637">
        <f>AF255/(AF38)</f>
        <v>5.0963734295128518</v>
      </c>
      <c r="AG259" s="636">
        <f>AG255/(AG38*4)</f>
        <v>4.739393308550186</v>
      </c>
      <c r="AH259" s="636">
        <f>AH255/(AH38*4)</f>
        <v>3.8804536078461913</v>
      </c>
      <c r="AI259" s="636">
        <f>AI255/(AI38*4)</f>
        <v>3.7667426405316573</v>
      </c>
      <c r="AJ259" s="636">
        <f>AJ255/(AJ38*4)</f>
        <v>3.4741853875733657</v>
      </c>
      <c r="AK259" s="637">
        <f>AK255/(AK38)</f>
        <v>3.8410831560850149</v>
      </c>
      <c r="AL259" s="636">
        <f>AL255/(AL38*4)</f>
        <v>3.9422117373319545</v>
      </c>
      <c r="AM259" s="636">
        <f>AM255/(AM38*4)</f>
        <v>3.2412171083655577</v>
      </c>
      <c r="AN259" s="636">
        <f>AN255/(AN38*4)</f>
        <v>3.1633408194797425</v>
      </c>
      <c r="AO259" s="636">
        <f>AO255/(AO38*4)</f>
        <v>3.2620527754186974</v>
      </c>
      <c r="AP259" s="637">
        <f>AP255/(AP38)</f>
        <v>3.554633403399353</v>
      </c>
      <c r="AQ259" s="636">
        <f>AQ255/(AQ38*4)</f>
        <v>3.8198078699955227</v>
      </c>
      <c r="AR259" s="636">
        <f>AR255/(AR38*4)</f>
        <v>3.4472780884953007</v>
      </c>
      <c r="AS259" s="636">
        <f>AS255/(AS38*4)</f>
        <v>4.3938980772862086</v>
      </c>
      <c r="AT259" s="636">
        <f>AT255/(AT38*4)</f>
        <v>5.0632108952178143</v>
      </c>
      <c r="AU259" s="637">
        <f>AU255/(AU38)</f>
        <v>5.6056141157379704</v>
      </c>
      <c r="AV259" s="636">
        <f>AV255/(AV38*4)</f>
        <v>5.4215786473825771</v>
      </c>
      <c r="AW259" s="636">
        <f>AW255/(AW38*4)</f>
        <v>4.5782736722191268</v>
      </c>
      <c r="AX259" s="636">
        <f>AX255/(AX38*4)</f>
        <v>4.3104795685056754</v>
      </c>
      <c r="AY259" s="636">
        <f>AY255/(AY38*4)</f>
        <v>4.1228327001043938</v>
      </c>
      <c r="AZ259" s="637">
        <f>AZ255/(AZ38)</f>
        <v>4.5588436024698042</v>
      </c>
      <c r="BA259" s="636">
        <f>BA255/(BA38*4)</f>
        <v>4.3480595832674114</v>
      </c>
      <c r="BB259" s="636">
        <f>BB255/(BB38*4)</f>
        <v>3.9347288432624703</v>
      </c>
      <c r="BC259" s="636">
        <f>BC255/(BC38*4)</f>
        <v>3.6648095373968301</v>
      </c>
      <c r="BD259" s="636">
        <f>BD255/(BD38*4)</f>
        <v>3.462178903907942</v>
      </c>
      <c r="BE259" s="637">
        <f>BE255/(BE38)</f>
        <v>3.759853099268446</v>
      </c>
      <c r="BF259" s="636">
        <f>BF255/(BF38*4)</f>
        <v>3.7079476543743528</v>
      </c>
      <c r="BG259" s="636">
        <f>BG255/(BG38*4)</f>
        <v>3.3995404744831172</v>
      </c>
      <c r="BH259" s="636">
        <f>BH255/(BH38*4)</f>
        <v>3.2095177579096985</v>
      </c>
      <c r="BI259" s="636">
        <f>BI255/(BI38*4)</f>
        <v>3.0680652709826703</v>
      </c>
      <c r="BJ259" s="637">
        <f>BJ255/(BJ38)</f>
        <v>3.3295599192441574</v>
      </c>
      <c r="BK259" s="638"/>
      <c r="BL259" s="638"/>
      <c r="BM259" s="638"/>
      <c r="BN259" s="638"/>
      <c r="BO259" s="638"/>
      <c r="BP259" s="638"/>
      <c r="BQ259" s="564"/>
      <c r="BR259" s="108"/>
      <c r="BS259" s="108"/>
      <c r="BZ259" s="108"/>
      <c r="CA259" s="108"/>
      <c r="CB259" s="108"/>
    </row>
    <row r="260" spans="1:80" ht="13.5" customHeight="1" outlineLevel="1">
      <c r="A260" s="108"/>
      <c r="B260" s="630" t="s">
        <v>252</v>
      </c>
      <c r="C260" s="639"/>
      <c r="D260" s="639"/>
      <c r="E260" s="639"/>
      <c r="F260" s="639"/>
      <c r="G260" s="265"/>
      <c r="H260" s="639"/>
      <c r="I260" s="639"/>
      <c r="J260" s="639"/>
      <c r="K260" s="639">
        <f>K69*4/AVERAGE(J221,K221)</f>
        <v>5.3352645899724001E-2</v>
      </c>
      <c r="L260" s="265">
        <f>L69*4/AVERAGE(G221,L221)</f>
        <v>0.20267172193881344</v>
      </c>
      <c r="M260" s="639">
        <f>M69*4/AVERAGE(L221,M221)</f>
        <v>3.8820542162763559E-2</v>
      </c>
      <c r="N260" s="639">
        <f>N69*4/AVERAGE(M221,N221)</f>
        <v>5.5228181493081577E-2</v>
      </c>
      <c r="O260" s="639">
        <f>O69*4/AVERAGE(N221,O221)</f>
        <v>5.5772788173730714E-2</v>
      </c>
      <c r="P260" s="639">
        <f>P69*4/AVERAGE(O221,P221)</f>
        <v>6.7695026957316273E-2</v>
      </c>
      <c r="Q260" s="265">
        <f>Q69*4/AVERAGE(L221,Q221)</f>
        <v>0.21477169195713192</v>
      </c>
      <c r="R260" s="639">
        <f>R69*4/AVERAGE(Q221,R221)</f>
        <v>5.0035210903717028E-2</v>
      </c>
      <c r="S260" s="639">
        <f>S69*4/AVERAGE(R221,S221)</f>
        <v>8.0787090423622296E-2</v>
      </c>
      <c r="T260" s="639">
        <f>T69*4/AVERAGE(S221,T221)</f>
        <v>7.8694236431882489E-2</v>
      </c>
      <c r="U260" s="639">
        <f>U69*4/AVERAGE(T221,U221)</f>
        <v>8.748829909693559E-2</v>
      </c>
      <c r="V260" s="265">
        <f>V69*4/AVERAGE(Q221,V221)</f>
        <v>0.27848513081453141</v>
      </c>
      <c r="W260" s="639">
        <f>W69*4/AVERAGE(V221,W221)</f>
        <v>6.9861658606739249E-2</v>
      </c>
      <c r="X260" s="639">
        <f>X69*4/AVERAGE(W221,X221)</f>
        <v>8.3232528246912213E-2</v>
      </c>
      <c r="Y260" s="639">
        <f>Y69*4/AVERAGE(X221,Y221)</f>
        <v>7.2596933844423575E-2</v>
      </c>
      <c r="Z260" s="639">
        <f>Z69*4/AVERAGE(Y221,Z221)</f>
        <v>8.2303787068585682E-2</v>
      </c>
      <c r="AA260" s="265">
        <f>AA69*4/AVERAGE(V221,AA221)</f>
        <v>0.31388398353695057</v>
      </c>
      <c r="AB260" s="639">
        <f>AB69*4/AVERAGE(AA221,AB221)</f>
        <v>7.1176300883136034E-2</v>
      </c>
      <c r="AC260" s="639">
        <f>AC69*4/AVERAGE(AB221,AC221)</f>
        <v>6.711674833861464E-2</v>
      </c>
      <c r="AD260" s="639">
        <f>AD69*4/AVERAGE(AC221,AD221)</f>
        <v>6.0524653114901315E-2</v>
      </c>
      <c r="AE260" s="639">
        <f>AE69*4/AVERAGE(AD221,AE221)</f>
        <v>6.6788845252169188E-2</v>
      </c>
      <c r="AF260" s="265">
        <f>AF69*4/AVERAGE(AA221,AF221)</f>
        <v>0.2834853874863239</v>
      </c>
      <c r="AG260" s="639">
        <f>AG69*4/AVERAGE(AF221,AG221)</f>
        <v>5.7587347890657573E-2</v>
      </c>
      <c r="AH260" s="639">
        <f>AH69*4/AVERAGE(AG221,AH221)</f>
        <v>7.2846230299955073E-2</v>
      </c>
      <c r="AI260" s="639">
        <f>AI69*4/AVERAGE(AH221,AI221)</f>
        <v>7.6415297305703567E-2</v>
      </c>
      <c r="AJ260" s="639">
        <f>AJ69*4/AVERAGE(AI221,AJ221)</f>
        <v>8.1685895194068894E-2</v>
      </c>
      <c r="AK260" s="265">
        <f>AK69*4/AVERAGE(AF221,AK221)</f>
        <v>0.28160930090351066</v>
      </c>
      <c r="AL260" s="639">
        <f>AL69*4/AVERAGE(AK221,AL221)</f>
        <v>6.8887967669084671E-2</v>
      </c>
      <c r="AM260" s="639">
        <f>AM69*4/AVERAGE(AL221,AM221)</f>
        <v>8.6530057229952759E-2</v>
      </c>
      <c r="AN260" s="639">
        <f>AN69*4/AVERAGE(AM221,AN221)</f>
        <v>8.8091526660946121E-2</v>
      </c>
      <c r="AO260" s="639">
        <f>AO69*4/AVERAGE(AN221,AO221)</f>
        <v>8.8249014872630802E-2</v>
      </c>
      <c r="AP260" s="265">
        <f>AP69*4/AVERAGE(AK221,AP221)</f>
        <v>0.31826472658030874</v>
      </c>
      <c r="AQ260" s="639">
        <f>AQ69*4/AVERAGE(AP221,AQ221)</f>
        <v>7.7028963713342155E-2</v>
      </c>
      <c r="AR260" s="639">
        <f>AR69*4/AVERAGE(AQ221,AR221)</f>
        <v>9.1583668318606565E-2</v>
      </c>
      <c r="AS260" s="639">
        <f>AS69*4/AVERAGE(AR221,AS221)</f>
        <v>8.6501571021899051E-2</v>
      </c>
      <c r="AT260" s="639">
        <f>AT69*4/AVERAGE(AS221,AT221)</f>
        <v>8.2948482079658312E-2</v>
      </c>
      <c r="AU260" s="265">
        <f>AU69*4/AVERAGE(AP221,AU221)</f>
        <v>0.32646111191026916</v>
      </c>
      <c r="AV260" s="639">
        <f>AV69*4/AVERAGE(AU221,AV221)</f>
        <v>9.2629150550131198E-2</v>
      </c>
      <c r="AW260" s="639">
        <f>AW69*4/AVERAGE(AV221,AW221)</f>
        <v>9.527134479585285E-2</v>
      </c>
      <c r="AX260" s="639">
        <f>AX69*4/AVERAGE(AW221,AX221)</f>
        <v>9.9895131617700958E-2</v>
      </c>
      <c r="AY260" s="639">
        <f>AY69*4/AVERAGE(AX221,AY221)</f>
        <v>0.10345457507659989</v>
      </c>
      <c r="AZ260" s="265">
        <f>AZ69*4/AVERAGE(AU221,AZ221)</f>
        <v>0.43704963645017147</v>
      </c>
      <c r="BA260" s="639">
        <f>BA69*4/AVERAGE(AZ221,BA221)</f>
        <v>9.4534042953299702E-2</v>
      </c>
      <c r="BB260" s="639">
        <f>BB69*4/AVERAGE(BA221,BB221)</f>
        <v>0.10364876875994965</v>
      </c>
      <c r="BC260" s="639">
        <f>BC69*4/AVERAGE(BB221,BC221)</f>
        <v>0.11003322361455013</v>
      </c>
      <c r="BD260" s="639">
        <f>BD69*4/AVERAGE(BC221,BD221)</f>
        <v>0.11485785475043105</v>
      </c>
      <c r="BE260" s="265">
        <f>BE69*4/AVERAGE(AZ221,BE221)</f>
        <v>0.42288687105643213</v>
      </c>
      <c r="BF260" s="639">
        <f>BF69*4/AVERAGE(BE221,BF221)</f>
        <v>0.10470721385897566</v>
      </c>
      <c r="BG260" s="639">
        <f>BG69*4/AVERAGE(BF221,BG221)</f>
        <v>0.1132059690636015</v>
      </c>
      <c r="BH260" s="639">
        <f>BH69*4/AVERAGE(BG221,BH221)</f>
        <v>0.1184973392858133</v>
      </c>
      <c r="BI260" s="639">
        <f>BI69*4/AVERAGE(BH221,BI221)</f>
        <v>0.12230356307778682</v>
      </c>
      <c r="BJ260" s="265">
        <f>BJ69*4/AVERAGE(BE221,BJ221)</f>
        <v>0.45815129583650582</v>
      </c>
      <c r="BK260" s="207"/>
      <c r="BL260" s="207"/>
      <c r="BM260" s="207"/>
      <c r="BN260" s="207"/>
      <c r="BO260" s="207"/>
      <c r="BP260" s="207"/>
      <c r="BQ260" s="125"/>
      <c r="BR260" s="108"/>
      <c r="BS260" s="108"/>
      <c r="BZ260" s="108"/>
      <c r="CA260" s="108"/>
      <c r="CB260" s="108"/>
    </row>
    <row r="261" spans="1:80" ht="13.5" customHeight="1" outlineLevel="1">
      <c r="A261" s="108"/>
      <c r="B261" s="630" t="s">
        <v>253</v>
      </c>
      <c r="C261" s="640"/>
      <c r="D261" s="640"/>
      <c r="E261" s="640"/>
      <c r="F261" s="640"/>
      <c r="G261" s="641"/>
      <c r="H261" s="640"/>
      <c r="I261" s="640"/>
      <c r="J261" s="640"/>
      <c r="K261" s="640">
        <f>K69*4/AVERAGE(J250,K250)</f>
        <v>0.30199661772386593</v>
      </c>
      <c r="L261" s="641">
        <f>L69*4/AVERAGE(G250,L250)</f>
        <v>1.0474955105621728</v>
      </c>
      <c r="M261" s="640">
        <f>M69*4/AVERAGE(L250,M250)</f>
        <v>0.21771753233427471</v>
      </c>
      <c r="N261" s="640">
        <f>N69*4/AVERAGE(M250,N250)</f>
        <v>0.30631220549577481</v>
      </c>
      <c r="O261" s="640">
        <f>O69*4/AVERAGE(N250,O250)</f>
        <v>0.31101350348716433</v>
      </c>
      <c r="P261" s="640">
        <f>P69*4/AVERAGE(O250,P250)</f>
        <v>0.37946890149486429</v>
      </c>
      <c r="Q261" s="641">
        <f>Q69*4/AVERAGE(L250,Q250)</f>
        <v>1.20852767695658</v>
      </c>
      <c r="R261" s="640">
        <f>R69*4/AVERAGE(Q250,R250)</f>
        <v>0.266801860383098</v>
      </c>
      <c r="S261" s="640">
        <f>S69*4/AVERAGE(R250,S250)</f>
        <v>0.41247388123682716</v>
      </c>
      <c r="T261" s="640">
        <f>T69*4/AVERAGE(S250,T250)</f>
        <v>0.39711226587441223</v>
      </c>
      <c r="U261" s="640">
        <f>U69*4/AVERAGE(T250,U250)</f>
        <v>0.42966262897747043</v>
      </c>
      <c r="V261" s="641">
        <f>V69*4/AVERAGE(Q250,V250)</f>
        <v>1.4428672108677434</v>
      </c>
      <c r="W261" s="640">
        <f>W69*4/AVERAGE(V250,W250)</f>
        <v>0.32469089487987163</v>
      </c>
      <c r="X261" s="640">
        <f>X69*4/AVERAGE(W250,X250)</f>
        <v>0.4556529690930074</v>
      </c>
      <c r="Y261" s="640">
        <f>Y69*4/AVERAGE(X250,Y250)</f>
        <v>0.50191864565819644</v>
      </c>
      <c r="Z261" s="640">
        <f>Z69*4/AVERAGE(Y250,Z250)</f>
        <v>0.5048515234935157</v>
      </c>
      <c r="AA261" s="641">
        <f>AA69*4/AVERAGE(V250,AA250)</f>
        <v>1.6168822283471962</v>
      </c>
      <c r="AB261" s="640">
        <f>AB69*4/AVERAGE(AA250,AB250)</f>
        <v>0.40335558045501035</v>
      </c>
      <c r="AC261" s="640">
        <f>AC69*4/AVERAGE(AB250,AC250)</f>
        <v>0.47309752951997008</v>
      </c>
      <c r="AD261" s="640">
        <f>AD69*4/AVERAGE(AC250,AD250)</f>
        <v>0.47146865775687796</v>
      </c>
      <c r="AE261" s="640">
        <f>AE69*4/AVERAGE(AD250,AE250)</f>
        <v>0.48174730701488944</v>
      </c>
      <c r="AF261" s="641">
        <f>AF69*4/AVERAGE(AA250,AF250)</f>
        <v>1.7857354884424614</v>
      </c>
      <c r="AG261" s="640">
        <f>AG69*4/AVERAGE(AF250,AG250)</f>
        <v>0.39005896714516225</v>
      </c>
      <c r="AH261" s="640">
        <f>AH69*4/AVERAGE(AG250,AH250)</f>
        <v>0.47303346219609183</v>
      </c>
      <c r="AI261" s="640">
        <f>AI69*4/AVERAGE(AH250,AI250)</f>
        <v>0.50677653622328744</v>
      </c>
      <c r="AJ261" s="640">
        <f>AJ69*4/AVERAGE(AI250,AJ250)</f>
        <v>0.55598415475901175</v>
      </c>
      <c r="AK261" s="641">
        <f>AK69*4/AVERAGE(AF250,AK250)</f>
        <v>1.9425703510236279</v>
      </c>
      <c r="AL261" s="640">
        <f>AL69*4/AVERAGE(AK250,AL250)</f>
        <v>0.45263525262479803</v>
      </c>
      <c r="AM261" s="640">
        <f>AM69*4/AVERAGE(AL250,AM250)</f>
        <v>0.53638518855747996</v>
      </c>
      <c r="AN261" s="640">
        <f>AN69*4/AVERAGE(AM250,AN250)</f>
        <v>0.48407475866323058</v>
      </c>
      <c r="AO261" s="640">
        <f>AO69*4/AVERAGE(AN250,AO250)</f>
        <v>0.45857935132727495</v>
      </c>
      <c r="AP261" s="641">
        <f>AP69*4/AVERAGE(AK250,AP250)</f>
        <v>1.8953780395714612</v>
      </c>
      <c r="AQ261" s="640">
        <f>AQ69*4/AVERAGE(AP250,AQ250)</f>
        <v>0.40069407308295052</v>
      </c>
      <c r="AR261" s="640">
        <f>AR69*4/AVERAGE(AQ250,AR250)</f>
        <v>0.46345202461677376</v>
      </c>
      <c r="AS261" s="640">
        <f>AS69*4/AVERAGE(AR250,AS250)</f>
        <v>0.66254808436618384</v>
      </c>
      <c r="AT261" s="640">
        <f>AT69*4/AVERAGE(AS250,AT250)</f>
        <v>1.2522963180527773</v>
      </c>
      <c r="AU261" s="641">
        <f>AU69*4/AVERAGE(AP250,AU250)</f>
        <v>2.7465741614393289</v>
      </c>
      <c r="AV261" s="640">
        <f>AV69*4/AVERAGE(AU250,AV250)</f>
        <v>1.5519804741595549</v>
      </c>
      <c r="AW261" s="640">
        <f>AW69*4/AVERAGE(AV250,AW250)</f>
        <v>1.5139174060313056</v>
      </c>
      <c r="AX261" s="640">
        <f>AX69*4/AVERAGE(AW250,AX250)</f>
        <v>1.3137897340434357</v>
      </c>
      <c r="AY261" s="640">
        <f>AY69*4/AVERAGE(AX250,AY250)</f>
        <v>1.1472087462148559</v>
      </c>
      <c r="AZ261" s="641">
        <f>AZ69*4/AVERAGE(AU250,AZ250)</f>
        <v>5.2254996177144877</v>
      </c>
      <c r="BA261" s="640">
        <f>BA69*4/AVERAGE(AZ250,BA250)</f>
        <v>0.91143241449954104</v>
      </c>
      <c r="BB261" s="640">
        <f>BB69*4/AVERAGE(BA250,BB250)</f>
        <v>0.88275288509403838</v>
      </c>
      <c r="BC261" s="640">
        <f>BC69*4/AVERAGE(BB250,BC250)</f>
        <v>0.82939795251867698</v>
      </c>
      <c r="BD261" s="640">
        <f>BD69*4/AVERAGE(BC250,BD250)</f>
        <v>0.77162231867983366</v>
      </c>
      <c r="BE261" s="641">
        <f>BE69*4/AVERAGE(AZ250,BE250)</f>
        <v>3.3152297374499602</v>
      </c>
      <c r="BF261" s="640">
        <f>BF69*4/AVERAGE(BE250,BF250)</f>
        <v>0.6403047329037953</v>
      </c>
      <c r="BG261" s="640">
        <f>BG69*4/AVERAGE(BF250,BG250)</f>
        <v>0.63953113956529328</v>
      </c>
      <c r="BH261" s="640">
        <f>BH69*4/AVERAGE(BG250,BH250)</f>
        <v>0.61789640925954603</v>
      </c>
      <c r="BI261" s="640">
        <f>BI69*4/AVERAGE(BH250,BI250)</f>
        <v>0.5902885024329052</v>
      </c>
      <c r="BJ261" s="641">
        <f>BJ69*4/AVERAGE(BE250,BJ250)</f>
        <v>2.4544235917057562</v>
      </c>
      <c r="BK261" s="642"/>
      <c r="BL261" s="642"/>
      <c r="BM261" s="642"/>
      <c r="BN261" s="642"/>
      <c r="BO261" s="642"/>
      <c r="BP261" s="642"/>
      <c r="BQ261" s="125"/>
      <c r="BR261" s="108"/>
      <c r="BS261" s="108"/>
      <c r="BZ261" s="108"/>
      <c r="CA261" s="108"/>
      <c r="CB261" s="108"/>
    </row>
    <row r="262" spans="1:80" ht="13.5" customHeight="1" outlineLevel="1">
      <c r="A262" s="108"/>
      <c r="B262" s="630" t="s">
        <v>254</v>
      </c>
      <c r="C262" s="640"/>
      <c r="D262" s="640"/>
      <c r="E262" s="640"/>
      <c r="F262" s="640"/>
      <c r="G262" s="641"/>
      <c r="H262" s="640"/>
      <c r="I262" s="640"/>
      <c r="J262" s="640"/>
      <c r="K262" s="640"/>
      <c r="L262" s="641"/>
      <c r="M262" s="640"/>
      <c r="N262" s="640"/>
      <c r="O262" s="640"/>
      <c r="P262" s="640"/>
      <c r="Q262" s="641"/>
      <c r="R262" s="640"/>
      <c r="S262" s="640"/>
      <c r="T262" s="640"/>
      <c r="U262" s="640"/>
      <c r="V262" s="641"/>
      <c r="W262" s="643"/>
      <c r="X262" s="643"/>
      <c r="Y262" s="643"/>
      <c r="Z262" s="643"/>
      <c r="AA262" s="644"/>
      <c r="AB262" s="643"/>
      <c r="AC262" s="643"/>
      <c r="AD262" s="643"/>
      <c r="AE262" s="643"/>
      <c r="AF262" s="644"/>
      <c r="AG262" s="643"/>
      <c r="AH262" s="643"/>
      <c r="AI262" s="645">
        <f>AI38+AH38+AG38+AE38</f>
        <v>775.68199999999979</v>
      </c>
      <c r="AJ262" s="645">
        <f>AJ38+AI38+AH38+AG38</f>
        <v>804.42699999999991</v>
      </c>
      <c r="AK262" s="646">
        <f>AK38</f>
        <v>804.42699999999991</v>
      </c>
      <c r="AL262" s="643"/>
      <c r="AM262" s="643"/>
      <c r="AN262" s="643"/>
      <c r="AO262" s="643"/>
      <c r="AP262" s="644"/>
      <c r="AQ262" s="643"/>
      <c r="AR262" s="643"/>
      <c r="AS262" s="643"/>
      <c r="AT262" s="643"/>
      <c r="AU262" s="644"/>
      <c r="AV262" s="643"/>
      <c r="AW262" s="643"/>
      <c r="AX262" s="643"/>
      <c r="AY262" s="643"/>
      <c r="AZ262" s="644"/>
      <c r="BA262" s="643"/>
      <c r="BB262" s="643"/>
      <c r="BC262" s="643"/>
      <c r="BD262" s="643"/>
      <c r="BE262" s="644"/>
      <c r="BF262" s="643"/>
      <c r="BG262" s="643"/>
      <c r="BH262" s="643"/>
      <c r="BI262" s="643"/>
      <c r="BJ262" s="644"/>
      <c r="BK262" s="642"/>
      <c r="BL262" s="642"/>
      <c r="BM262" s="642"/>
      <c r="BN262" s="642"/>
      <c r="BO262" s="642"/>
      <c r="BP262" s="642"/>
      <c r="BQ262" s="125"/>
      <c r="BR262" s="108"/>
      <c r="BS262" s="108"/>
      <c r="BZ262" s="108"/>
      <c r="CA262" s="108"/>
      <c r="CB262" s="108"/>
    </row>
    <row r="263" spans="1:80" ht="13.5" customHeight="1" outlineLevel="1">
      <c r="A263" s="108"/>
      <c r="B263" s="630" t="s">
        <v>255</v>
      </c>
      <c r="C263" s="640"/>
      <c r="D263" s="640"/>
      <c r="E263" s="640"/>
      <c r="F263" s="640"/>
      <c r="G263" s="641"/>
      <c r="H263" s="640"/>
      <c r="I263" s="640"/>
      <c r="J263" s="640"/>
      <c r="K263" s="640"/>
      <c r="L263" s="641"/>
      <c r="M263" s="640"/>
      <c r="N263" s="640"/>
      <c r="O263" s="640"/>
      <c r="P263" s="640"/>
      <c r="Q263" s="641"/>
      <c r="R263" s="640"/>
      <c r="S263" s="640"/>
      <c r="T263" s="640"/>
      <c r="U263" s="640"/>
      <c r="V263" s="641"/>
      <c r="W263" s="643"/>
      <c r="X263" s="643"/>
      <c r="Y263" s="643"/>
      <c r="Z263" s="643"/>
      <c r="AA263" s="644"/>
      <c r="AB263" s="643"/>
      <c r="AC263" s="643"/>
      <c r="AD263" s="643"/>
      <c r="AE263" s="643"/>
      <c r="AF263" s="644"/>
      <c r="AG263" s="643"/>
      <c r="AH263" s="643"/>
      <c r="AI263" s="645">
        <f>AI256/AI262</f>
        <v>3.6773755224434765</v>
      </c>
      <c r="AJ263" s="645">
        <f>AJ256/AJ262</f>
        <v>3.5960690031537981</v>
      </c>
      <c r="AK263" s="646">
        <f>AK256/AK262</f>
        <v>3.5960690031537981</v>
      </c>
      <c r="AL263" s="643"/>
      <c r="AM263" s="643"/>
      <c r="AN263" s="643"/>
      <c r="AO263" s="643"/>
      <c r="AP263" s="644"/>
      <c r="AQ263" s="643"/>
      <c r="AR263" s="643"/>
      <c r="AS263" s="643"/>
      <c r="AT263" s="643"/>
      <c r="AU263" s="644"/>
      <c r="AV263" s="643"/>
      <c r="AW263" s="643"/>
      <c r="AX263" s="643"/>
      <c r="AY263" s="643"/>
      <c r="AZ263" s="644"/>
      <c r="BA263" s="643"/>
      <c r="BB263" s="643"/>
      <c r="BC263" s="643"/>
      <c r="BD263" s="643"/>
      <c r="BE263" s="644"/>
      <c r="BF263" s="643"/>
      <c r="BG263" s="643"/>
      <c r="BH263" s="643"/>
      <c r="BI263" s="643"/>
      <c r="BJ263" s="644"/>
      <c r="BK263" s="642"/>
      <c r="BL263" s="642"/>
      <c r="BM263" s="642"/>
      <c r="BN263" s="642"/>
      <c r="BO263" s="642"/>
      <c r="BP263" s="642"/>
      <c r="BQ263" s="125"/>
      <c r="BR263" s="108"/>
      <c r="BS263" s="108"/>
      <c r="BZ263" s="108"/>
      <c r="CA263" s="108"/>
      <c r="CB263" s="108"/>
    </row>
    <row r="264" spans="1:80" ht="13.5" customHeight="1" outlineLevel="1">
      <c r="A264" s="108"/>
      <c r="B264" s="630" t="s">
        <v>256</v>
      </c>
      <c r="C264" s="647"/>
      <c r="D264" s="647"/>
      <c r="E264" s="647"/>
      <c r="F264" s="647"/>
      <c r="G264" s="648"/>
      <c r="H264" s="647"/>
      <c r="I264" s="647"/>
      <c r="J264" s="647"/>
      <c r="K264" s="647"/>
      <c r="L264" s="648"/>
      <c r="M264" s="647">
        <f>+M209/M15*90</f>
        <v>151.33963959203084</v>
      </c>
      <c r="N264" s="647">
        <f>+N209/N15*90</f>
        <v>130.90939272375152</v>
      </c>
      <c r="O264" s="647">
        <f>+O209/O15*90</f>
        <v>136.21670970121727</v>
      </c>
      <c r="P264" s="647">
        <f>+P209/P15*90</f>
        <v>136.71553599683543</v>
      </c>
      <c r="Q264" s="648"/>
      <c r="R264" s="647">
        <f>+R209/R15*90</f>
        <v>136.22338024172223</v>
      </c>
      <c r="S264" s="647">
        <f>+S209/S15*90</f>
        <v>124.18629838158368</v>
      </c>
      <c r="T264" s="647">
        <f>+T209/T15*90</f>
        <v>127.79347535948196</v>
      </c>
      <c r="U264" s="647">
        <f>+U209/U15*90</f>
        <v>131.97495445930099</v>
      </c>
      <c r="V264" s="648"/>
      <c r="W264" s="647">
        <f>+W209/W15*90</f>
        <v>132.34370705860366</v>
      </c>
      <c r="X264" s="647">
        <f>+X209/X15*90</f>
        <v>119.92937182350028</v>
      </c>
      <c r="Y264" s="647">
        <f>+Y209/Y15*90</f>
        <v>114.55310224808466</v>
      </c>
      <c r="Z264" s="647">
        <f>+Z209/Z15*90</f>
        <v>137.7012656259113</v>
      </c>
      <c r="AA264" s="649"/>
      <c r="AB264" s="647">
        <f>+AB209/AB15*90</f>
        <v>147.61139145744667</v>
      </c>
      <c r="AC264" s="647">
        <f>+AC209/AC15*90</f>
        <v>142.94082495571001</v>
      </c>
      <c r="AD264" s="647">
        <f>+AD209/AD15*90</f>
        <v>125.22355111598169</v>
      </c>
      <c r="AE264" s="647">
        <f>+AE209/AE15*90</f>
        <v>135.99567325624767</v>
      </c>
      <c r="AF264" s="649"/>
      <c r="AG264" s="647">
        <f>+AG209/AG15*90</f>
        <v>136.17900204291456</v>
      </c>
      <c r="AH264" s="647">
        <f>+AH209/AH15*90</f>
        <v>122.486982055773</v>
      </c>
      <c r="AI264" s="647">
        <f>+AI209/AI15*90</f>
        <v>121.02632129167151</v>
      </c>
      <c r="AJ264" s="647">
        <f>+AJ209/AJ15*90</f>
        <v>135.05372096872068</v>
      </c>
      <c r="AK264" s="650"/>
      <c r="AL264" s="647">
        <f>+AL209/AL15*90</f>
        <v>148.22251339254657</v>
      </c>
      <c r="AM264" s="647">
        <f>+AM209/AM15*90</f>
        <v>135.18384701996541</v>
      </c>
      <c r="AN264" s="647">
        <f>+AN209/AN15*90</f>
        <v>137.65272348560507</v>
      </c>
      <c r="AO264" s="647">
        <f>+AO209/AO15*90</f>
        <v>168.39701281020359</v>
      </c>
      <c r="AP264" s="649"/>
      <c r="AQ264" s="647">
        <f>+AQ209/AQ15*90</f>
        <v>169.18491416902427</v>
      </c>
      <c r="AR264" s="647">
        <f>+AR209/AR15*90</f>
        <v>149.47429489973229</v>
      </c>
      <c r="AS264" s="647">
        <f>+AS209/AS15*90</f>
        <v>146.04896505434547</v>
      </c>
      <c r="AT264" s="647">
        <f>+AT209/AT15*90</f>
        <v>155.95682489686942</v>
      </c>
      <c r="AU264" s="649"/>
      <c r="AV264" s="651">
        <v>150</v>
      </c>
      <c r="AW264" s="651">
        <f t="shared" ref="AW264:AY267" si="309">+AV264</f>
        <v>150</v>
      </c>
      <c r="AX264" s="651">
        <f t="shared" si="309"/>
        <v>150</v>
      </c>
      <c r="AY264" s="651">
        <f t="shared" si="309"/>
        <v>150</v>
      </c>
      <c r="AZ264" s="649"/>
      <c r="BA264" s="651">
        <v>150</v>
      </c>
      <c r="BB264" s="651">
        <f t="shared" ref="BB264:BD266" si="310">+BA264</f>
        <v>150</v>
      </c>
      <c r="BC264" s="651">
        <f t="shared" si="310"/>
        <v>150</v>
      </c>
      <c r="BD264" s="651">
        <f t="shared" si="310"/>
        <v>150</v>
      </c>
      <c r="BE264" s="649"/>
      <c r="BF264" s="651">
        <v>150</v>
      </c>
      <c r="BG264" s="651">
        <f t="shared" ref="BG264:BI267" si="311">+BF264</f>
        <v>150</v>
      </c>
      <c r="BH264" s="651">
        <f t="shared" si="311"/>
        <v>150</v>
      </c>
      <c r="BI264" s="651">
        <f t="shared" si="311"/>
        <v>150</v>
      </c>
      <c r="BJ264" s="649"/>
      <c r="BK264" s="652"/>
      <c r="BL264" s="652"/>
      <c r="BM264" s="652"/>
      <c r="BN264" s="652"/>
      <c r="BO264" s="652"/>
      <c r="BP264" s="652"/>
      <c r="BQ264" s="125"/>
      <c r="BR264" s="108"/>
      <c r="BS264" s="108"/>
      <c r="BZ264" s="108"/>
      <c r="CA264" s="108"/>
      <c r="CB264" s="108"/>
    </row>
    <row r="265" spans="1:80" ht="13.5" customHeight="1" outlineLevel="1">
      <c r="A265" s="108"/>
      <c r="B265" s="630" t="s">
        <v>257</v>
      </c>
      <c r="C265" s="647"/>
      <c r="D265" s="647"/>
      <c r="E265" s="647"/>
      <c r="F265" s="647"/>
      <c r="G265" s="648"/>
      <c r="H265" s="647"/>
      <c r="I265" s="647"/>
      <c r="J265" s="647"/>
      <c r="K265" s="647"/>
      <c r="L265" s="648"/>
      <c r="M265" s="647"/>
      <c r="N265" s="647">
        <f>+N224/N15*90</f>
        <v>62.495365887397966</v>
      </c>
      <c r="O265" s="647">
        <f>+O224/O15*90</f>
        <v>64.381870158613054</v>
      </c>
      <c r="P265" s="647">
        <f>+P224/P15*90</f>
        <v>71.83519580696202</v>
      </c>
      <c r="Q265" s="648"/>
      <c r="R265" s="647">
        <f>+R224/R15*90</f>
        <v>66.598862331832777</v>
      </c>
      <c r="S265" s="647">
        <f>+S224/S15*90</f>
        <v>64.850409788845425</v>
      </c>
      <c r="T265" s="647">
        <f>+T224/T15*90</f>
        <v>74.165386832342364</v>
      </c>
      <c r="U265" s="647">
        <f>+U224/U15*90</f>
        <v>71.684452737235702</v>
      </c>
      <c r="V265" s="648"/>
      <c r="W265" s="647">
        <f>+W224/W15*90</f>
        <v>69.907878681280025</v>
      </c>
      <c r="X265" s="647">
        <f>+X224/X15*90</f>
        <v>65.357132031242102</v>
      </c>
      <c r="Y265" s="647">
        <f>+Y224/Y15*90</f>
        <v>64.774511736674299</v>
      </c>
      <c r="Z265" s="647">
        <f>+Z224/Z15*90</f>
        <v>68.058887571203613</v>
      </c>
      <c r="AA265" s="649"/>
      <c r="AB265" s="647">
        <f>+AB224/AB15*90</f>
        <v>65.284405195957461</v>
      </c>
      <c r="AC265" s="647">
        <f>+AC224/AC15*90</f>
        <v>75.549542915262023</v>
      </c>
      <c r="AD265" s="647">
        <f>+AD224/AD15*90</f>
        <v>61.873713920797236</v>
      </c>
      <c r="AE265" s="647">
        <f>+AE224/AE15*90</f>
        <v>67.087877657590454</v>
      </c>
      <c r="AF265" s="649"/>
      <c r="AG265" s="647">
        <f>+AG224/AG15*90</f>
        <v>60.851214399209539</v>
      </c>
      <c r="AH265" s="647">
        <f>+AH224/AH15*90</f>
        <v>64.908532123518228</v>
      </c>
      <c r="AI265" s="647">
        <f>+AI224/AI15*90</f>
        <v>66.801347427111153</v>
      </c>
      <c r="AJ265" s="647">
        <f>+AJ224/AJ15*90</f>
        <v>72.464323936669061</v>
      </c>
      <c r="AK265" s="649"/>
      <c r="AL265" s="647">
        <f>+AL224/AL15*90</f>
        <v>72.156953688458074</v>
      </c>
      <c r="AM265" s="647">
        <f>+AM224/AM15*90</f>
        <v>71.013463591692485</v>
      </c>
      <c r="AN265" s="647">
        <f>+AN224/AN15*90</f>
        <v>71.622800402724508</v>
      </c>
      <c r="AO265" s="647">
        <f>+AO224/AO15*90</f>
        <v>84.548358717546563</v>
      </c>
      <c r="AP265" s="649"/>
      <c r="AQ265" s="647">
        <f>+AQ224/AQ15*90</f>
        <v>88.907234477037278</v>
      </c>
      <c r="AR265" s="647">
        <f>+AR224/AR15*90</f>
        <v>84.824283862642005</v>
      </c>
      <c r="AS265" s="647">
        <f>+AS224/AS15*90</f>
        <v>85.817076603299697</v>
      </c>
      <c r="AT265" s="647">
        <f>+AT224/AT15*90</f>
        <v>98.531459435897318</v>
      </c>
      <c r="AU265" s="649"/>
      <c r="AV265" s="651">
        <v>60</v>
      </c>
      <c r="AW265" s="651">
        <v>58</v>
      </c>
      <c r="AX265" s="651">
        <v>56</v>
      </c>
      <c r="AY265" s="651">
        <f t="shared" si="309"/>
        <v>56</v>
      </c>
      <c r="AZ265" s="649"/>
      <c r="BA265" s="651">
        <v>55</v>
      </c>
      <c r="BB265" s="651">
        <f t="shared" si="310"/>
        <v>55</v>
      </c>
      <c r="BC265" s="651">
        <f t="shared" si="310"/>
        <v>55</v>
      </c>
      <c r="BD265" s="651">
        <f t="shared" si="310"/>
        <v>55</v>
      </c>
      <c r="BE265" s="649"/>
      <c r="BF265" s="651">
        <v>50</v>
      </c>
      <c r="BG265" s="651">
        <f t="shared" si="311"/>
        <v>50</v>
      </c>
      <c r="BH265" s="651">
        <f t="shared" si="311"/>
        <v>50</v>
      </c>
      <c r="BI265" s="651">
        <f t="shared" si="311"/>
        <v>50</v>
      </c>
      <c r="BJ265" s="649"/>
      <c r="BK265" s="652"/>
      <c r="BL265" s="652"/>
      <c r="BM265" s="652"/>
      <c r="BN265" s="652"/>
      <c r="BO265" s="652"/>
      <c r="BP265" s="652"/>
      <c r="BQ265" s="125"/>
      <c r="BR265" s="108"/>
      <c r="BS265" s="108"/>
      <c r="BZ265" s="108"/>
      <c r="CA265" s="108"/>
      <c r="CB265" s="108"/>
    </row>
    <row r="266" spans="1:80" ht="13.5" customHeight="1">
      <c r="A266" s="108"/>
      <c r="B266" s="630" t="s">
        <v>217</v>
      </c>
      <c r="C266" s="653"/>
      <c r="D266" s="653"/>
      <c r="E266" s="653"/>
      <c r="F266" s="653"/>
      <c r="G266" s="291"/>
      <c r="H266" s="653"/>
      <c r="I266" s="653"/>
      <c r="J266" s="653"/>
      <c r="K266" s="653"/>
      <c r="L266" s="291"/>
      <c r="M266" s="653">
        <f>+M212/M15</f>
        <v>6.3414891930454992E-2</v>
      </c>
      <c r="N266" s="653">
        <f>+N212/N15</f>
        <v>5.2782773089869492E-2</v>
      </c>
      <c r="O266" s="653">
        <f>+O212/O15</f>
        <v>6.4224455920324608E-2</v>
      </c>
      <c r="P266" s="653">
        <f>+P212/P15</f>
        <v>3.5609506856540081E-2</v>
      </c>
      <c r="Q266" s="291"/>
      <c r="R266" s="653">
        <f>+R212/R15</f>
        <v>4.8456236751927277E-2</v>
      </c>
      <c r="S266" s="653">
        <f>+S212/S15</f>
        <v>4.5253439230656958E-2</v>
      </c>
      <c r="T266" s="653">
        <f>+T212/T15</f>
        <v>4.4534365969430986E-2</v>
      </c>
      <c r="U266" s="653">
        <f>+U212/U15</f>
        <v>3.9194501191064435E-2</v>
      </c>
      <c r="V266" s="291"/>
      <c r="W266" s="653">
        <f>+W212/W15</f>
        <v>6.3345315700565397E-2</v>
      </c>
      <c r="X266" s="653">
        <f>+X212/X15</f>
        <v>4.9375730447581236E-2</v>
      </c>
      <c r="Y266" s="653">
        <f>+Y212/Y15</f>
        <v>6.8115538092357056E-2</v>
      </c>
      <c r="Z266" s="653">
        <f>+Z212/Z15</f>
        <v>5.8514947087375493E-2</v>
      </c>
      <c r="AA266" s="654"/>
      <c r="AB266" s="653">
        <f>+AB212/AB15</f>
        <v>7.0785909361873206E-2</v>
      </c>
      <c r="AC266" s="653">
        <f>+AC212/AC15</f>
        <v>9.8515417744364536E-2</v>
      </c>
      <c r="AD266" s="653">
        <f>+AD212/AD15</f>
        <v>7.797286323607093E-2</v>
      </c>
      <c r="AE266" s="653">
        <f>+AE212/AE15</f>
        <v>6.6905383563347007E-2</v>
      </c>
      <c r="AF266" s="654"/>
      <c r="AG266" s="653">
        <f>+AG212/AG15</f>
        <v>7.4954935708277146E-2</v>
      </c>
      <c r="AH266" s="653">
        <f>+AH212/AH15</f>
        <v>5.9844776063033768E-2</v>
      </c>
      <c r="AI266" s="653">
        <f>+AI212/AI15</f>
        <v>8.0847949819955869E-2</v>
      </c>
      <c r="AJ266" s="653">
        <f>+AJ212/AJ15</f>
        <v>6.8730622827825896E-2</v>
      </c>
      <c r="AK266" s="654"/>
      <c r="AL266" s="653">
        <f>+AL212/AL15</f>
        <v>9.1929686231766422E-2</v>
      </c>
      <c r="AM266" s="653">
        <f>+AM212/AM15</f>
        <v>6.7944414035102332E-2</v>
      </c>
      <c r="AN266" s="653">
        <f>+AN212/AN15</f>
        <v>8.7221649295435924E-2</v>
      </c>
      <c r="AO266" s="653">
        <f>+AO212/AO15</f>
        <v>7.8081335636887655E-2</v>
      </c>
      <c r="AP266" s="654"/>
      <c r="AQ266" s="653">
        <f>+AQ212/AQ15</f>
        <v>7.5271744910765576E-2</v>
      </c>
      <c r="AR266" s="653">
        <f>+AR212/AR15</f>
        <v>0.10362601432746386</v>
      </c>
      <c r="AS266" s="653">
        <f>+AS212/AS15</f>
        <v>8.6738044717735538E-2</v>
      </c>
      <c r="AT266" s="653">
        <f>+AT212/AT15</f>
        <v>5.8923715899244028E-2</v>
      </c>
      <c r="AU266" s="654"/>
      <c r="AV266" s="655">
        <v>0.105</v>
      </c>
      <c r="AW266" s="655">
        <f t="shared" si="309"/>
        <v>0.105</v>
      </c>
      <c r="AX266" s="655">
        <f t="shared" si="309"/>
        <v>0.105</v>
      </c>
      <c r="AY266" s="655">
        <f t="shared" si="309"/>
        <v>0.105</v>
      </c>
      <c r="AZ266" s="654"/>
      <c r="BA266" s="655">
        <v>0.11</v>
      </c>
      <c r="BB266" s="655">
        <f t="shared" si="310"/>
        <v>0.11</v>
      </c>
      <c r="BC266" s="655">
        <f t="shared" si="310"/>
        <v>0.11</v>
      </c>
      <c r="BD266" s="655">
        <f t="shared" si="310"/>
        <v>0.11</v>
      </c>
      <c r="BE266" s="654"/>
      <c r="BF266" s="655">
        <v>0.115</v>
      </c>
      <c r="BG266" s="655">
        <f t="shared" si="311"/>
        <v>0.115</v>
      </c>
      <c r="BH266" s="655">
        <f t="shared" si="311"/>
        <v>0.115</v>
      </c>
      <c r="BI266" s="655">
        <f t="shared" si="311"/>
        <v>0.115</v>
      </c>
      <c r="BJ266" s="654"/>
      <c r="BK266" s="656"/>
      <c r="BL266" s="656"/>
      <c r="BM266" s="656"/>
      <c r="BN266" s="656"/>
      <c r="BO266" s="656"/>
      <c r="BP266" s="656"/>
      <c r="BQ266" s="119"/>
      <c r="BR266" s="113"/>
      <c r="BS266" s="113"/>
      <c r="BZ266" s="113"/>
      <c r="CA266" s="113"/>
      <c r="CB266" s="113"/>
    </row>
    <row r="267" spans="1:80" ht="13.5" customHeight="1">
      <c r="A267" s="108"/>
      <c r="B267" s="657" t="s">
        <v>30</v>
      </c>
      <c r="C267" s="658"/>
      <c r="D267" s="658"/>
      <c r="E267" s="658"/>
      <c r="F267" s="658"/>
      <c r="G267" s="659"/>
      <c r="H267" s="658"/>
      <c r="I267" s="658"/>
      <c r="J267" s="658"/>
      <c r="K267" s="658"/>
      <c r="L267" s="659"/>
      <c r="M267" s="658">
        <f t="shared" ref="M267:AN267" si="312">-M168/M15</f>
        <v>4.1827405802462608E-2</v>
      </c>
      <c r="N267" s="658">
        <f t="shared" si="312"/>
        <v>9.5232166735832527E-2</v>
      </c>
      <c r="O267" s="658">
        <f t="shared" si="312"/>
        <v>8.1445960900036876E-2</v>
      </c>
      <c r="P267" s="658">
        <f t="shared" si="312"/>
        <v>6.7914359177215194E-2</v>
      </c>
      <c r="Q267" s="659">
        <f t="shared" si="312"/>
        <v>7.2445787530554431E-2</v>
      </c>
      <c r="R267" s="658">
        <f t="shared" si="312"/>
        <v>6.7133600767044596E-2</v>
      </c>
      <c r="S267" s="658">
        <f t="shared" si="312"/>
        <v>3.4096582660593441E-2</v>
      </c>
      <c r="T267" s="658">
        <f t="shared" si="312"/>
        <v>5.3203712228768608E-2</v>
      </c>
      <c r="U267" s="658">
        <f t="shared" si="312"/>
        <v>4.8638204037081571E-2</v>
      </c>
      <c r="V267" s="659">
        <f t="shared" si="312"/>
        <v>5.0296193584851788E-2</v>
      </c>
      <c r="W267" s="658">
        <f t="shared" si="312"/>
        <v>4.5225191552980749E-2</v>
      </c>
      <c r="X267" s="658">
        <f t="shared" si="312"/>
        <v>6.1483898998676366E-2</v>
      </c>
      <c r="Y267" s="658">
        <f t="shared" si="312"/>
        <v>5.5651482294718654E-2</v>
      </c>
      <c r="Z267" s="658">
        <f t="shared" si="312"/>
        <v>4.7332983390685056E-2</v>
      </c>
      <c r="AA267" s="659">
        <f t="shared" si="312"/>
        <v>5.2512459109220595E-2</v>
      </c>
      <c r="AB267" s="658">
        <f t="shared" si="312"/>
        <v>0.10030429900323015</v>
      </c>
      <c r="AC267" s="658">
        <f t="shared" si="312"/>
        <v>6.0086497514630043E-2</v>
      </c>
      <c r="AD267" s="658">
        <f t="shared" si="312"/>
        <v>7.3936249891594835E-2</v>
      </c>
      <c r="AE267" s="658">
        <f t="shared" si="312"/>
        <v>6.5137386547308246E-2</v>
      </c>
      <c r="AF267" s="659">
        <f t="shared" si="312"/>
        <v>7.3565921208551932E-2</v>
      </c>
      <c r="AG267" s="658">
        <f t="shared" si="312"/>
        <v>4.184369700773103E-2</v>
      </c>
      <c r="AH267" s="658">
        <f t="shared" si="312"/>
        <v>6.2183993239638753E-2</v>
      </c>
      <c r="AI267" s="658">
        <f t="shared" si="312"/>
        <v>5.187826692995702E-2</v>
      </c>
      <c r="AJ267" s="658">
        <f t="shared" si="312"/>
        <v>4.4984829260219586E-2</v>
      </c>
      <c r="AK267" s="659">
        <f t="shared" si="312"/>
        <v>5.0382461932193881E-2</v>
      </c>
      <c r="AL267" s="658">
        <f t="shared" si="312"/>
        <v>6.4662229540131261E-2</v>
      </c>
      <c r="AM267" s="658">
        <f t="shared" si="312"/>
        <v>7.2843671237780475E-2</v>
      </c>
      <c r="AN267" s="658">
        <f t="shared" si="312"/>
        <v>6.3056140937272007E-2</v>
      </c>
      <c r="AO267" s="658">
        <f t="shared" ref="AO267:AU267" si="313">-AO168/AO15</f>
        <v>4.8509987818762285E-2</v>
      </c>
      <c r="AP267" s="659">
        <f t="shared" si="313"/>
        <v>6.2051879474642753E-2</v>
      </c>
      <c r="AQ267" s="658">
        <f t="shared" si="313"/>
        <v>5.9286124524047558E-2</v>
      </c>
      <c r="AR267" s="658">
        <f t="shared" si="313"/>
        <v>5.8543745554505318E-2</v>
      </c>
      <c r="AS267" s="658">
        <f t="shared" si="313"/>
        <v>4.1464585227846837E-2</v>
      </c>
      <c r="AT267" s="658">
        <f t="shared" si="313"/>
        <v>5.0836732936219868E-2</v>
      </c>
      <c r="AU267" s="659">
        <f t="shared" si="313"/>
        <v>5.2184982706262671E-2</v>
      </c>
      <c r="AV267" s="660">
        <v>5.5E-2</v>
      </c>
      <c r="AW267" s="660">
        <f>+AV267</f>
        <v>5.5E-2</v>
      </c>
      <c r="AX267" s="660">
        <f t="shared" si="309"/>
        <v>5.5E-2</v>
      </c>
      <c r="AY267" s="660">
        <f t="shared" si="309"/>
        <v>5.5E-2</v>
      </c>
      <c r="AZ267" s="659">
        <f>-AZ168/AZ15</f>
        <v>5.5E-2</v>
      </c>
      <c r="BA267" s="660">
        <v>5.5E-2</v>
      </c>
      <c r="BB267" s="660">
        <f>+BA267</f>
        <v>5.5E-2</v>
      </c>
      <c r="BC267" s="660">
        <f>+BB267</f>
        <v>5.5E-2</v>
      </c>
      <c r="BD267" s="660">
        <f>+BC267</f>
        <v>5.5E-2</v>
      </c>
      <c r="BE267" s="659">
        <f>-BE168/BE15</f>
        <v>5.4999999999999993E-2</v>
      </c>
      <c r="BF267" s="660">
        <f>+BE267</f>
        <v>5.4999999999999993E-2</v>
      </c>
      <c r="BG267" s="660">
        <f>+BF267</f>
        <v>5.4999999999999993E-2</v>
      </c>
      <c r="BH267" s="660">
        <f t="shared" si="311"/>
        <v>5.4999999999999993E-2</v>
      </c>
      <c r="BI267" s="660">
        <f t="shared" si="311"/>
        <v>5.4999999999999993E-2</v>
      </c>
      <c r="BJ267" s="659">
        <f>-BJ168/BJ15</f>
        <v>5.5E-2</v>
      </c>
      <c r="BK267" s="656"/>
      <c r="BL267" s="656"/>
      <c r="BM267" s="656"/>
      <c r="BN267" s="656"/>
      <c r="BO267" s="656"/>
      <c r="BP267" s="656"/>
      <c r="BQ267" s="661"/>
      <c r="BR267" s="113"/>
      <c r="BS267" s="113"/>
      <c r="BZ267" s="113"/>
      <c r="CA267" s="113"/>
      <c r="CB267" s="113"/>
    </row>
    <row r="268" spans="1:80" ht="13.5" customHeight="1">
      <c r="A268" s="108"/>
      <c r="B268" s="662"/>
      <c r="C268" s="663"/>
      <c r="D268" s="663"/>
      <c r="E268" s="663"/>
      <c r="F268" s="663"/>
      <c r="G268" s="663"/>
      <c r="H268" s="653"/>
      <c r="I268" s="653"/>
      <c r="J268" s="653"/>
      <c r="K268" s="653"/>
      <c r="L268" s="664"/>
      <c r="M268" s="653"/>
      <c r="N268" s="653"/>
      <c r="O268" s="653"/>
      <c r="P268" s="653"/>
      <c r="Q268" s="663"/>
      <c r="R268" s="663"/>
      <c r="S268" s="663"/>
      <c r="T268" s="663"/>
      <c r="U268" s="663"/>
      <c r="V268" s="663"/>
      <c r="W268" s="665"/>
      <c r="X268" s="665"/>
      <c r="Y268" s="665"/>
      <c r="Z268" s="665"/>
      <c r="AA268" s="665"/>
      <c r="AB268" s="665"/>
      <c r="AC268" s="665"/>
      <c r="AD268" s="665"/>
      <c r="AE268" s="665"/>
      <c r="AF268" s="665"/>
      <c r="AG268" s="665"/>
      <c r="AH268" s="665"/>
      <c r="AI268" s="665"/>
      <c r="AJ268" s="665"/>
      <c r="AK268" s="665"/>
      <c r="AL268" s="665"/>
      <c r="AM268" s="665"/>
      <c r="AN268" s="665"/>
      <c r="AO268" s="665"/>
      <c r="AP268" s="665"/>
      <c r="AQ268" s="665"/>
      <c r="AR268" s="665"/>
      <c r="AS268" s="665"/>
      <c r="AT268" s="665"/>
      <c r="AU268" s="665"/>
      <c r="AV268" s="665"/>
      <c r="AW268" s="665"/>
      <c r="AX268" s="665"/>
      <c r="AY268" s="665"/>
      <c r="AZ268" s="665"/>
      <c r="BA268" s="665"/>
      <c r="BB268" s="665"/>
      <c r="BC268" s="665"/>
      <c r="BD268" s="665"/>
      <c r="BE268" s="665"/>
      <c r="BF268" s="665"/>
      <c r="BG268" s="665"/>
      <c r="BH268" s="665"/>
      <c r="BI268" s="665"/>
      <c r="BJ268" s="665"/>
      <c r="BK268" s="617"/>
      <c r="BL268" s="617"/>
      <c r="BM268" s="617"/>
      <c r="BN268" s="617"/>
      <c r="BO268" s="617"/>
      <c r="BP268" s="617"/>
      <c r="BQ268" s="666"/>
      <c r="BR268" s="667"/>
      <c r="BS268" s="667"/>
      <c r="BZ268" s="667"/>
      <c r="CA268" s="667"/>
      <c r="CB268" s="667"/>
    </row>
    <row r="269" spans="1:80" ht="13.5" customHeight="1" outlineLevel="1">
      <c r="A269" s="108"/>
      <c r="B269" s="668" t="s">
        <v>258</v>
      </c>
      <c r="C269" s="669"/>
      <c r="D269" s="669"/>
      <c r="E269" s="669"/>
      <c r="F269" s="669"/>
      <c r="G269" s="669"/>
      <c r="H269" s="670"/>
      <c r="I269" s="670"/>
      <c r="J269" s="670"/>
      <c r="K269" s="670"/>
      <c r="L269" s="671"/>
      <c r="M269" s="670"/>
      <c r="N269" s="670"/>
      <c r="O269" s="669"/>
      <c r="P269" s="669"/>
      <c r="Q269" s="669"/>
      <c r="R269" s="669"/>
      <c r="S269" s="669"/>
      <c r="T269" s="669"/>
      <c r="U269" s="669"/>
      <c r="V269" s="669"/>
      <c r="W269" s="672"/>
      <c r="X269" s="672"/>
      <c r="Y269" s="672"/>
      <c r="Z269" s="672"/>
      <c r="AA269" s="672"/>
      <c r="AB269" s="672"/>
      <c r="AC269" s="672"/>
      <c r="AD269" s="672"/>
      <c r="AE269" s="672"/>
      <c r="AF269" s="672"/>
      <c r="AG269" s="672"/>
      <c r="AH269" s="672"/>
      <c r="AI269" s="672"/>
      <c r="AJ269" s="672"/>
      <c r="AK269" s="672"/>
      <c r="AL269" s="672"/>
      <c r="AM269" s="672"/>
      <c r="AN269" s="672"/>
      <c r="AO269" s="672"/>
      <c r="AP269" s="673"/>
      <c r="AQ269" s="672"/>
      <c r="AR269" s="672"/>
      <c r="AS269" s="672"/>
      <c r="AT269" s="672"/>
      <c r="AU269" s="673"/>
      <c r="AV269" s="672"/>
      <c r="AW269" s="672"/>
      <c r="AX269" s="672"/>
      <c r="AY269" s="672"/>
      <c r="AZ269" s="673"/>
      <c r="BA269" s="672"/>
      <c r="BB269" s="672"/>
      <c r="BC269" s="672"/>
      <c r="BD269" s="672"/>
      <c r="BE269" s="673"/>
      <c r="BF269" s="672"/>
      <c r="BG269" s="672"/>
      <c r="BH269" s="672"/>
      <c r="BI269" s="672"/>
      <c r="BJ269" s="673"/>
      <c r="BK269" s="617"/>
      <c r="BL269" s="617"/>
      <c r="BM269" s="617"/>
      <c r="BN269" s="617"/>
      <c r="BO269" s="617"/>
      <c r="BP269" s="617"/>
      <c r="BQ269" s="674"/>
      <c r="BR269" s="675"/>
      <c r="BS269" s="675"/>
      <c r="BZ269" s="675"/>
      <c r="CA269" s="675"/>
      <c r="CB269" s="675"/>
    </row>
    <row r="270" spans="1:80" ht="13.5" customHeight="1" outlineLevel="1">
      <c r="A270" s="108"/>
      <c r="B270" s="1255" t="s">
        <v>429</v>
      </c>
      <c r="C270" s="663"/>
      <c r="D270" s="663"/>
      <c r="E270" s="663"/>
      <c r="F270" s="663"/>
      <c r="G270" s="663"/>
      <c r="H270" s="653"/>
      <c r="I270" s="653"/>
      <c r="J270" s="653"/>
      <c r="K270" s="653"/>
      <c r="L270" s="664"/>
      <c r="M270" s="676"/>
      <c r="N270" s="676"/>
      <c r="O270" s="676"/>
      <c r="P270" s="676"/>
      <c r="Q270" s="663"/>
      <c r="R270" s="663"/>
      <c r="S270" s="663">
        <v>1000</v>
      </c>
      <c r="T270" s="663">
        <f>S270</f>
        <v>1000</v>
      </c>
      <c r="U270" s="663">
        <f>T270</f>
        <v>1000</v>
      </c>
      <c r="V270" s="663"/>
      <c r="W270" s="663">
        <v>950</v>
      </c>
      <c r="X270" s="677">
        <f>+W270+W272+X178+X179</f>
        <v>1849.1030000000001</v>
      </c>
      <c r="Y270" s="677">
        <f>X270+Y179</f>
        <v>1823.8150000000001</v>
      </c>
      <c r="Z270" s="677">
        <f>Y270+Z179</f>
        <v>1799.2150000000001</v>
      </c>
      <c r="AA270" s="665"/>
      <c r="AB270" s="677">
        <f>Z270+AB179</f>
        <v>1774.6080000000002</v>
      </c>
      <c r="AC270" s="677">
        <f>AB270+AC179+AC178</f>
        <v>3435.9740000000002</v>
      </c>
      <c r="AD270" s="677">
        <f>AC270+AD179</f>
        <v>3403.3090000000002</v>
      </c>
      <c r="AE270" s="677">
        <f>AD270+AE179</f>
        <v>3371.6750000000002</v>
      </c>
      <c r="AF270" s="665"/>
      <c r="AG270" s="677">
        <f>1973.125-116.501</f>
        <v>1856.624</v>
      </c>
      <c r="AH270" s="677">
        <f>1947.5-116.501</f>
        <v>1830.999</v>
      </c>
      <c r="AI270" s="677">
        <f>1921.875-116.501</f>
        <v>1805.374</v>
      </c>
      <c r="AJ270" s="677">
        <f>1896.25-116.501</f>
        <v>1779.749</v>
      </c>
      <c r="AK270" s="665"/>
      <c r="AL270" s="677">
        <f>1870.625-106.001</f>
        <v>1764.624</v>
      </c>
      <c r="AM270" s="677">
        <f>1845-109.501</f>
        <v>1735.499</v>
      </c>
      <c r="AN270" s="677">
        <f>1819.375-98.339</f>
        <v>1721.0360000000001</v>
      </c>
      <c r="AO270" s="677">
        <f>2469.375-131.119</f>
        <v>2338.2559999999999</v>
      </c>
      <c r="AP270" s="678"/>
      <c r="AQ270" s="677">
        <f>2438.508-131.119</f>
        <v>2307.3889999999997</v>
      </c>
      <c r="AR270" s="677">
        <f>2407.641-131.119</f>
        <v>2276.5219999999999</v>
      </c>
      <c r="AS270" s="1260">
        <v>2376.7730000000001</v>
      </c>
      <c r="AT270" s="1260">
        <f>AS270+AT179+AT178</f>
        <v>3342.2390000000005</v>
      </c>
      <c r="AU270" s="678"/>
      <c r="AV270" s="677">
        <f>AT270+AV179</f>
        <v>2342.2390000000005</v>
      </c>
      <c r="AW270" s="677">
        <f>AV270+AW179</f>
        <v>2342.2390000000005</v>
      </c>
      <c r="AX270" s="677">
        <f>AW270+AX179</f>
        <v>2342.2390000000005</v>
      </c>
      <c r="AY270" s="677">
        <f>AX270+AY179</f>
        <v>2342.2390000000005</v>
      </c>
      <c r="AZ270" s="678"/>
      <c r="BA270" s="677">
        <f>AY270+BA179</f>
        <v>2242.2390000000005</v>
      </c>
      <c r="BB270" s="677">
        <f>BA270+BB179</f>
        <v>2142.2390000000005</v>
      </c>
      <c r="BC270" s="677">
        <f>BB270+BC179</f>
        <v>2042.2390000000005</v>
      </c>
      <c r="BD270" s="677">
        <f>BC270+BD179</f>
        <v>1942.2390000000005</v>
      </c>
      <c r="BE270" s="678"/>
      <c r="BF270" s="677">
        <f>BD270+BF179</f>
        <v>1942.2390000000005</v>
      </c>
      <c r="BG270" s="677">
        <f>BF270+BG179</f>
        <v>1942.2390000000005</v>
      </c>
      <c r="BH270" s="677">
        <f>BG270+BH179</f>
        <v>1942.2390000000005</v>
      </c>
      <c r="BI270" s="677">
        <f>BH270+BI179</f>
        <v>1942.2390000000005</v>
      </c>
      <c r="BJ270" s="678"/>
      <c r="BK270" s="617"/>
      <c r="BL270" s="617"/>
      <c r="BM270" s="617"/>
      <c r="BN270" s="617"/>
      <c r="BO270" s="617"/>
      <c r="BP270" s="617"/>
      <c r="BQ270" s="666"/>
      <c r="BR270" s="667"/>
      <c r="BS270" s="667"/>
      <c r="BZ270" s="667"/>
      <c r="CA270" s="667"/>
      <c r="CB270" s="667"/>
    </row>
    <row r="271" spans="1:80" ht="13.5" customHeight="1" outlineLevel="1">
      <c r="A271" s="108"/>
      <c r="B271" s="679" t="s">
        <v>259</v>
      </c>
      <c r="C271" s="663"/>
      <c r="D271" s="663"/>
      <c r="E271" s="663"/>
      <c r="F271" s="663"/>
      <c r="G271" s="663"/>
      <c r="H271" s="653"/>
      <c r="I271" s="653"/>
      <c r="J271" s="653"/>
      <c r="K271" s="653"/>
      <c r="L271" s="664"/>
      <c r="M271" s="680"/>
      <c r="N271" s="653"/>
      <c r="O271" s="663"/>
      <c r="P271" s="663"/>
      <c r="Q271" s="663"/>
      <c r="R271" s="663"/>
      <c r="S271" s="681">
        <v>2.75E-2</v>
      </c>
      <c r="T271" s="681">
        <v>2.75E-2</v>
      </c>
      <c r="U271" s="681">
        <v>2.75E-2</v>
      </c>
      <c r="V271" s="663"/>
      <c r="W271" s="681">
        <v>2.75E-2</v>
      </c>
      <c r="X271" s="682">
        <v>2.5000000000000001E-2</v>
      </c>
      <c r="Y271" s="682">
        <v>2.1000000000000001E-2</v>
      </c>
      <c r="Z271" s="682">
        <f>+Y271</f>
        <v>2.1000000000000001E-2</v>
      </c>
      <c r="AA271" s="665"/>
      <c r="AB271" s="682">
        <v>2.1000000000000001E-2</v>
      </c>
      <c r="AC271" s="682">
        <f t="shared" ref="AC271:AE272" si="314">+AB271</f>
        <v>2.1000000000000001E-2</v>
      </c>
      <c r="AD271" s="682">
        <f t="shared" si="314"/>
        <v>2.1000000000000001E-2</v>
      </c>
      <c r="AE271" s="682">
        <f t="shared" si="314"/>
        <v>2.1000000000000001E-2</v>
      </c>
      <c r="AF271" s="665"/>
      <c r="AG271" s="682">
        <v>2.1700000000000001E-2</v>
      </c>
      <c r="AH271" s="682">
        <v>2.1899999999999999E-2</v>
      </c>
      <c r="AI271" s="682">
        <v>2.2100000000000002E-2</v>
      </c>
      <c r="AJ271" s="682">
        <v>2.3300000000000001E-2</v>
      </c>
      <c r="AK271" s="665"/>
      <c r="AL271" s="682">
        <v>2.4E-2</v>
      </c>
      <c r="AM271" s="682">
        <v>2.1899999999999999E-2</v>
      </c>
      <c r="AN271" s="682">
        <v>2.2700000000000001E-2</v>
      </c>
      <c r="AO271" s="682">
        <v>2.7E-2</v>
      </c>
      <c r="AP271" s="678"/>
      <c r="AQ271" s="682">
        <v>2.6599999999999999E-2</v>
      </c>
      <c r="AR271" s="682">
        <v>2.9100000000000001E-2</v>
      </c>
      <c r="AS271" s="1261">
        <v>2.9899999999999999E-2</v>
      </c>
      <c r="AT271" s="1261">
        <f>+AS271</f>
        <v>2.9899999999999999E-2</v>
      </c>
      <c r="AU271" s="678"/>
      <c r="AV271" s="682">
        <v>3.1E-2</v>
      </c>
      <c r="AW271" s="682">
        <f>+AV271+0.1%</f>
        <v>3.2000000000000001E-2</v>
      </c>
      <c r="AX271" s="682">
        <f t="shared" ref="AX271:AY271" si="315">+AW271+0.1%</f>
        <v>3.3000000000000002E-2</v>
      </c>
      <c r="AY271" s="682">
        <f t="shared" si="315"/>
        <v>3.4000000000000002E-2</v>
      </c>
      <c r="AZ271" s="678"/>
      <c r="BA271" s="682">
        <f t="shared" ref="BA271:BA276" si="316">+AY271</f>
        <v>3.4000000000000002E-2</v>
      </c>
      <c r="BB271" s="682">
        <f t="shared" ref="BB271:BD276" si="317">+BA271</f>
        <v>3.4000000000000002E-2</v>
      </c>
      <c r="BC271" s="682">
        <f t="shared" si="317"/>
        <v>3.4000000000000002E-2</v>
      </c>
      <c r="BD271" s="682">
        <f t="shared" si="317"/>
        <v>3.4000000000000002E-2</v>
      </c>
      <c r="BE271" s="678"/>
      <c r="BF271" s="682">
        <f t="shared" ref="BF271:BF276" si="318">+BD271</f>
        <v>3.4000000000000002E-2</v>
      </c>
      <c r="BG271" s="682">
        <f t="shared" ref="BG271:BI273" si="319">+BF271</f>
        <v>3.4000000000000002E-2</v>
      </c>
      <c r="BH271" s="682">
        <f t="shared" si="319"/>
        <v>3.4000000000000002E-2</v>
      </c>
      <c r="BI271" s="682">
        <f t="shared" si="319"/>
        <v>3.4000000000000002E-2</v>
      </c>
      <c r="BJ271" s="678"/>
      <c r="BK271" s="617"/>
      <c r="BL271" s="617"/>
      <c r="BM271" s="617"/>
      <c r="BN271" s="617"/>
      <c r="BO271" s="617"/>
      <c r="BP271" s="617"/>
      <c r="BQ271" s="666"/>
      <c r="BR271" s="667"/>
      <c r="BS271" s="667"/>
      <c r="BZ271" s="667"/>
      <c r="CA271" s="667"/>
      <c r="CB271" s="667"/>
    </row>
    <row r="272" spans="1:80" ht="13.5" customHeight="1" outlineLevel="1">
      <c r="A272" s="108"/>
      <c r="B272" s="1255" t="s">
        <v>430</v>
      </c>
      <c r="C272" s="663"/>
      <c r="D272" s="663"/>
      <c r="E272" s="663"/>
      <c r="F272" s="663"/>
      <c r="G272" s="663"/>
      <c r="H272" s="653"/>
      <c r="I272" s="653"/>
      <c r="J272" s="653"/>
      <c r="K272" s="653"/>
      <c r="L272" s="664"/>
      <c r="M272" s="676"/>
      <c r="N272" s="676"/>
      <c r="O272" s="676"/>
      <c r="P272" s="676"/>
      <c r="Q272" s="663"/>
      <c r="R272" s="663"/>
      <c r="S272" s="663">
        <v>250</v>
      </c>
      <c r="T272" s="663">
        <f>S272</f>
        <v>250</v>
      </c>
      <c r="U272" s="663">
        <f>T272</f>
        <v>250</v>
      </c>
      <c r="V272" s="663"/>
      <c r="W272" s="663">
        <v>247.5</v>
      </c>
      <c r="X272" s="663">
        <v>0</v>
      </c>
      <c r="Y272" s="663">
        <f>X272</f>
        <v>0</v>
      </c>
      <c r="Z272" s="663">
        <f>Y272</f>
        <v>0</v>
      </c>
      <c r="AA272" s="665"/>
      <c r="AB272" s="663">
        <f>+Z272</f>
        <v>0</v>
      </c>
      <c r="AC272" s="663">
        <f t="shared" si="314"/>
        <v>0</v>
      </c>
      <c r="AD272" s="663">
        <f t="shared" si="314"/>
        <v>0</v>
      </c>
      <c r="AE272" s="663">
        <f t="shared" si="314"/>
        <v>0</v>
      </c>
      <c r="AF272" s="665"/>
      <c r="AG272" s="1240">
        <v>1189.5</v>
      </c>
      <c r="AH272" s="1240">
        <v>1186</v>
      </c>
      <c r="AI272" s="1240">
        <v>1182.5</v>
      </c>
      <c r="AJ272" s="1240">
        <v>1179</v>
      </c>
      <c r="AK272" s="665"/>
      <c r="AL272" s="1240">
        <v>1165</v>
      </c>
      <c r="AM272" s="1240">
        <v>1165</v>
      </c>
      <c r="AN272" s="1240">
        <v>1165</v>
      </c>
      <c r="AO272" s="1240">
        <v>765</v>
      </c>
      <c r="AP272" s="678"/>
      <c r="AQ272" s="1240">
        <v>763.08699999999999</v>
      </c>
      <c r="AR272" s="677">
        <v>761.17399999999998</v>
      </c>
      <c r="AS272" s="1262">
        <v>759</v>
      </c>
      <c r="AT272" s="1262">
        <f>+AS272</f>
        <v>759</v>
      </c>
      <c r="AU272" s="678"/>
      <c r="AV272" s="663">
        <f>+AT272</f>
        <v>759</v>
      </c>
      <c r="AW272" s="663">
        <f t="shared" ref="AW272:AY276" si="320">+AV272</f>
        <v>759</v>
      </c>
      <c r="AX272" s="663">
        <f t="shared" si="320"/>
        <v>759</v>
      </c>
      <c r="AY272" s="663">
        <f t="shared" si="320"/>
        <v>759</v>
      </c>
      <c r="AZ272" s="678"/>
      <c r="BA272" s="663">
        <f t="shared" si="316"/>
        <v>759</v>
      </c>
      <c r="BB272" s="663">
        <f t="shared" si="317"/>
        <v>759</v>
      </c>
      <c r="BC272" s="663">
        <f t="shared" si="317"/>
        <v>759</v>
      </c>
      <c r="BD272" s="663">
        <f t="shared" si="317"/>
        <v>759</v>
      </c>
      <c r="BE272" s="678"/>
      <c r="BF272" s="663">
        <f t="shared" si="318"/>
        <v>759</v>
      </c>
      <c r="BG272" s="663">
        <f t="shared" si="319"/>
        <v>759</v>
      </c>
      <c r="BH272" s="663">
        <f t="shared" si="319"/>
        <v>759</v>
      </c>
      <c r="BI272" s="663">
        <f t="shared" si="319"/>
        <v>759</v>
      </c>
      <c r="BJ272" s="678"/>
      <c r="BK272" s="617"/>
      <c r="BL272" s="617"/>
      <c r="BM272" s="617"/>
      <c r="BN272" s="617"/>
      <c r="BO272" s="617"/>
      <c r="BP272" s="617"/>
      <c r="BQ272" s="666"/>
      <c r="BR272" s="667"/>
      <c r="BS272" s="667"/>
      <c r="BZ272" s="667"/>
      <c r="CA272" s="667"/>
      <c r="CB272" s="667"/>
    </row>
    <row r="273" spans="1:80" ht="13.5" customHeight="1" outlineLevel="1">
      <c r="A273" s="108"/>
      <c r="B273" s="679" t="s">
        <v>259</v>
      </c>
      <c r="C273" s="663"/>
      <c r="D273" s="663"/>
      <c r="E273" s="663"/>
      <c r="F273" s="663"/>
      <c r="G273" s="663"/>
      <c r="H273" s="653"/>
      <c r="I273" s="653"/>
      <c r="J273" s="653"/>
      <c r="K273" s="653"/>
      <c r="L273" s="664"/>
      <c r="M273" s="680"/>
      <c r="N273" s="653"/>
      <c r="O273" s="663"/>
      <c r="P273" s="663"/>
      <c r="Q273" s="663"/>
      <c r="R273" s="663"/>
      <c r="S273" s="681">
        <v>4.4999999999999998E-2</v>
      </c>
      <c r="T273" s="681">
        <v>4.4999999999999998E-2</v>
      </c>
      <c r="U273" s="681">
        <v>4.4999999999999998E-2</v>
      </c>
      <c r="V273" s="663"/>
      <c r="W273" s="681">
        <v>4.4999999999999998E-2</v>
      </c>
      <c r="X273" s="682">
        <v>4.4999999999999998E-2</v>
      </c>
      <c r="Y273" s="682">
        <v>4.4999999999999998E-2</v>
      </c>
      <c r="Z273" s="682">
        <v>4.4999999999999998E-2</v>
      </c>
      <c r="AA273" s="677"/>
      <c r="AB273" s="682">
        <v>4.4999999999999998E-2</v>
      </c>
      <c r="AC273" s="682">
        <v>4.4999999999999998E-2</v>
      </c>
      <c r="AD273" s="682">
        <v>4.4999999999999998E-2</v>
      </c>
      <c r="AE273" s="682">
        <v>4.4999999999999998E-2</v>
      </c>
      <c r="AF273" s="677"/>
      <c r="AG273" s="682">
        <v>3.7499999999999999E-2</v>
      </c>
      <c r="AH273" s="682">
        <v>3.7499999999999999E-2</v>
      </c>
      <c r="AI273" s="682">
        <v>3.7499999999999999E-2</v>
      </c>
      <c r="AJ273" s="682">
        <v>3.7499999999999999E-2</v>
      </c>
      <c r="AK273" s="677"/>
      <c r="AL273" s="682">
        <v>3.7499999999999999E-2</v>
      </c>
      <c r="AM273" s="682">
        <v>3.5000000000000003E-2</v>
      </c>
      <c r="AN273" s="682">
        <v>3.5000000000000003E-2</v>
      </c>
      <c r="AO273" s="682">
        <v>3.2500000000000001E-2</v>
      </c>
      <c r="AP273" s="683"/>
      <c r="AQ273" s="682">
        <v>3.4099999999999998E-2</v>
      </c>
      <c r="AR273" s="682">
        <v>3.6600000000000001E-2</v>
      </c>
      <c r="AS273" s="1261">
        <v>3.7400000000000003E-2</v>
      </c>
      <c r="AT273" s="1261">
        <f>AS273</f>
        <v>3.7400000000000003E-2</v>
      </c>
      <c r="AU273" s="683"/>
      <c r="AV273" s="682">
        <v>0.04</v>
      </c>
      <c r="AW273" s="682">
        <f>+AV273</f>
        <v>0.04</v>
      </c>
      <c r="AX273" s="682">
        <f t="shared" si="320"/>
        <v>0.04</v>
      </c>
      <c r="AY273" s="682">
        <f t="shared" si="320"/>
        <v>0.04</v>
      </c>
      <c r="AZ273" s="683"/>
      <c r="BA273" s="682">
        <f t="shared" si="316"/>
        <v>0.04</v>
      </c>
      <c r="BB273" s="682">
        <f t="shared" si="317"/>
        <v>0.04</v>
      </c>
      <c r="BC273" s="682">
        <f t="shared" si="317"/>
        <v>0.04</v>
      </c>
      <c r="BD273" s="682">
        <f t="shared" si="317"/>
        <v>0.04</v>
      </c>
      <c r="BE273" s="683"/>
      <c r="BF273" s="682">
        <f t="shared" si="318"/>
        <v>0.04</v>
      </c>
      <c r="BG273" s="682">
        <f>+BF273</f>
        <v>0.04</v>
      </c>
      <c r="BH273" s="682">
        <f t="shared" si="319"/>
        <v>0.04</v>
      </c>
      <c r="BI273" s="682">
        <f t="shared" si="319"/>
        <v>0.04</v>
      </c>
      <c r="BJ273" s="683"/>
      <c r="BK273" s="617"/>
      <c r="BL273" s="617"/>
      <c r="BM273" s="617"/>
      <c r="BN273" s="617"/>
      <c r="BO273" s="617"/>
      <c r="BP273" s="617"/>
      <c r="BQ273" s="666"/>
      <c r="BR273" s="667"/>
      <c r="BS273" s="667"/>
      <c r="BZ273" s="667"/>
      <c r="CA273" s="667"/>
      <c r="CB273" s="667"/>
    </row>
    <row r="274" spans="1:80" ht="13.5" customHeight="1" outlineLevel="1">
      <c r="A274" s="108"/>
      <c r="B274" s="1255" t="s">
        <v>431</v>
      </c>
      <c r="C274" s="663"/>
      <c r="D274" s="663"/>
      <c r="E274" s="663"/>
      <c r="F274" s="663"/>
      <c r="G274" s="663"/>
      <c r="H274" s="653"/>
      <c r="I274" s="653"/>
      <c r="J274" s="653"/>
      <c r="K274" s="653"/>
      <c r="L274" s="664"/>
      <c r="M274" s="680"/>
      <c r="N274" s="653"/>
      <c r="O274" s="663"/>
      <c r="P274" s="663"/>
      <c r="Q274" s="663"/>
      <c r="R274" s="663"/>
      <c r="S274" s="681"/>
      <c r="T274" s="681"/>
      <c r="U274" s="681"/>
      <c r="V274" s="663"/>
      <c r="W274" s="681"/>
      <c r="X274" s="682"/>
      <c r="Y274" s="682"/>
      <c r="Z274" s="682"/>
      <c r="AA274" s="677"/>
      <c r="AB274" s="682"/>
      <c r="AC274" s="682"/>
      <c r="AD274" s="682"/>
      <c r="AE274" s="682"/>
      <c r="AF274" s="677"/>
      <c r="AG274" s="682"/>
      <c r="AH274" s="682"/>
      <c r="AI274" s="682"/>
      <c r="AJ274" s="682"/>
      <c r="AK274" s="677"/>
      <c r="AL274" s="682"/>
      <c r="AM274" s="682"/>
      <c r="AN274" s="682"/>
      <c r="AO274" s="682"/>
      <c r="AP274" s="683"/>
      <c r="AQ274" s="682"/>
      <c r="AR274" s="682"/>
      <c r="AS274" s="1262">
        <v>1270</v>
      </c>
      <c r="AT274" s="677">
        <f>+AS274</f>
        <v>1270</v>
      </c>
      <c r="AU274" s="683"/>
      <c r="AV274" s="677">
        <f>+AT274</f>
        <v>1270</v>
      </c>
      <c r="AW274" s="677">
        <f>+AV274</f>
        <v>1270</v>
      </c>
      <c r="AX274" s="677">
        <f t="shared" si="320"/>
        <v>1270</v>
      </c>
      <c r="AY274" s="677">
        <f t="shared" si="320"/>
        <v>1270</v>
      </c>
      <c r="AZ274" s="683"/>
      <c r="BA274" s="677">
        <f t="shared" si="316"/>
        <v>1270</v>
      </c>
      <c r="BB274" s="677">
        <f t="shared" si="317"/>
        <v>1270</v>
      </c>
      <c r="BC274" s="677">
        <f t="shared" si="317"/>
        <v>1270</v>
      </c>
      <c r="BD274" s="677">
        <f t="shared" si="317"/>
        <v>1270</v>
      </c>
      <c r="BE274" s="683"/>
      <c r="BF274" s="677">
        <f t="shared" si="318"/>
        <v>1270</v>
      </c>
      <c r="BG274" s="677">
        <f t="shared" ref="BG274:BI276" si="321">+BF274</f>
        <v>1270</v>
      </c>
      <c r="BH274" s="677">
        <f t="shared" si="321"/>
        <v>1270</v>
      </c>
      <c r="BI274" s="677">
        <f t="shared" si="321"/>
        <v>1270</v>
      </c>
      <c r="BJ274" s="683"/>
      <c r="BK274" s="617"/>
      <c r="BL274" s="617"/>
      <c r="BM274" s="617"/>
      <c r="BN274" s="617"/>
      <c r="BO274" s="617"/>
      <c r="BP274" s="617"/>
      <c r="BQ274" s="666"/>
      <c r="BR274" s="667"/>
      <c r="BS274" s="667"/>
      <c r="BZ274" s="667"/>
      <c r="CA274" s="667"/>
      <c r="CB274" s="667"/>
    </row>
    <row r="275" spans="1:80" ht="13.5" customHeight="1" outlineLevel="1">
      <c r="A275" s="108"/>
      <c r="B275" s="679" t="s">
        <v>259</v>
      </c>
      <c r="C275" s="663"/>
      <c r="D275" s="663"/>
      <c r="E275" s="663"/>
      <c r="F275" s="663"/>
      <c r="G275" s="663"/>
      <c r="H275" s="653"/>
      <c r="I275" s="653"/>
      <c r="J275" s="653"/>
      <c r="K275" s="653"/>
      <c r="L275" s="664"/>
      <c r="M275" s="680"/>
      <c r="N275" s="653"/>
      <c r="O275" s="663"/>
      <c r="P275" s="663"/>
      <c r="Q275" s="663"/>
      <c r="R275" s="663"/>
      <c r="S275" s="681"/>
      <c r="T275" s="681"/>
      <c r="U275" s="681"/>
      <c r="V275" s="663"/>
      <c r="W275" s="681"/>
      <c r="X275" s="682"/>
      <c r="Y275" s="682"/>
      <c r="Z275" s="682"/>
      <c r="AA275" s="677"/>
      <c r="AB275" s="682"/>
      <c r="AC275" s="682"/>
      <c r="AD275" s="682"/>
      <c r="AE275" s="682"/>
      <c r="AF275" s="677"/>
      <c r="AG275" s="682"/>
      <c r="AH275" s="682"/>
      <c r="AI275" s="682"/>
      <c r="AJ275" s="682"/>
      <c r="AK275" s="677"/>
      <c r="AL275" s="682"/>
      <c r="AM275" s="682"/>
      <c r="AN275" s="682"/>
      <c r="AO275" s="682"/>
      <c r="AP275" s="683"/>
      <c r="AQ275" s="682"/>
      <c r="AR275" s="682"/>
      <c r="AS275" s="1261">
        <v>3.4799999999999998E-2</v>
      </c>
      <c r="AT275" s="1261">
        <v>3.4799999999999998E-2</v>
      </c>
      <c r="AU275" s="683"/>
      <c r="AV275" s="1261">
        <v>4.2999999999999997E-2</v>
      </c>
      <c r="AW275" s="682">
        <f>+AV275</f>
        <v>4.2999999999999997E-2</v>
      </c>
      <c r="AX275" s="682">
        <f t="shared" si="320"/>
        <v>4.2999999999999997E-2</v>
      </c>
      <c r="AY275" s="682">
        <f t="shared" si="320"/>
        <v>4.2999999999999997E-2</v>
      </c>
      <c r="AZ275" s="683"/>
      <c r="BA275" s="1261">
        <f t="shared" si="316"/>
        <v>4.2999999999999997E-2</v>
      </c>
      <c r="BB275" s="682">
        <f t="shared" si="317"/>
        <v>4.2999999999999997E-2</v>
      </c>
      <c r="BC275" s="682">
        <f t="shared" si="317"/>
        <v>4.2999999999999997E-2</v>
      </c>
      <c r="BD275" s="682">
        <f t="shared" si="317"/>
        <v>4.2999999999999997E-2</v>
      </c>
      <c r="BE275" s="683"/>
      <c r="BF275" s="1261">
        <f t="shared" si="318"/>
        <v>4.2999999999999997E-2</v>
      </c>
      <c r="BG275" s="682">
        <f t="shared" si="321"/>
        <v>4.2999999999999997E-2</v>
      </c>
      <c r="BH275" s="682">
        <f t="shared" si="321"/>
        <v>4.2999999999999997E-2</v>
      </c>
      <c r="BI275" s="682">
        <f t="shared" si="321"/>
        <v>4.2999999999999997E-2</v>
      </c>
      <c r="BJ275" s="683"/>
      <c r="BK275" s="617"/>
      <c r="BL275" s="617"/>
      <c r="BM275" s="617"/>
      <c r="BN275" s="617"/>
      <c r="BO275" s="617"/>
      <c r="BP275" s="617"/>
      <c r="BQ275" s="666"/>
      <c r="BR275" s="667"/>
      <c r="BS275" s="667"/>
      <c r="BZ275" s="667"/>
      <c r="CA275" s="667"/>
      <c r="CB275" s="667"/>
    </row>
    <row r="276" spans="1:80" ht="13.5" customHeight="1" outlineLevel="1">
      <c r="A276" s="108"/>
      <c r="B276" s="1255" t="s">
        <v>419</v>
      </c>
      <c r="C276" s="663"/>
      <c r="D276" s="663"/>
      <c r="E276" s="663"/>
      <c r="F276" s="663"/>
      <c r="G276" s="663"/>
      <c r="H276" s="653"/>
      <c r="I276" s="653"/>
      <c r="J276" s="653"/>
      <c r="K276" s="653"/>
      <c r="L276" s="664"/>
      <c r="M276" s="676"/>
      <c r="N276" s="676"/>
      <c r="O276" s="676"/>
      <c r="P276" s="676"/>
      <c r="Q276" s="663"/>
      <c r="R276" s="663"/>
      <c r="S276" s="663"/>
      <c r="T276" s="663"/>
      <c r="U276" s="663"/>
      <c r="V276" s="663"/>
      <c r="W276" s="663"/>
      <c r="X276" s="663"/>
      <c r="Y276" s="663"/>
      <c r="Z276" s="663"/>
      <c r="AA276" s="665"/>
      <c r="AB276" s="663"/>
      <c r="AC276" s="663"/>
      <c r="AD276" s="663"/>
      <c r="AE276" s="663"/>
      <c r="AF276" s="665"/>
      <c r="AG276" s="1240"/>
      <c r="AH276" s="1240"/>
      <c r="AI276" s="1240"/>
      <c r="AJ276" s="1240"/>
      <c r="AK276" s="665"/>
      <c r="AL276" s="1240"/>
      <c r="AM276" s="1240"/>
      <c r="AN276" s="1240"/>
      <c r="AO276" s="1240"/>
      <c r="AP276" s="678"/>
      <c r="AQ276" s="1240">
        <v>0</v>
      </c>
      <c r="AR276" s="677">
        <v>358</v>
      </c>
      <c r="AS276" s="1262">
        <v>359</v>
      </c>
      <c r="AT276" s="1262">
        <f>+AS276</f>
        <v>359</v>
      </c>
      <c r="AU276" s="678"/>
      <c r="AV276" s="663">
        <f>+AT276</f>
        <v>359</v>
      </c>
      <c r="AW276" s="663">
        <f>+AV276</f>
        <v>359</v>
      </c>
      <c r="AX276" s="663">
        <f t="shared" si="320"/>
        <v>359</v>
      </c>
      <c r="AY276" s="663">
        <f t="shared" si="320"/>
        <v>359</v>
      </c>
      <c r="AZ276" s="678"/>
      <c r="BA276" s="663">
        <f t="shared" si="316"/>
        <v>359</v>
      </c>
      <c r="BB276" s="663">
        <f t="shared" si="317"/>
        <v>359</v>
      </c>
      <c r="BC276" s="663">
        <f t="shared" si="317"/>
        <v>359</v>
      </c>
      <c r="BD276" s="663">
        <f t="shared" si="317"/>
        <v>359</v>
      </c>
      <c r="BE276" s="678"/>
      <c r="BF276" s="663">
        <f t="shared" si="318"/>
        <v>359</v>
      </c>
      <c r="BG276" s="663">
        <f t="shared" si="321"/>
        <v>359</v>
      </c>
      <c r="BH276" s="663">
        <f t="shared" si="321"/>
        <v>359</v>
      </c>
      <c r="BI276" s="663">
        <f t="shared" si="321"/>
        <v>359</v>
      </c>
      <c r="BJ276" s="678"/>
      <c r="BK276" s="617"/>
      <c r="BL276" s="617"/>
      <c r="BM276" s="617"/>
      <c r="BN276" s="617"/>
      <c r="BO276" s="617"/>
      <c r="BP276" s="617"/>
      <c r="BQ276" s="666"/>
      <c r="BR276" s="667"/>
      <c r="BS276" s="667"/>
      <c r="BZ276" s="667"/>
      <c r="CA276" s="667"/>
      <c r="CB276" s="667"/>
    </row>
    <row r="277" spans="1:80" ht="13.5" customHeight="1" outlineLevel="1">
      <c r="A277" s="108"/>
      <c r="B277" s="679" t="s">
        <v>259</v>
      </c>
      <c r="C277" s="663"/>
      <c r="D277" s="663"/>
      <c r="E277" s="663"/>
      <c r="F277" s="663"/>
      <c r="G277" s="663"/>
      <c r="H277" s="653"/>
      <c r="I277" s="653"/>
      <c r="J277" s="653"/>
      <c r="K277" s="653"/>
      <c r="L277" s="664"/>
      <c r="M277" s="680"/>
      <c r="N277" s="653"/>
      <c r="O277" s="663"/>
      <c r="P277" s="663"/>
      <c r="Q277" s="663"/>
      <c r="R277" s="663"/>
      <c r="S277" s="681"/>
      <c r="T277" s="681"/>
      <c r="U277" s="681"/>
      <c r="V277" s="663"/>
      <c r="W277" s="681"/>
      <c r="X277" s="682"/>
      <c r="Y277" s="682"/>
      <c r="Z277" s="682"/>
      <c r="AA277" s="677"/>
      <c r="AB277" s="682"/>
      <c r="AC277" s="682"/>
      <c r="AD277" s="682"/>
      <c r="AE277" s="682"/>
      <c r="AF277" s="677"/>
      <c r="AG277" s="682"/>
      <c r="AH277" s="682"/>
      <c r="AI277" s="682"/>
      <c r="AJ277" s="682"/>
      <c r="AK277" s="677"/>
      <c r="AL277" s="682"/>
      <c r="AM277" s="682"/>
      <c r="AN277" s="682"/>
      <c r="AO277" s="682"/>
      <c r="AP277" s="683"/>
      <c r="AQ277" s="682"/>
      <c r="AR277" s="682">
        <v>2.9399999999999999E-2</v>
      </c>
      <c r="AS277" s="1261">
        <v>2.9499999999999998E-2</v>
      </c>
      <c r="AT277" s="1261">
        <f>AS277</f>
        <v>2.9499999999999998E-2</v>
      </c>
      <c r="AU277" s="683"/>
      <c r="AV277" s="682">
        <v>4.7500000000000001E-2</v>
      </c>
      <c r="AW277" s="682">
        <f>AV277</f>
        <v>4.7500000000000001E-2</v>
      </c>
      <c r="AX277" s="682">
        <f t="shared" ref="AX277:AY282" si="322">AW277</f>
        <v>4.7500000000000001E-2</v>
      </c>
      <c r="AY277" s="682">
        <f t="shared" si="322"/>
        <v>4.7500000000000001E-2</v>
      </c>
      <c r="AZ277" s="683"/>
      <c r="BA277" s="682">
        <f>AY277</f>
        <v>4.7500000000000001E-2</v>
      </c>
      <c r="BB277" s="682">
        <f>BA277</f>
        <v>4.7500000000000001E-2</v>
      </c>
      <c r="BC277" s="682">
        <f t="shared" ref="BC277:BD282" si="323">BB277</f>
        <v>4.7500000000000001E-2</v>
      </c>
      <c r="BD277" s="682">
        <f t="shared" si="323"/>
        <v>4.7500000000000001E-2</v>
      </c>
      <c r="BE277" s="683"/>
      <c r="BF277" s="682">
        <f>BD277</f>
        <v>4.7500000000000001E-2</v>
      </c>
      <c r="BG277" s="682">
        <f>BF277</f>
        <v>4.7500000000000001E-2</v>
      </c>
      <c r="BH277" s="682">
        <f>BG277</f>
        <v>4.7500000000000001E-2</v>
      </c>
      <c r="BI277" s="682">
        <f>BH277</f>
        <v>4.7500000000000001E-2</v>
      </c>
      <c r="BJ277" s="683"/>
      <c r="BK277" s="617"/>
      <c r="BL277" s="617"/>
      <c r="BM277" s="617"/>
      <c r="BN277" s="617"/>
      <c r="BO277" s="617"/>
      <c r="BP277" s="617"/>
      <c r="BQ277" s="666"/>
      <c r="BR277" s="667"/>
      <c r="BS277" s="667"/>
      <c r="BZ277" s="667"/>
      <c r="CA277" s="667"/>
      <c r="CB277" s="667"/>
    </row>
    <row r="278" spans="1:80" ht="13.5" customHeight="1" outlineLevel="1">
      <c r="A278" s="108"/>
      <c r="B278" s="1255" t="s">
        <v>434</v>
      </c>
      <c r="C278" s="663"/>
      <c r="D278" s="663"/>
      <c r="E278" s="663"/>
      <c r="F278" s="663"/>
      <c r="G278" s="663"/>
      <c r="H278" s="653"/>
      <c r="I278" s="653"/>
      <c r="J278" s="653"/>
      <c r="K278" s="653"/>
      <c r="L278" s="664"/>
      <c r="M278" s="680"/>
      <c r="N278" s="653"/>
      <c r="O278" s="663"/>
      <c r="P278" s="663"/>
      <c r="Q278" s="663"/>
      <c r="R278" s="663"/>
      <c r="S278" s="681"/>
      <c r="T278" s="681"/>
      <c r="U278" s="681"/>
      <c r="V278" s="663"/>
      <c r="W278" s="681"/>
      <c r="X278" s="682"/>
      <c r="Y278" s="682"/>
      <c r="Z278" s="682"/>
      <c r="AA278" s="677"/>
      <c r="AB278" s="682"/>
      <c r="AC278" s="682"/>
      <c r="AD278" s="682"/>
      <c r="AE278" s="682"/>
      <c r="AF278" s="677"/>
      <c r="AG278" s="682"/>
      <c r="AH278" s="682"/>
      <c r="AI278" s="682"/>
      <c r="AJ278" s="682"/>
      <c r="AK278" s="677"/>
      <c r="AL278" s="682"/>
      <c r="AM278" s="682"/>
      <c r="AN278" s="682"/>
      <c r="AO278" s="682"/>
      <c r="AP278" s="683"/>
      <c r="AQ278" s="682"/>
      <c r="AR278" s="682"/>
      <c r="AS278" s="1261"/>
      <c r="AT278" s="1261"/>
      <c r="AU278" s="683"/>
      <c r="AV278" s="663">
        <v>1605</v>
      </c>
      <c r="AW278" s="663">
        <f t="shared" ref="AW278:AY288" si="324">+AV278</f>
        <v>1605</v>
      </c>
      <c r="AX278" s="663">
        <f t="shared" si="322"/>
        <v>1605</v>
      </c>
      <c r="AY278" s="663">
        <f t="shared" si="322"/>
        <v>1605</v>
      </c>
      <c r="AZ278" s="678"/>
      <c r="BA278" s="663">
        <v>1605</v>
      </c>
      <c r="BB278" s="663">
        <f t="shared" ref="BB278:BD288" si="325">+BA278</f>
        <v>1605</v>
      </c>
      <c r="BC278" s="663">
        <f t="shared" si="323"/>
        <v>1605</v>
      </c>
      <c r="BD278" s="663">
        <f t="shared" si="323"/>
        <v>1605</v>
      </c>
      <c r="BE278" s="683"/>
      <c r="BF278" s="663">
        <v>1605</v>
      </c>
      <c r="BG278" s="663">
        <f t="shared" ref="BG278:BI288" si="326">+BF278</f>
        <v>1605</v>
      </c>
      <c r="BH278" s="663">
        <f>BG278</f>
        <v>1605</v>
      </c>
      <c r="BI278" s="663">
        <f>BH278</f>
        <v>1605</v>
      </c>
      <c r="BJ278" s="683"/>
      <c r="BK278" s="617"/>
      <c r="BL278" s="617"/>
      <c r="BM278" s="617"/>
      <c r="BN278" s="617"/>
      <c r="BO278" s="617"/>
      <c r="BP278" s="617"/>
      <c r="BQ278" s="666"/>
      <c r="BR278" s="667"/>
      <c r="BS278" s="667"/>
      <c r="BZ278" s="667"/>
      <c r="CA278" s="667"/>
      <c r="CB278" s="667"/>
    </row>
    <row r="279" spans="1:80" ht="13.5" customHeight="1" outlineLevel="1">
      <c r="A279" s="108"/>
      <c r="B279" s="679" t="s">
        <v>259</v>
      </c>
      <c r="C279" s="663"/>
      <c r="D279" s="663"/>
      <c r="E279" s="663"/>
      <c r="F279" s="663"/>
      <c r="G279" s="663"/>
      <c r="H279" s="653"/>
      <c r="I279" s="653"/>
      <c r="J279" s="653"/>
      <c r="K279" s="653"/>
      <c r="L279" s="664"/>
      <c r="M279" s="680"/>
      <c r="N279" s="653"/>
      <c r="O279" s="663"/>
      <c r="P279" s="663"/>
      <c r="Q279" s="663"/>
      <c r="R279" s="663"/>
      <c r="S279" s="681"/>
      <c r="T279" s="681"/>
      <c r="U279" s="681"/>
      <c r="V279" s="663"/>
      <c r="W279" s="681"/>
      <c r="X279" s="682"/>
      <c r="Y279" s="682"/>
      <c r="Z279" s="682"/>
      <c r="AA279" s="677"/>
      <c r="AB279" s="682"/>
      <c r="AC279" s="682"/>
      <c r="AD279" s="682"/>
      <c r="AE279" s="682"/>
      <c r="AF279" s="677"/>
      <c r="AG279" s="682"/>
      <c r="AH279" s="682"/>
      <c r="AI279" s="682"/>
      <c r="AJ279" s="682"/>
      <c r="AK279" s="677"/>
      <c r="AL279" s="682"/>
      <c r="AM279" s="682"/>
      <c r="AN279" s="682"/>
      <c r="AO279" s="682"/>
      <c r="AP279" s="683"/>
      <c r="AQ279" s="682"/>
      <c r="AR279" s="682"/>
      <c r="AS279" s="1261"/>
      <c r="AT279" s="1261"/>
      <c r="AU279" s="683"/>
      <c r="AV279" s="682">
        <v>4.5499999999999999E-2</v>
      </c>
      <c r="AW279" s="682">
        <f>+AV279+0.1%</f>
        <v>4.65E-2</v>
      </c>
      <c r="AX279" s="682">
        <f t="shared" ref="AX279:AY279" si="327">+AW279+0.1%</f>
        <v>4.7500000000000001E-2</v>
      </c>
      <c r="AY279" s="682">
        <f t="shared" si="327"/>
        <v>4.8500000000000001E-2</v>
      </c>
      <c r="AZ279" s="683"/>
      <c r="BA279" s="682">
        <f>+AY279</f>
        <v>4.8500000000000001E-2</v>
      </c>
      <c r="BB279" s="682">
        <f t="shared" si="325"/>
        <v>4.8500000000000001E-2</v>
      </c>
      <c r="BC279" s="682">
        <f t="shared" si="325"/>
        <v>4.8500000000000001E-2</v>
      </c>
      <c r="BD279" s="682">
        <f t="shared" si="325"/>
        <v>4.8500000000000001E-2</v>
      </c>
      <c r="BE279" s="683"/>
      <c r="BF279" s="682">
        <f>+BD279</f>
        <v>4.8500000000000001E-2</v>
      </c>
      <c r="BG279" s="682">
        <f t="shared" si="326"/>
        <v>4.8500000000000001E-2</v>
      </c>
      <c r="BH279" s="682">
        <f t="shared" si="326"/>
        <v>4.8500000000000001E-2</v>
      </c>
      <c r="BI279" s="682">
        <f t="shared" si="326"/>
        <v>4.8500000000000001E-2</v>
      </c>
      <c r="BJ279" s="683"/>
      <c r="BK279" s="617"/>
      <c r="BL279" s="617">
        <f>53+10-98</f>
        <v>-35</v>
      </c>
      <c r="BM279" s="617"/>
      <c r="BN279" s="617"/>
      <c r="BO279" s="617"/>
      <c r="BP279" s="617"/>
      <c r="BQ279" s="666"/>
      <c r="BR279" s="667"/>
      <c r="BS279" s="667"/>
      <c r="BZ279" s="667"/>
      <c r="CA279" s="667"/>
      <c r="CB279" s="667"/>
    </row>
    <row r="280" spans="1:80" ht="13.5" customHeight="1" outlineLevel="1">
      <c r="A280" s="108"/>
      <c r="B280" s="1255" t="s">
        <v>435</v>
      </c>
      <c r="C280" s="663"/>
      <c r="D280" s="663"/>
      <c r="E280" s="663"/>
      <c r="F280" s="663"/>
      <c r="G280" s="663"/>
      <c r="H280" s="653"/>
      <c r="I280" s="653"/>
      <c r="J280" s="653"/>
      <c r="K280" s="653"/>
      <c r="L280" s="664"/>
      <c r="M280" s="680"/>
      <c r="N280" s="653"/>
      <c r="O280" s="663"/>
      <c r="P280" s="663"/>
      <c r="Q280" s="663"/>
      <c r="R280" s="663"/>
      <c r="S280" s="681"/>
      <c r="T280" s="681"/>
      <c r="U280" s="681"/>
      <c r="V280" s="663"/>
      <c r="W280" s="681"/>
      <c r="X280" s="682"/>
      <c r="Y280" s="682"/>
      <c r="Z280" s="682"/>
      <c r="AA280" s="677"/>
      <c r="AB280" s="682"/>
      <c r="AC280" s="682"/>
      <c r="AD280" s="682"/>
      <c r="AE280" s="682"/>
      <c r="AF280" s="677"/>
      <c r="AG280" s="682"/>
      <c r="AH280" s="682"/>
      <c r="AI280" s="682"/>
      <c r="AJ280" s="682"/>
      <c r="AK280" s="677"/>
      <c r="AL280" s="682"/>
      <c r="AM280" s="682"/>
      <c r="AN280" s="682"/>
      <c r="AO280" s="682"/>
      <c r="AP280" s="683"/>
      <c r="AQ280" s="682"/>
      <c r="AR280" s="682"/>
      <c r="AS280" s="1261"/>
      <c r="AT280" s="1261"/>
      <c r="AU280" s="683"/>
      <c r="AV280" s="663">
        <v>535</v>
      </c>
      <c r="AW280" s="663">
        <f t="shared" si="324"/>
        <v>535</v>
      </c>
      <c r="AX280" s="663">
        <f t="shared" si="324"/>
        <v>535</v>
      </c>
      <c r="AY280" s="663">
        <f t="shared" si="324"/>
        <v>535</v>
      </c>
      <c r="AZ280" s="678"/>
      <c r="BA280" s="663">
        <v>535</v>
      </c>
      <c r="BB280" s="663">
        <f t="shared" si="325"/>
        <v>535</v>
      </c>
      <c r="BC280" s="663">
        <f t="shared" si="325"/>
        <v>535</v>
      </c>
      <c r="BD280" s="663">
        <f t="shared" si="325"/>
        <v>535</v>
      </c>
      <c r="BE280" s="683"/>
      <c r="BF280" s="663">
        <v>535</v>
      </c>
      <c r="BG280" s="663">
        <f t="shared" si="326"/>
        <v>535</v>
      </c>
      <c r="BH280" s="663">
        <f t="shared" si="326"/>
        <v>535</v>
      </c>
      <c r="BI280" s="663">
        <f t="shared" si="326"/>
        <v>535</v>
      </c>
      <c r="BJ280" s="683"/>
      <c r="BK280" s="617"/>
      <c r="BL280" s="617"/>
      <c r="BM280" s="617"/>
      <c r="BN280" s="617"/>
      <c r="BO280" s="617"/>
      <c r="BP280" s="617"/>
      <c r="BQ280" s="666"/>
      <c r="BR280" s="667"/>
      <c r="BS280" s="667"/>
      <c r="BZ280" s="667"/>
      <c r="CA280" s="667"/>
      <c r="CB280" s="667"/>
    </row>
    <row r="281" spans="1:80" ht="13.5" customHeight="1" outlineLevel="1">
      <c r="A281" s="108"/>
      <c r="B281" s="679" t="s">
        <v>259</v>
      </c>
      <c r="C281" s="663"/>
      <c r="D281" s="663"/>
      <c r="E281" s="663"/>
      <c r="F281" s="663"/>
      <c r="G281" s="663"/>
      <c r="H281" s="653"/>
      <c r="I281" s="653"/>
      <c r="J281" s="653"/>
      <c r="K281" s="653"/>
      <c r="L281" s="664"/>
      <c r="M281" s="680"/>
      <c r="N281" s="653"/>
      <c r="O281" s="663"/>
      <c r="P281" s="663"/>
      <c r="Q281" s="663"/>
      <c r="R281" s="663"/>
      <c r="S281" s="681"/>
      <c r="T281" s="681"/>
      <c r="U281" s="681"/>
      <c r="V281" s="663"/>
      <c r="W281" s="681"/>
      <c r="X281" s="682"/>
      <c r="Y281" s="682"/>
      <c r="Z281" s="682"/>
      <c r="AA281" s="677"/>
      <c r="AB281" s="682"/>
      <c r="AC281" s="682"/>
      <c r="AD281" s="682"/>
      <c r="AE281" s="682"/>
      <c r="AF281" s="677"/>
      <c r="AG281" s="682"/>
      <c r="AH281" s="682"/>
      <c r="AI281" s="682"/>
      <c r="AJ281" s="682"/>
      <c r="AK281" s="677"/>
      <c r="AL281" s="682"/>
      <c r="AM281" s="682"/>
      <c r="AN281" s="682"/>
      <c r="AO281" s="682"/>
      <c r="AP281" s="683"/>
      <c r="AQ281" s="682"/>
      <c r="AR281" s="682"/>
      <c r="AS281" s="1261"/>
      <c r="AT281" s="1261"/>
      <c r="AU281" s="683"/>
      <c r="AV281" s="1263">
        <v>0.05</v>
      </c>
      <c r="AW281" s="1263">
        <f t="shared" si="324"/>
        <v>0.05</v>
      </c>
      <c r="AX281" s="1263">
        <f t="shared" si="324"/>
        <v>0.05</v>
      </c>
      <c r="AY281" s="1263">
        <f t="shared" si="324"/>
        <v>0.05</v>
      </c>
      <c r="AZ281" s="683"/>
      <c r="BA281" s="1263">
        <v>4.7500000000000001E-2</v>
      </c>
      <c r="BB281" s="1263">
        <f t="shared" si="325"/>
        <v>4.7500000000000001E-2</v>
      </c>
      <c r="BC281" s="1263">
        <f t="shared" si="325"/>
        <v>4.7500000000000001E-2</v>
      </c>
      <c r="BD281" s="1263">
        <f t="shared" si="325"/>
        <v>4.7500000000000001E-2</v>
      </c>
      <c r="BE281" s="683"/>
      <c r="BF281" s="1263">
        <f>+BD281</f>
        <v>4.7500000000000001E-2</v>
      </c>
      <c r="BG281" s="1263">
        <f t="shared" si="326"/>
        <v>4.7500000000000001E-2</v>
      </c>
      <c r="BH281" s="1263">
        <f t="shared" si="326"/>
        <v>4.7500000000000001E-2</v>
      </c>
      <c r="BI281" s="1263">
        <f t="shared" si="326"/>
        <v>4.7500000000000001E-2</v>
      </c>
      <c r="BJ281" s="683"/>
      <c r="BK281" s="617"/>
      <c r="BL281" s="617"/>
      <c r="BM281" s="617"/>
      <c r="BN281" s="617"/>
      <c r="BO281" s="617"/>
      <c r="BP281" s="617"/>
      <c r="BQ281" s="666"/>
      <c r="BR281" s="667"/>
      <c r="BS281" s="667"/>
      <c r="BZ281" s="667"/>
      <c r="CA281" s="667"/>
      <c r="CB281" s="667"/>
    </row>
    <row r="282" spans="1:80" ht="13.5" customHeight="1" outlineLevel="1">
      <c r="A282" s="108"/>
      <c r="B282" s="1255" t="s">
        <v>432</v>
      </c>
      <c r="C282" s="663"/>
      <c r="D282" s="663"/>
      <c r="E282" s="663"/>
      <c r="F282" s="663"/>
      <c r="G282" s="663"/>
      <c r="H282" s="653"/>
      <c r="I282" s="653"/>
      <c r="J282" s="653"/>
      <c r="K282" s="653"/>
      <c r="L282" s="664"/>
      <c r="M282" s="680"/>
      <c r="N282" s="653"/>
      <c r="O282" s="663"/>
      <c r="P282" s="663"/>
      <c r="Q282" s="663"/>
      <c r="R282" s="663"/>
      <c r="S282" s="681"/>
      <c r="T282" s="681"/>
      <c r="U282" s="681"/>
      <c r="V282" s="663"/>
      <c r="W282" s="681"/>
      <c r="X282" s="682"/>
      <c r="Y282" s="682"/>
      <c r="Z282" s="682"/>
      <c r="AA282" s="677"/>
      <c r="AB282" s="682"/>
      <c r="AC282" s="682"/>
      <c r="AD282" s="682"/>
      <c r="AE282" s="682"/>
      <c r="AF282" s="677"/>
      <c r="AG282" s="682"/>
      <c r="AH282" s="682"/>
      <c r="AI282" s="682"/>
      <c r="AJ282" s="682"/>
      <c r="AK282" s="677"/>
      <c r="AL282" s="682"/>
      <c r="AM282" s="682"/>
      <c r="AN282" s="682"/>
      <c r="AO282" s="682"/>
      <c r="AP282" s="683"/>
      <c r="AQ282" s="682"/>
      <c r="AR282" s="682"/>
      <c r="AS282" s="1261"/>
      <c r="AT282" s="1261"/>
      <c r="AU282" s="683"/>
      <c r="AV282" s="663">
        <v>500</v>
      </c>
      <c r="AW282" s="663">
        <f t="shared" si="324"/>
        <v>500</v>
      </c>
      <c r="AX282" s="663">
        <f t="shared" si="322"/>
        <v>500</v>
      </c>
      <c r="AY282" s="663">
        <f t="shared" si="322"/>
        <v>500</v>
      </c>
      <c r="AZ282" s="683"/>
      <c r="BA282" s="663">
        <v>500</v>
      </c>
      <c r="BB282" s="663">
        <f t="shared" si="325"/>
        <v>500</v>
      </c>
      <c r="BC282" s="663">
        <f t="shared" si="323"/>
        <v>500</v>
      </c>
      <c r="BD282" s="663">
        <f t="shared" si="323"/>
        <v>500</v>
      </c>
      <c r="BE282" s="683"/>
      <c r="BF282" s="663">
        <v>500</v>
      </c>
      <c r="BG282" s="663">
        <f t="shared" si="326"/>
        <v>500</v>
      </c>
      <c r="BH282" s="663">
        <f>BG282</f>
        <v>500</v>
      </c>
      <c r="BI282" s="663">
        <f>BH282</f>
        <v>500</v>
      </c>
      <c r="BJ282" s="683"/>
      <c r="BK282" s="617"/>
      <c r="BL282" s="617"/>
      <c r="BM282" s="617"/>
      <c r="BN282" s="617"/>
      <c r="BO282" s="617"/>
      <c r="BP282" s="617"/>
      <c r="BQ282" s="666"/>
      <c r="BR282" s="667"/>
      <c r="BS282" s="667"/>
      <c r="BZ282" s="667"/>
      <c r="CA282" s="667"/>
      <c r="CB282" s="667"/>
    </row>
    <row r="283" spans="1:80" ht="13.5" customHeight="1" outlineLevel="1">
      <c r="A283" s="108"/>
      <c r="B283" s="679" t="s">
        <v>259</v>
      </c>
      <c r="C283" s="663"/>
      <c r="D283" s="663"/>
      <c r="E283" s="663"/>
      <c r="F283" s="663"/>
      <c r="G283" s="663"/>
      <c r="H283" s="653"/>
      <c r="I283" s="653"/>
      <c r="J283" s="653"/>
      <c r="K283" s="653"/>
      <c r="L283" s="664"/>
      <c r="M283" s="680"/>
      <c r="N283" s="653"/>
      <c r="O283" s="663"/>
      <c r="P283" s="663"/>
      <c r="Q283" s="663"/>
      <c r="R283" s="663"/>
      <c r="S283" s="681"/>
      <c r="T283" s="681"/>
      <c r="U283" s="681"/>
      <c r="V283" s="663"/>
      <c r="W283" s="681"/>
      <c r="X283" s="682"/>
      <c r="Y283" s="682"/>
      <c r="Z283" s="682"/>
      <c r="AA283" s="677"/>
      <c r="AB283" s="682"/>
      <c r="AC283" s="682"/>
      <c r="AD283" s="682"/>
      <c r="AE283" s="682"/>
      <c r="AF283" s="677"/>
      <c r="AG283" s="682"/>
      <c r="AH283" s="682"/>
      <c r="AI283" s="682"/>
      <c r="AJ283" s="682"/>
      <c r="AK283" s="677"/>
      <c r="AL283" s="682"/>
      <c r="AM283" s="682"/>
      <c r="AN283" s="682"/>
      <c r="AO283" s="682"/>
      <c r="AP283" s="683"/>
      <c r="AQ283" s="682"/>
      <c r="AR283" s="682"/>
      <c r="AS283" s="1261"/>
      <c r="AT283" s="1261"/>
      <c r="AU283" s="683"/>
      <c r="AV283" s="682">
        <v>4.3749999999999997E-2</v>
      </c>
      <c r="AW283" s="682">
        <f t="shared" si="324"/>
        <v>4.3749999999999997E-2</v>
      </c>
      <c r="AX283" s="682">
        <f>+AW283</f>
        <v>4.3749999999999997E-2</v>
      </c>
      <c r="AY283" s="682">
        <f>+AX283</f>
        <v>4.3749999999999997E-2</v>
      </c>
      <c r="AZ283" s="683"/>
      <c r="BA283" s="682">
        <v>4.3749999999999997E-2</v>
      </c>
      <c r="BB283" s="682">
        <f t="shared" si="325"/>
        <v>4.3749999999999997E-2</v>
      </c>
      <c r="BC283" s="682">
        <f>+BB283</f>
        <v>4.3749999999999997E-2</v>
      </c>
      <c r="BD283" s="682">
        <f>+BC283</f>
        <v>4.3749999999999997E-2</v>
      </c>
      <c r="BE283" s="683"/>
      <c r="BF283" s="682">
        <v>4.3749999999999997E-2</v>
      </c>
      <c r="BG283" s="682">
        <f t="shared" si="326"/>
        <v>4.3749999999999997E-2</v>
      </c>
      <c r="BH283" s="682">
        <f t="shared" si="326"/>
        <v>4.3749999999999997E-2</v>
      </c>
      <c r="BI283" s="682">
        <f t="shared" si="326"/>
        <v>4.3749999999999997E-2</v>
      </c>
      <c r="BJ283" s="683"/>
      <c r="BK283" s="617"/>
      <c r="BL283" s="617"/>
      <c r="BM283" s="617"/>
      <c r="BN283" s="617"/>
      <c r="BO283" s="617"/>
      <c r="BP283" s="617"/>
      <c r="BQ283" s="666"/>
      <c r="BR283" s="667"/>
      <c r="BS283" s="667"/>
      <c r="BZ283" s="667"/>
      <c r="CA283" s="667"/>
      <c r="CB283" s="667"/>
    </row>
    <row r="284" spans="1:80" ht="13.5" customHeight="1" outlineLevel="1">
      <c r="A284" s="108"/>
      <c r="B284" s="1255" t="s">
        <v>433</v>
      </c>
      <c r="C284" s="663"/>
      <c r="D284" s="663"/>
      <c r="E284" s="663"/>
      <c r="F284" s="663"/>
      <c r="G284" s="663"/>
      <c r="H284" s="653"/>
      <c r="I284" s="653"/>
      <c r="J284" s="653"/>
      <c r="K284" s="653"/>
      <c r="L284" s="664"/>
      <c r="M284" s="680"/>
      <c r="N284" s="653"/>
      <c r="O284" s="663"/>
      <c r="P284" s="663"/>
      <c r="Q284" s="663"/>
      <c r="R284" s="663"/>
      <c r="S284" s="681"/>
      <c r="T284" s="681"/>
      <c r="U284" s="681"/>
      <c r="V284" s="663"/>
      <c r="W284" s="681"/>
      <c r="X284" s="682"/>
      <c r="Y284" s="682"/>
      <c r="Z284" s="682"/>
      <c r="AA284" s="677"/>
      <c r="AB284" s="682"/>
      <c r="AC284" s="682"/>
      <c r="AD284" s="682"/>
      <c r="AE284" s="682"/>
      <c r="AF284" s="677"/>
      <c r="AG284" s="682"/>
      <c r="AH284" s="682"/>
      <c r="AI284" s="682"/>
      <c r="AJ284" s="682"/>
      <c r="AK284" s="677"/>
      <c r="AL284" s="682"/>
      <c r="AM284" s="682"/>
      <c r="AN284" s="682"/>
      <c r="AO284" s="682"/>
      <c r="AP284" s="683"/>
      <c r="AQ284" s="682"/>
      <c r="AR284" s="682"/>
      <c r="AS284" s="1261"/>
      <c r="AT284" s="1261"/>
      <c r="AU284" s="683"/>
      <c r="AV284" s="663">
        <f>470*1.36</f>
        <v>639.20000000000005</v>
      </c>
      <c r="AW284" s="663">
        <f t="shared" si="324"/>
        <v>639.20000000000005</v>
      </c>
      <c r="AX284" s="663">
        <f>+AW284</f>
        <v>639.20000000000005</v>
      </c>
      <c r="AY284" s="663">
        <f>+AX284</f>
        <v>639.20000000000005</v>
      </c>
      <c r="AZ284" s="683"/>
      <c r="BA284" s="663">
        <f>470*1.36</f>
        <v>639.20000000000005</v>
      </c>
      <c r="BB284" s="663">
        <f t="shared" si="325"/>
        <v>639.20000000000005</v>
      </c>
      <c r="BC284" s="663">
        <f>+BB284</f>
        <v>639.20000000000005</v>
      </c>
      <c r="BD284" s="663">
        <f>+BC284</f>
        <v>639.20000000000005</v>
      </c>
      <c r="BE284" s="683"/>
      <c r="BF284" s="663">
        <f>470*1.36</f>
        <v>639.20000000000005</v>
      </c>
      <c r="BG284" s="663">
        <f t="shared" si="326"/>
        <v>639.20000000000005</v>
      </c>
      <c r="BH284" s="663">
        <f t="shared" si="326"/>
        <v>639.20000000000005</v>
      </c>
      <c r="BI284" s="663">
        <f t="shared" si="326"/>
        <v>639.20000000000005</v>
      </c>
      <c r="BJ284" s="683"/>
      <c r="BK284" s="617"/>
      <c r="BL284" s="617"/>
      <c r="BM284" s="617"/>
      <c r="BN284" s="617"/>
      <c r="BO284" s="617"/>
      <c r="BP284" s="617"/>
      <c r="BQ284" s="666"/>
      <c r="BR284" s="667"/>
      <c r="BS284" s="667"/>
      <c r="BZ284" s="667"/>
      <c r="CA284" s="667"/>
      <c r="CB284" s="667"/>
    </row>
    <row r="285" spans="1:80" ht="13.5" customHeight="1" outlineLevel="1">
      <c r="A285" s="108"/>
      <c r="B285" s="679" t="s">
        <v>259</v>
      </c>
      <c r="C285" s="663"/>
      <c r="D285" s="663"/>
      <c r="E285" s="663"/>
      <c r="F285" s="663"/>
      <c r="G285" s="663"/>
      <c r="H285" s="653"/>
      <c r="I285" s="653"/>
      <c r="J285" s="653"/>
      <c r="K285" s="653"/>
      <c r="L285" s="664"/>
      <c r="M285" s="680"/>
      <c r="N285" s="653"/>
      <c r="O285" s="663"/>
      <c r="P285" s="663"/>
      <c r="Q285" s="663"/>
      <c r="R285" s="663"/>
      <c r="S285" s="681"/>
      <c r="T285" s="681"/>
      <c r="U285" s="681"/>
      <c r="V285" s="663"/>
      <c r="W285" s="681"/>
      <c r="X285" s="682"/>
      <c r="Y285" s="682"/>
      <c r="Z285" s="682"/>
      <c r="AA285" s="677"/>
      <c r="AB285" s="682"/>
      <c r="AC285" s="682"/>
      <c r="AD285" s="682"/>
      <c r="AE285" s="682"/>
      <c r="AF285" s="677"/>
      <c r="AG285" s="682"/>
      <c r="AH285" s="682"/>
      <c r="AI285" s="682"/>
      <c r="AJ285" s="682"/>
      <c r="AK285" s="677"/>
      <c r="AL285" s="682"/>
      <c r="AM285" s="682"/>
      <c r="AN285" s="682"/>
      <c r="AO285" s="682"/>
      <c r="AP285" s="683"/>
      <c r="AQ285" s="682"/>
      <c r="AR285" s="682"/>
      <c r="AS285" s="1261"/>
      <c r="AT285" s="1261"/>
      <c r="AU285" s="683"/>
      <c r="AV285" s="682">
        <v>0.04</v>
      </c>
      <c r="AW285" s="682">
        <f>+AV285+0.1%</f>
        <v>4.1000000000000002E-2</v>
      </c>
      <c r="AX285" s="682">
        <f t="shared" ref="AX285:AY285" si="328">+AW285+0.1%</f>
        <v>4.2000000000000003E-2</v>
      </c>
      <c r="AY285" s="682">
        <f t="shared" si="328"/>
        <v>4.3000000000000003E-2</v>
      </c>
      <c r="AZ285" s="683"/>
      <c r="BA285" s="682">
        <v>3.875E-2</v>
      </c>
      <c r="BB285" s="682">
        <f t="shared" si="325"/>
        <v>3.875E-2</v>
      </c>
      <c r="BC285" s="682">
        <f t="shared" si="325"/>
        <v>3.875E-2</v>
      </c>
      <c r="BD285" s="682">
        <f t="shared" si="325"/>
        <v>3.875E-2</v>
      </c>
      <c r="BE285" s="683"/>
      <c r="BF285" s="682">
        <v>3.875E-2</v>
      </c>
      <c r="BG285" s="682">
        <f t="shared" si="326"/>
        <v>3.875E-2</v>
      </c>
      <c r="BH285" s="682">
        <f t="shared" si="326"/>
        <v>3.875E-2</v>
      </c>
      <c r="BI285" s="682">
        <f t="shared" si="326"/>
        <v>3.875E-2</v>
      </c>
      <c r="BJ285" s="683"/>
      <c r="BK285" s="617"/>
      <c r="BL285" s="617"/>
      <c r="BM285" s="617"/>
      <c r="BN285" s="617"/>
      <c r="BO285" s="617"/>
      <c r="BP285" s="617"/>
      <c r="BQ285" s="666"/>
      <c r="BR285" s="667"/>
      <c r="BS285" s="667"/>
      <c r="BZ285" s="667"/>
      <c r="CA285" s="667"/>
      <c r="CB285" s="667"/>
    </row>
    <row r="286" spans="1:80" ht="13.5" customHeight="1" outlineLevel="1">
      <c r="A286" s="108"/>
      <c r="B286" s="1255" t="s">
        <v>436</v>
      </c>
      <c r="C286" s="663"/>
      <c r="D286" s="663"/>
      <c r="E286" s="663"/>
      <c r="F286" s="663"/>
      <c r="G286" s="663"/>
      <c r="H286" s="653"/>
      <c r="I286" s="653"/>
      <c r="J286" s="653"/>
      <c r="K286" s="653"/>
      <c r="L286" s="664"/>
      <c r="M286" s="680"/>
      <c r="N286" s="653"/>
      <c r="O286" s="663"/>
      <c r="P286" s="663"/>
      <c r="Q286" s="663"/>
      <c r="R286" s="663"/>
      <c r="S286" s="681"/>
      <c r="T286" s="681"/>
      <c r="U286" s="681"/>
      <c r="V286" s="663"/>
      <c r="W286" s="681"/>
      <c r="X286" s="682"/>
      <c r="Y286" s="682"/>
      <c r="Z286" s="682"/>
      <c r="AA286" s="677"/>
      <c r="AB286" s="682"/>
      <c r="AC286" s="682"/>
      <c r="AD286" s="682"/>
      <c r="AE286" s="682"/>
      <c r="AF286" s="677"/>
      <c r="AG286" s="682"/>
      <c r="AH286" s="682"/>
      <c r="AI286" s="682"/>
      <c r="AJ286" s="682"/>
      <c r="AK286" s="677"/>
      <c r="AL286" s="682"/>
      <c r="AM286" s="682"/>
      <c r="AN286" s="682"/>
      <c r="AO286" s="682"/>
      <c r="AP286" s="683"/>
      <c r="AQ286" s="682"/>
      <c r="AR286" s="682"/>
      <c r="AS286" s="1261"/>
      <c r="AT286" s="1261"/>
      <c r="AU286" s="683"/>
      <c r="AV286" s="663">
        <v>590.70000000000005</v>
      </c>
      <c r="AW286" s="663">
        <f t="shared" si="324"/>
        <v>590.70000000000005</v>
      </c>
      <c r="AX286" s="663">
        <f t="shared" si="324"/>
        <v>590.70000000000005</v>
      </c>
      <c r="AY286" s="663">
        <f t="shared" si="324"/>
        <v>590.70000000000005</v>
      </c>
      <c r="AZ286" s="683"/>
      <c r="BA286" s="663">
        <v>590.70000000000005</v>
      </c>
      <c r="BB286" s="663">
        <f t="shared" si="325"/>
        <v>590.70000000000005</v>
      </c>
      <c r="BC286" s="663">
        <f t="shared" si="325"/>
        <v>590.70000000000005</v>
      </c>
      <c r="BD286" s="663">
        <f t="shared" si="325"/>
        <v>590.70000000000005</v>
      </c>
      <c r="BE286" s="683"/>
      <c r="BF286" s="663">
        <v>590.70000000000005</v>
      </c>
      <c r="BG286" s="663">
        <f t="shared" si="326"/>
        <v>590.70000000000005</v>
      </c>
      <c r="BH286" s="663">
        <f t="shared" si="326"/>
        <v>590.70000000000005</v>
      </c>
      <c r="BI286" s="663">
        <f t="shared" si="326"/>
        <v>590.70000000000005</v>
      </c>
      <c r="BJ286" s="683"/>
      <c r="BK286" s="617"/>
      <c r="BL286" s="617"/>
      <c r="BM286" s="617"/>
      <c r="BN286" s="617"/>
      <c r="BO286" s="617"/>
      <c r="BP286" s="617"/>
      <c r="BQ286" s="666"/>
      <c r="BR286" s="667"/>
      <c r="BS286" s="667"/>
      <c r="BZ286" s="667"/>
      <c r="CA286" s="667"/>
      <c r="CB286" s="667"/>
    </row>
    <row r="287" spans="1:80" ht="13.5" customHeight="1" outlineLevel="1">
      <c r="A287" s="108"/>
      <c r="B287" s="679" t="s">
        <v>259</v>
      </c>
      <c r="C287" s="663"/>
      <c r="D287" s="663"/>
      <c r="E287" s="663"/>
      <c r="F287" s="663"/>
      <c r="G287" s="663"/>
      <c r="H287" s="653"/>
      <c r="I287" s="653"/>
      <c r="J287" s="653"/>
      <c r="K287" s="653"/>
      <c r="L287" s="664"/>
      <c r="M287" s="680"/>
      <c r="N287" s="653"/>
      <c r="O287" s="663"/>
      <c r="P287" s="663"/>
      <c r="Q287" s="663"/>
      <c r="R287" s="663"/>
      <c r="S287" s="681"/>
      <c r="T287" s="681"/>
      <c r="U287" s="681"/>
      <c r="V287" s="663"/>
      <c r="W287" s="681"/>
      <c r="X287" s="682"/>
      <c r="Y287" s="682"/>
      <c r="Z287" s="682"/>
      <c r="AA287" s="677"/>
      <c r="AB287" s="682"/>
      <c r="AC287" s="682"/>
      <c r="AD287" s="682"/>
      <c r="AE287" s="682"/>
      <c r="AF287" s="677"/>
      <c r="AG287" s="682"/>
      <c r="AH287" s="682"/>
      <c r="AI287" s="682"/>
      <c r="AJ287" s="682"/>
      <c r="AK287" s="677"/>
      <c r="AL287" s="682"/>
      <c r="AM287" s="682"/>
      <c r="AN287" s="682"/>
      <c r="AO287" s="682"/>
      <c r="AP287" s="683"/>
      <c r="AQ287" s="682"/>
      <c r="AR287" s="682"/>
      <c r="AS287" s="1261"/>
      <c r="AT287" s="1261"/>
      <c r="AU287" s="683"/>
      <c r="AV287" s="1263">
        <v>0.05</v>
      </c>
      <c r="AW287" s="1263">
        <f t="shared" si="324"/>
        <v>0.05</v>
      </c>
      <c r="AX287" s="1263">
        <f t="shared" si="324"/>
        <v>0.05</v>
      </c>
      <c r="AY287" s="1263">
        <f t="shared" si="324"/>
        <v>0.05</v>
      </c>
      <c r="AZ287" s="683"/>
      <c r="BA287" s="1263">
        <v>4.7500000000000001E-2</v>
      </c>
      <c r="BB287" s="1263">
        <f t="shared" si="325"/>
        <v>4.7500000000000001E-2</v>
      </c>
      <c r="BC287" s="1263">
        <f t="shared" si="325"/>
        <v>4.7500000000000001E-2</v>
      </c>
      <c r="BD287" s="1263">
        <f t="shared" si="325"/>
        <v>4.7500000000000001E-2</v>
      </c>
      <c r="BE287" s="683"/>
      <c r="BF287" s="1263">
        <f>+BD287</f>
        <v>4.7500000000000001E-2</v>
      </c>
      <c r="BG287" s="1263">
        <f t="shared" si="326"/>
        <v>4.7500000000000001E-2</v>
      </c>
      <c r="BH287" s="1263">
        <f t="shared" si="326"/>
        <v>4.7500000000000001E-2</v>
      </c>
      <c r="BI287" s="1263">
        <f t="shared" si="326"/>
        <v>4.7500000000000001E-2</v>
      </c>
      <c r="BJ287" s="683"/>
      <c r="BK287" s="617"/>
      <c r="BL287" s="617"/>
      <c r="BM287" s="617"/>
      <c r="BN287" s="617"/>
      <c r="BO287" s="617"/>
      <c r="BP287" s="617"/>
      <c r="BQ287" s="666"/>
      <c r="BR287" s="667"/>
      <c r="BS287" s="667"/>
      <c r="BZ287" s="667"/>
      <c r="CA287" s="667"/>
      <c r="CB287" s="667"/>
    </row>
    <row r="288" spans="1:80" ht="13.5" customHeight="1" outlineLevel="1">
      <c r="A288" s="108"/>
      <c r="B288" s="630" t="s">
        <v>260</v>
      </c>
      <c r="C288" s="663"/>
      <c r="D288" s="663"/>
      <c r="E288" s="663"/>
      <c r="F288" s="663"/>
      <c r="G288" s="663"/>
      <c r="H288" s="653"/>
      <c r="I288" s="653"/>
      <c r="J288" s="653"/>
      <c r="K288" s="653"/>
      <c r="L288" s="664"/>
      <c r="M288" s="680"/>
      <c r="N288" s="653"/>
      <c r="O288" s="663"/>
      <c r="P288" s="663"/>
      <c r="Q288" s="663"/>
      <c r="R288" s="663"/>
      <c r="S288" s="663">
        <v>3</v>
      </c>
      <c r="T288" s="663">
        <f>1.15+0.45+0.15</f>
        <v>1.7499999999999998</v>
      </c>
      <c r="U288" s="663">
        <f>1.15+0.45+0.15</f>
        <v>1.7499999999999998</v>
      </c>
      <c r="V288" s="663"/>
      <c r="W288" s="663">
        <f>10.131-4.401</f>
        <v>5.73</v>
      </c>
      <c r="X288" s="677">
        <v>1.7</v>
      </c>
      <c r="Y288" s="677">
        <v>1.7</v>
      </c>
      <c r="Z288" s="677">
        <v>1.7</v>
      </c>
      <c r="AA288" s="677"/>
      <c r="AB288" s="677">
        <v>1.7</v>
      </c>
      <c r="AC288" s="677">
        <v>1.7</v>
      </c>
      <c r="AD288" s="677">
        <v>1.7</v>
      </c>
      <c r="AE288" s="677">
        <v>1.7</v>
      </c>
      <c r="AF288" s="677"/>
      <c r="AG288" s="677">
        <v>0</v>
      </c>
      <c r="AH288" s="677">
        <v>0</v>
      </c>
      <c r="AI288" s="677">
        <v>0</v>
      </c>
      <c r="AJ288" s="677">
        <f>AI288</f>
        <v>0</v>
      </c>
      <c r="AK288" s="677"/>
      <c r="AL288" s="677">
        <v>0</v>
      </c>
      <c r="AM288" s="677">
        <v>0</v>
      </c>
      <c r="AN288" s="677">
        <v>0</v>
      </c>
      <c r="AO288" s="677">
        <v>0</v>
      </c>
      <c r="AP288" s="683"/>
      <c r="AQ288" s="677">
        <v>0</v>
      </c>
      <c r="AR288" s="677">
        <v>0</v>
      </c>
      <c r="AS288" s="1260">
        <f>10.131-140.654-3.197-39.697</f>
        <v>-173.417</v>
      </c>
      <c r="AT288" s="1260">
        <f>AS288</f>
        <v>-173.417</v>
      </c>
      <c r="AU288" s="683"/>
      <c r="AV288" s="677">
        <v>-35</v>
      </c>
      <c r="AW288" s="677">
        <f t="shared" si="324"/>
        <v>-35</v>
      </c>
      <c r="AX288" s="677">
        <f>+AW288</f>
        <v>-35</v>
      </c>
      <c r="AY288" s="677">
        <f>+AX288</f>
        <v>-35</v>
      </c>
      <c r="AZ288" s="683"/>
      <c r="BA288" s="677">
        <v>-35</v>
      </c>
      <c r="BB288" s="677">
        <f t="shared" si="325"/>
        <v>-35</v>
      </c>
      <c r="BC288" s="677">
        <f>+BB288</f>
        <v>-35</v>
      </c>
      <c r="BD288" s="677">
        <f>+BC288</f>
        <v>-35</v>
      </c>
      <c r="BE288" s="683"/>
      <c r="BF288" s="677">
        <f>+BD288</f>
        <v>-35</v>
      </c>
      <c r="BG288" s="677">
        <f t="shared" si="326"/>
        <v>-35</v>
      </c>
      <c r="BH288" s="677">
        <f t="shared" si="326"/>
        <v>-35</v>
      </c>
      <c r="BI288" s="677">
        <f t="shared" si="326"/>
        <v>-35</v>
      </c>
      <c r="BJ288" s="683"/>
      <c r="BK288" s="617"/>
      <c r="BL288" s="617"/>
      <c r="BM288" s="617"/>
      <c r="BN288" s="617"/>
      <c r="BO288" s="617"/>
      <c r="BP288" s="617"/>
      <c r="BQ288" s="666"/>
      <c r="BR288" s="667"/>
      <c r="BS288" s="667"/>
      <c r="BZ288" s="667"/>
      <c r="CA288" s="667"/>
      <c r="CB288" s="667"/>
    </row>
    <row r="289" spans="1:80" ht="13.5" customHeight="1" outlineLevel="1">
      <c r="A289" s="108"/>
      <c r="B289" s="630"/>
      <c r="C289" s="663"/>
      <c r="D289" s="663"/>
      <c r="E289" s="663"/>
      <c r="F289" s="663"/>
      <c r="G289" s="663"/>
      <c r="H289" s="653"/>
      <c r="I289" s="653"/>
      <c r="J289" s="653"/>
      <c r="K289" s="653"/>
      <c r="L289" s="664"/>
      <c r="M289" s="680"/>
      <c r="N289" s="653"/>
      <c r="O289" s="663"/>
      <c r="P289" s="663"/>
      <c r="Q289" s="663"/>
      <c r="R289" s="663"/>
      <c r="S289" s="663"/>
      <c r="T289" s="663"/>
      <c r="U289" s="663"/>
      <c r="V289" s="663"/>
      <c r="W289" s="663"/>
      <c r="X289" s="677"/>
      <c r="Y289" s="677"/>
      <c r="Z289" s="677"/>
      <c r="AA289" s="677"/>
      <c r="AB289" s="677"/>
      <c r="AC289" s="677"/>
      <c r="AD289" s="677"/>
      <c r="AE289" s="677"/>
      <c r="AF289" s="677"/>
      <c r="AG289" s="677"/>
      <c r="AH289" s="677"/>
      <c r="AI289" s="677"/>
      <c r="AJ289" s="677"/>
      <c r="AK289" s="677"/>
      <c r="AL289" s="677"/>
      <c r="AM289" s="677"/>
      <c r="AN289" s="677"/>
      <c r="AO289" s="677"/>
      <c r="AP289" s="683"/>
      <c r="AQ289" s="677"/>
      <c r="AR289" s="677"/>
      <c r="AS289" s="1260"/>
      <c r="AT289" s="1260"/>
      <c r="AU289" s="683"/>
      <c r="AV289" s="682"/>
      <c r="AW289" s="682"/>
      <c r="AX289" s="682"/>
      <c r="AY289" s="682"/>
      <c r="AZ289" s="683"/>
      <c r="BA289" s="682"/>
      <c r="BB289" s="682"/>
      <c r="BC289" s="682"/>
      <c r="BD289" s="682"/>
      <c r="BE289" s="683"/>
      <c r="BF289" s="682"/>
      <c r="BG289" s="682"/>
      <c r="BH289" s="682"/>
      <c r="BI289" s="682"/>
      <c r="BJ289" s="683"/>
      <c r="BK289" s="617"/>
      <c r="BL289" s="617"/>
      <c r="BM289" s="617"/>
      <c r="BN289" s="617"/>
      <c r="BO289" s="617"/>
      <c r="BP289" s="617"/>
      <c r="BQ289" s="666"/>
      <c r="BR289" s="667"/>
      <c r="BS289" s="667"/>
      <c r="BZ289" s="667"/>
      <c r="CA289" s="667"/>
      <c r="CB289" s="667"/>
    </row>
    <row r="290" spans="1:80" ht="13.5" customHeight="1" outlineLevel="1">
      <c r="A290" s="667"/>
      <c r="B290" s="684" t="s">
        <v>247</v>
      </c>
      <c r="C290" s="685"/>
      <c r="D290" s="685"/>
      <c r="E290" s="685"/>
      <c r="F290" s="685"/>
      <c r="G290" s="685"/>
      <c r="H290" s="686"/>
      <c r="I290" s="686"/>
      <c r="J290" s="686"/>
      <c r="K290" s="686"/>
      <c r="L290" s="687"/>
      <c r="M290" s="688"/>
      <c r="N290" s="688"/>
      <c r="O290" s="688"/>
      <c r="P290" s="688"/>
      <c r="Q290" s="685"/>
      <c r="R290" s="688"/>
      <c r="S290" s="688">
        <f>+S270+S272+S288</f>
        <v>1253</v>
      </c>
      <c r="T290" s="688">
        <f>+T270+T272+T288</f>
        <v>1251.75</v>
      </c>
      <c r="U290" s="688">
        <f>+U270+U272+U288</f>
        <v>1251.75</v>
      </c>
      <c r="V290" s="685"/>
      <c r="W290" s="688">
        <f>+W270+W272+W288</f>
        <v>1203.23</v>
      </c>
      <c r="X290" s="688">
        <f>+X270+X272+X288</f>
        <v>1850.8030000000001</v>
      </c>
      <c r="Y290" s="688">
        <f>+Y270+Y272+Y288</f>
        <v>1825.5150000000001</v>
      </c>
      <c r="Z290" s="688">
        <f>+Z270+Z272+Z288</f>
        <v>1800.9150000000002</v>
      </c>
      <c r="AA290" s="689"/>
      <c r="AB290" s="688">
        <f>+AB270+AB272+AB288</f>
        <v>1776.3080000000002</v>
      </c>
      <c r="AC290" s="688">
        <f>+AC270+AC272+AC288</f>
        <v>3437.674</v>
      </c>
      <c r="AD290" s="688">
        <f>+AD270+AD272+AD288</f>
        <v>3405.009</v>
      </c>
      <c r="AE290" s="688">
        <f>+AE270+AE272+AE288</f>
        <v>3373.375</v>
      </c>
      <c r="AF290" s="689"/>
      <c r="AG290" s="688">
        <f>+AG270+AG272+AG288</f>
        <v>3046.1239999999998</v>
      </c>
      <c r="AH290" s="688">
        <f>+AH270+AH272+AH288</f>
        <v>3016.9989999999998</v>
      </c>
      <c r="AI290" s="688">
        <f>+AI270+AI272+AI288</f>
        <v>2987.8739999999998</v>
      </c>
      <c r="AJ290" s="688">
        <f>+AJ270+AJ272+AJ288</f>
        <v>2958.7489999999998</v>
      </c>
      <c r="AK290" s="689"/>
      <c r="AL290" s="688">
        <f>+AL270+AL272+AL288</f>
        <v>2929.6239999999998</v>
      </c>
      <c r="AM290" s="688">
        <f>+AM270+AM272+AM288</f>
        <v>2900.4989999999998</v>
      </c>
      <c r="AN290" s="688">
        <f>+AN270+AN272+AN288</f>
        <v>2886.0360000000001</v>
      </c>
      <c r="AO290" s="688">
        <f>+AO270+AO272+AO288</f>
        <v>3103.2559999999999</v>
      </c>
      <c r="AP290" s="690"/>
      <c r="AQ290" s="688">
        <f>+AQ270+AQ272+AQ288+AQ276</f>
        <v>3070.4759999999997</v>
      </c>
      <c r="AR290" s="688">
        <f>+AR270+AR272+AR288+AR276</f>
        <v>3395.6959999999999</v>
      </c>
      <c r="AS290" s="688">
        <f>+AS270+AS272+AS274+AS288+AS276</f>
        <v>4591.3559999999998</v>
      </c>
      <c r="AT290" s="688">
        <f>+AT270+AT272+AT274+AT288+AT276</f>
        <v>5556.8220000000001</v>
      </c>
      <c r="AU290" s="690"/>
      <c r="AV290" s="688">
        <f>+AV270+AV272+AV274+AV288+AV276+AV282+AV284+AV278+AV280+AV286</f>
        <v>8565.139000000001</v>
      </c>
      <c r="AW290" s="688">
        <f>+AW270+AW272+AW274+AW288+AW276+AW282+AW284+AW278+AW280+AW286</f>
        <v>8565.139000000001</v>
      </c>
      <c r="AX290" s="688">
        <f>+AX270+AX272+AX274+AX288+AX276+AX282+AX284+AX278+AX280+AX286</f>
        <v>8565.139000000001</v>
      </c>
      <c r="AY290" s="688">
        <f>+AY270+AY272+AY274+AY288+AY276+AY282+AY284+AY278+AY280+AY286</f>
        <v>8565.139000000001</v>
      </c>
      <c r="AZ290" s="690"/>
      <c r="BA290" s="688">
        <f>+BA270+BA272+BA274+BA288+BA276+BA282+BA284+BA278+BA280+BA286</f>
        <v>8465.139000000001</v>
      </c>
      <c r="BB290" s="688">
        <f>+BB270+BB272+BB274+BB288+BB276+BB282+BB284+BB278+BB280+BB286</f>
        <v>8365.139000000001</v>
      </c>
      <c r="BC290" s="688">
        <f>+BC270+BC272+BC274+BC288+BC276+BC282+BC284+BC278+BC280+BC286</f>
        <v>8265.139000000001</v>
      </c>
      <c r="BD290" s="688">
        <f>+BD270+BD272+BD274+BD288+BD276+BD282+BD284+BD278+BD280+BD286</f>
        <v>8165.1390000000001</v>
      </c>
      <c r="BE290" s="690"/>
      <c r="BF290" s="688">
        <f>+BF270+BF272+BF274+BF288+BF276+BF282+BF284+BF278+BF280+BF286</f>
        <v>8165.1390000000001</v>
      </c>
      <c r="BG290" s="688">
        <f>+BG270+BG272+BG274+BG288+BG276+BG282+BG284+BG278+BG280+BG286</f>
        <v>8165.1390000000001</v>
      </c>
      <c r="BH290" s="688">
        <f>+BH270+BH272+BH274+BH288+BH276+BH282+BH284+BH278+BH280+BH286</f>
        <v>8165.1390000000001</v>
      </c>
      <c r="BI290" s="688">
        <f>+BI270+BI272+BI274+BI288+BI276+BI282+BI284+BI278+BI280+BI286</f>
        <v>8165.1390000000001</v>
      </c>
      <c r="BJ290" s="690"/>
      <c r="BK290" s="617"/>
      <c r="BL290" s="617"/>
      <c r="BM290" s="617"/>
      <c r="BN290" s="617"/>
      <c r="BO290" s="617"/>
      <c r="BP290" s="617"/>
      <c r="BQ290" s="666"/>
      <c r="BR290" s="667"/>
      <c r="BS290" s="667"/>
      <c r="BZ290" s="667"/>
      <c r="CA290" s="667"/>
      <c r="CB290" s="667"/>
    </row>
    <row r="291" spans="1:80" ht="13.5" customHeight="1" outlineLevel="1">
      <c r="A291" s="667"/>
      <c r="B291" s="691" t="s">
        <v>261</v>
      </c>
      <c r="C291" s="692"/>
      <c r="D291" s="692"/>
      <c r="E291" s="692"/>
      <c r="F291" s="692"/>
      <c r="G291" s="692"/>
      <c r="H291" s="658"/>
      <c r="I291" s="658"/>
      <c r="J291" s="658"/>
      <c r="K291" s="658"/>
      <c r="L291" s="693"/>
      <c r="M291" s="694"/>
      <c r="N291" s="694"/>
      <c r="O291" s="694"/>
      <c r="P291" s="694"/>
      <c r="Q291" s="695"/>
      <c r="R291" s="694"/>
      <c r="S291" s="694">
        <f>+(S270/S290*S271)+(S272/S290*S273)</f>
        <v>3.0925778132482044E-2</v>
      </c>
      <c r="T291" s="694">
        <f>+(T270/T290*T271)+(T272/T290*T273)</f>
        <v>3.0956660675054926E-2</v>
      </c>
      <c r="U291" s="694">
        <f>+(U270/U290*U271)+(U272/U290*U273)</f>
        <v>3.0956660675054926E-2</v>
      </c>
      <c r="V291" s="695"/>
      <c r="W291" s="694">
        <f>+(W270/W290*W271)+(W272/W290*W273)</f>
        <v>3.0968725846263805E-2</v>
      </c>
      <c r="X291" s="694">
        <f>+(X270/X290*X271)+(X272/X290*X273)</f>
        <v>2.4977036994212783E-2</v>
      </c>
      <c r="Y291" s="694">
        <f>+(Y270/Y290*Y271)+(Y272/Y290*Y273)</f>
        <v>2.0980443874742197E-2</v>
      </c>
      <c r="Z291" s="694">
        <f>+(Z270/Z290*Z271)+(Z272/Z290*Z273)</f>
        <v>2.0980176743488729E-2</v>
      </c>
      <c r="AA291" s="696"/>
      <c r="AB291" s="694">
        <f>+(AB270/AB290*AB271)+(AB272/AB290*AB273)</f>
        <v>2.0979902134089359E-2</v>
      </c>
      <c r="AC291" s="694">
        <f>+(AC270/AC290*AC271)+(AC272/AC290*AC273)</f>
        <v>2.0989615071120765E-2</v>
      </c>
      <c r="AD291" s="694">
        <f>+(AD270/AD290*AD271)+(AD272/AD290*AD273)</f>
        <v>2.098951544621468E-2</v>
      </c>
      <c r="AE291" s="694">
        <f>+(AE270/AE290*AE271)+(AE272/AE290*AE273)</f>
        <v>2.0989417126764741E-2</v>
      </c>
      <c r="AF291" s="696"/>
      <c r="AG291" s="694">
        <f>+(AG270/AG290*AG271)+(AG272/AG290*AG273)</f>
        <v>2.7869840755005378E-2</v>
      </c>
      <c r="AH291" s="694">
        <f>+(AH270/AH290*AH271)+(AH272/AH290*AH273)</f>
        <v>2.8032451485731351E-2</v>
      </c>
      <c r="AI291" s="694">
        <f>+(AI270/AI290*AI271)+(AI272/AI290*AI273)</f>
        <v>2.8194801855767684E-2</v>
      </c>
      <c r="AJ291" s="694">
        <f>+(AJ270/AJ290*AJ271)+(AJ272/AJ290*AJ273)</f>
        <v>2.8958404954256008E-2</v>
      </c>
      <c r="AK291" s="696"/>
      <c r="AL291" s="694">
        <f>+(AL270/AL290*AL271)+(AL272/AL290*AL273)</f>
        <v>2.9368436359068606E-2</v>
      </c>
      <c r="AM291" s="694">
        <f>+(AM270/AM290*AM271)+(AM272/AM290*AM273)</f>
        <v>2.7161680834918409E-2</v>
      </c>
      <c r="AN291" s="694">
        <f>+(AN270/AN290*AN271)+(AN272/AN290*AN273)</f>
        <v>2.766511478027301E-2</v>
      </c>
      <c r="AO291" s="694">
        <f>+(AO270/AO290*AO271)+(AO272/AO290*AO273)</f>
        <v>2.8355834001448799E-2</v>
      </c>
      <c r="AP291" s="697"/>
      <c r="AQ291" s="694">
        <f>+(AQ270/AQ290*AQ271)+(AQ272/AQ290*AQ273)+(AQ276/AQ290*AQ277)</f>
        <v>2.8463930055144544E-2</v>
      </c>
      <c r="AR291" s="694">
        <f>+(AR270/AR290*AR271)+(AR272/AR290*AR273)+(AR276/AR290*AR277)</f>
        <v>3.0812816753914365E-2</v>
      </c>
      <c r="AS291" s="694">
        <f>+(AS270/AS290*AS271)+(AS272/AS290*AS273)+(AS274/AS290*AS275)+(AS276/AS290*AS277)</f>
        <v>3.3593259311628203E-2</v>
      </c>
      <c r="AT291" s="694">
        <f>+(AT270/AT290*AT271)+(AT272/AT290*AT273)+(AT274/AT290*AT275)+(AT276/AT290*AT277)</f>
        <v>3.2951576656585366E-2</v>
      </c>
      <c r="AU291" s="697"/>
      <c r="AV291" s="694">
        <f>+(AV270/AV290*AV271)+(AV272/AV290*AV273)+(AV274/AV290*AV275)+(AV276/AV290*AV277)+(AV282/AV290*AV283)+(AV284/AV290*AV285)+(AV278/AV290*AV279)+(AV280/AV290*AV281)+(AV286/AV290*AV287)+(AV288/AV290*AV289)</f>
        <v>4.1025301399078284E-2</v>
      </c>
      <c r="AW291" s="694">
        <f>+(AW270/AW290*AW271)+(AW272/AW290*AW273)+(AW274/AW290*AW275)+(AW276/AW290*AW277)+(AW282/AW290*AW283)+(AW284/AW290*AW285)+(AW278/AW290*AW279)+(AW280/AW290*AW281)+(AW286/AW290*AW287)+(AW288/AW290*AW289)</f>
        <v>4.1560778873524405E-2</v>
      </c>
      <c r="AX291" s="694">
        <f>+(AX270/AX290*AX271)+(AX272/AX290*AX273)+(AX274/AX290*AX275)+(AX276/AX290*AX277)+(AX282/AX290*AX283)+(AX284/AX290*AX285)+(AX278/AX290*AX279)+(AX280/AX290*AX281)+(AX286/AX290*AX287)+(AX288/AX290*AX289)</f>
        <v>4.2096256347970533E-2</v>
      </c>
      <c r="AY291" s="694">
        <f>+(AY270/AY290*AY271)+(AY272/AY290*AY273)+(AY274/AY290*AY275)+(AY276/AY290*AY277)+(AY282/AY290*AY283)+(AY284/AY290*AY285)+(AY278/AY290*AY279)+(AY280/AY290*AY281)+(AY286/AY290*AY287)+(AY288/AY290*AY289)</f>
        <v>4.2631733822416654E-2</v>
      </c>
      <c r="AZ291" s="697"/>
      <c r="BA291" s="694">
        <f>+(BA270/BA290*BA271)+(BA272/BA290*BA273)+(BA274/BA290*BA275)+(BA276/BA290*BA277)+(BA282/BA290*BA283)+(BA284/BA290*BA285)+(BA278/BA290*BA279)+(BA280/BA290*BA281)+(BA286/BA290*BA287)+(BA288/BA290*BA289)</f>
        <v>4.2080333943719059E-2</v>
      </c>
      <c r="BB291" s="694">
        <f>+(BB270/BB290*BB271)+(BB272/BB290*BB273)+(BB274/BB290*BB275)+(BB276/BB290*BB277)+(BB282/BB290*BB283)+(BB284/BB290*BB285)+(BB278/BB290*BB279)+(BB280/BB290*BB281)+(BB286/BB290*BB287)+(BB288/BB290*BB289)</f>
        <v>4.2176929277564904E-2</v>
      </c>
      <c r="BC291" s="694">
        <f>+(BC270/BC290*BC271)+(BC272/BC290*BC273)+(BC274/BC290*BC275)+(BC276/BC290*BC277)+(BC282/BC290*BC283)+(BC284/BC290*BC285)+(BC278/BC290*BC279)+(BC280/BC290*BC281)+(BC286/BC290*BC287)+(BC288/BC290*BC289)</f>
        <v>4.2275862027244787E-2</v>
      </c>
      <c r="BD291" s="694">
        <f>+(BD270/BD290*BD271)+(BD272/BD290*BD273)+(BD274/BD290*BD275)+(BD276/BD290*BD277)+(BD282/BD290*BD283)+(BD284/BD290*BD285)+(BD278/BD290*BD279)+(BD280/BD290*BD281)+(BD286/BD290*BD287)+(BD288/BD290*BD289)</f>
        <v>4.2377218073078732E-2</v>
      </c>
      <c r="BE291" s="697"/>
      <c r="BF291" s="694">
        <f>+(BF270/BF290*BF271)+(BF272/BF290*BF273)+(BF274/BF290*BF275)+(BF276/BF290*BF277)+(BF282/BF290*BF283)+(BF284/BF290*BF285)+(BF278/BF290*BF279)+(BF280/BF290*BF281)+(BF286/BF290*BF287)+(BF288/BF290*BF289)</f>
        <v>4.2377218073078732E-2</v>
      </c>
      <c r="BG291" s="694">
        <f>+(BG270/BG290*BG271)+(BG272/BG290*BG273)+(BG274/BG290*BG275)+(BG276/BG290*BG277)+(BG282/BG290*BG283)+(BG284/BG290*BG285)+(BG278/BG290*BG279)+(BG280/BG290*BG281)+(BG286/BG290*BG287)+(BG288/BG290*BG289)</f>
        <v>4.2377218073078732E-2</v>
      </c>
      <c r="BH291" s="694">
        <f>+(BH270/BH290*BH271)+(BH272/BH290*BH273)+(BH274/BH290*BH275)+(BH276/BH290*BH277)+(BH282/BH290*BH283)+(BH284/BH290*BH285)+(BH278/BH290*BH279)+(BH280/BH290*BH281)+(BH286/BH290*BH287)+(BH288/BH290*BH289)</f>
        <v>4.2377218073078732E-2</v>
      </c>
      <c r="BI291" s="694">
        <f>+(BI270/BI290*BI271)+(BI272/BI290*BI273)+(BI274/BI290*BI275)+(BI276/BI290*BI277)+(BI282/BI290*BI283)+(BI284/BI290*BI285)+(BI278/BI290*BI279)+(BI280/BI290*BI281)+(BI286/BI290*BI287)+(BI288/BI290*BI289)</f>
        <v>4.2377218073078732E-2</v>
      </c>
      <c r="BJ291" s="697"/>
      <c r="BK291" s="698"/>
      <c r="BL291" s="698"/>
      <c r="BM291" s="698"/>
      <c r="BN291" s="698"/>
      <c r="BO291" s="698"/>
      <c r="BP291" s="698"/>
      <c r="BQ291" s="666"/>
      <c r="BR291" s="667"/>
      <c r="BS291" s="667"/>
      <c r="BZ291" s="667"/>
      <c r="CA291" s="667"/>
      <c r="CB291" s="667"/>
    </row>
    <row r="292" spans="1:80" ht="13.5" customHeight="1" outlineLevel="1">
      <c r="A292" s="452"/>
      <c r="B292" s="452"/>
      <c r="C292" s="452"/>
      <c r="D292" s="452"/>
      <c r="E292" s="452"/>
      <c r="F292" s="452"/>
      <c r="G292" s="453"/>
      <c r="H292" s="452"/>
      <c r="I292" s="452"/>
      <c r="J292" s="452"/>
      <c r="K292" s="452"/>
      <c r="L292" s="453"/>
      <c r="M292" s="452"/>
      <c r="N292" s="452"/>
      <c r="O292" s="699"/>
      <c r="P292" s="452"/>
      <c r="Q292" s="453"/>
      <c r="R292" s="452"/>
      <c r="S292" s="452"/>
      <c r="T292" s="452"/>
      <c r="U292" s="452"/>
      <c r="V292" s="452"/>
      <c r="W292" s="455"/>
      <c r="X292" s="452"/>
      <c r="Y292" s="452"/>
      <c r="Z292" s="452"/>
      <c r="AA292" s="453"/>
      <c r="AB292" s="700">
        <f>+AB270+1650</f>
        <v>3424.6080000000002</v>
      </c>
      <c r="AC292" s="452"/>
      <c r="AD292" s="452"/>
      <c r="AE292" s="452"/>
      <c r="AF292" s="453"/>
      <c r="AG292" s="700"/>
      <c r="AH292" s="452"/>
      <c r="AI292" s="452"/>
      <c r="AJ292" s="452"/>
      <c r="AK292" s="453"/>
      <c r="AL292" s="452"/>
      <c r="AM292" s="452"/>
      <c r="AN292" s="452"/>
      <c r="AO292" s="452"/>
      <c r="AP292" s="453"/>
      <c r="AQ292" s="452"/>
      <c r="AR292" s="452"/>
      <c r="AS292" s="452"/>
      <c r="AT292" s="452"/>
      <c r="AU292" s="453"/>
      <c r="AV292" s="701"/>
      <c r="AW292" s="701"/>
      <c r="AX292" s="701"/>
      <c r="AY292" s="701"/>
      <c r="AZ292" s="701"/>
      <c r="BA292" s="701"/>
      <c r="BB292" s="701"/>
      <c r="BC292" s="701"/>
      <c r="BD292" s="701"/>
      <c r="BE292" s="701"/>
      <c r="BF292" s="701"/>
      <c r="BG292" s="701"/>
      <c r="BH292" s="701"/>
      <c r="BI292" s="701"/>
      <c r="BJ292" s="701"/>
      <c r="BK292" s="701"/>
      <c r="BL292" s="701"/>
      <c r="BM292" s="701"/>
      <c r="BN292" s="701"/>
      <c r="BO292" s="701"/>
      <c r="BP292" s="701"/>
      <c r="BQ292" s="457"/>
      <c r="BR292" s="452"/>
      <c r="BS292" s="452"/>
      <c r="BZ292" s="452"/>
      <c r="CA292" s="452"/>
      <c r="CB292" s="452"/>
    </row>
    <row r="293" spans="1:80" ht="13.5" customHeight="1">
      <c r="A293" s="702"/>
      <c r="B293" s="702"/>
      <c r="C293" s="702"/>
      <c r="D293" s="702"/>
      <c r="E293" s="702"/>
      <c r="F293" s="702"/>
      <c r="G293" s="701"/>
      <c r="H293" s="702"/>
      <c r="I293" s="702"/>
      <c r="J293" s="702"/>
      <c r="K293" s="702"/>
      <c r="L293" s="701"/>
      <c r="M293" s="702"/>
      <c r="N293" s="702"/>
      <c r="O293" s="702"/>
      <c r="P293" s="702"/>
      <c r="Q293" s="701"/>
      <c r="R293" s="702"/>
      <c r="S293" s="702"/>
      <c r="T293" s="703"/>
      <c r="U293" s="702"/>
      <c r="V293" s="702"/>
      <c r="W293" s="702"/>
      <c r="X293" s="702"/>
      <c r="Y293" s="702"/>
      <c r="Z293" s="702"/>
      <c r="AA293" s="701"/>
      <c r="AB293" s="702"/>
      <c r="AC293" s="702"/>
      <c r="AD293" s="702"/>
      <c r="AE293" s="702"/>
      <c r="AF293" s="701"/>
      <c r="AG293" s="702"/>
      <c r="AH293" s="702"/>
      <c r="AI293" s="702"/>
      <c r="AJ293" s="702"/>
      <c r="AK293" s="701"/>
      <c r="AL293" s="702"/>
      <c r="AM293" s="702"/>
      <c r="AN293" s="702"/>
      <c r="AO293" s="702"/>
      <c r="AP293" s="704"/>
      <c r="AQ293" s="702"/>
      <c r="AR293" s="702"/>
      <c r="AS293" s="702"/>
      <c r="AT293" s="702"/>
      <c r="AU293" s="704"/>
      <c r="AV293" s="704"/>
      <c r="AW293" s="701"/>
      <c r="AX293" s="701"/>
      <c r="AY293" s="701"/>
      <c r="AZ293" s="704"/>
      <c r="BA293" s="701"/>
      <c r="BB293" s="701"/>
      <c r="BC293" s="701"/>
      <c r="BD293" s="701"/>
      <c r="BE293" s="704"/>
      <c r="BF293" s="701"/>
      <c r="BG293" s="701"/>
      <c r="BH293" s="701"/>
      <c r="BI293" s="701"/>
      <c r="BJ293" s="704"/>
      <c r="BK293" s="701"/>
      <c r="BL293" s="701"/>
      <c r="BM293" s="701"/>
      <c r="BN293" s="701"/>
      <c r="BO293" s="701"/>
      <c r="BP293" s="701"/>
      <c r="BQ293" s="705"/>
      <c r="BR293" s="702"/>
      <c r="BS293" s="702"/>
      <c r="BZ293" s="702"/>
      <c r="CA293" s="702"/>
      <c r="CB293" s="702"/>
    </row>
    <row r="294" spans="1:80" ht="13.5" hidden="1" customHeight="1" outlineLevel="1">
      <c r="A294" s="702"/>
      <c r="B294" s="453" t="s">
        <v>262</v>
      </c>
      <c r="C294" s="702"/>
      <c r="D294" s="702"/>
      <c r="E294" s="702"/>
      <c r="F294" s="702"/>
      <c r="G294" s="701"/>
      <c r="H294" s="702"/>
      <c r="I294" s="702"/>
      <c r="J294" s="702"/>
      <c r="K294" s="702"/>
      <c r="L294" s="701"/>
      <c r="M294" s="702"/>
      <c r="N294" s="702"/>
      <c r="O294" s="702"/>
      <c r="P294" s="702"/>
      <c r="Q294" s="701"/>
      <c r="R294" s="702"/>
      <c r="S294" s="702"/>
      <c r="T294" s="703"/>
      <c r="U294" s="702"/>
      <c r="V294" s="702"/>
      <c r="W294" s="702"/>
      <c r="X294" s="702"/>
      <c r="Y294" s="702"/>
      <c r="Z294" s="702"/>
      <c r="AA294" s="701"/>
      <c r="AB294" s="702"/>
      <c r="AC294" s="702"/>
      <c r="AD294" s="702"/>
      <c r="AE294" s="702"/>
      <c r="AF294" s="701"/>
      <c r="AG294" s="702"/>
      <c r="AH294" s="702"/>
      <c r="AI294" s="702"/>
      <c r="AJ294" s="702"/>
      <c r="AK294" s="701"/>
      <c r="AL294" s="702"/>
      <c r="AM294" s="702"/>
      <c r="AN294" s="702"/>
      <c r="AO294" s="702"/>
      <c r="AP294" s="701"/>
      <c r="AQ294" s="702"/>
      <c r="AR294" s="702"/>
      <c r="AS294" s="702"/>
      <c r="AT294" s="702"/>
      <c r="AU294" s="701"/>
      <c r="AV294" s="701"/>
      <c r="AW294" s="701"/>
      <c r="AX294" s="701"/>
      <c r="AY294" s="701"/>
      <c r="AZ294" s="701"/>
      <c r="BA294" s="701"/>
      <c r="BB294" s="701"/>
      <c r="BC294" s="701"/>
      <c r="BD294" s="701"/>
      <c r="BE294" s="701"/>
      <c r="BF294" s="701"/>
      <c r="BG294" s="701"/>
      <c r="BH294" s="701"/>
      <c r="BI294" s="701"/>
      <c r="BJ294" s="701"/>
      <c r="BK294" s="701"/>
      <c r="BL294" s="701"/>
      <c r="BM294" s="701"/>
      <c r="BN294" s="701"/>
      <c r="BO294" s="701"/>
      <c r="BP294" s="701"/>
      <c r="BQ294" s="705"/>
      <c r="BR294" s="702"/>
      <c r="BS294" s="702"/>
      <c r="BZ294" s="702"/>
      <c r="CA294" s="702"/>
      <c r="CB294" s="702"/>
    </row>
    <row r="295" spans="1:80" ht="13.5" hidden="1" customHeight="1" outlineLevel="1">
      <c r="A295" s="452"/>
      <c r="B295" s="452" t="s">
        <v>263</v>
      </c>
      <c r="C295" s="706"/>
      <c r="D295" s="707"/>
      <c r="E295" s="707"/>
      <c r="F295" s="707"/>
      <c r="G295" s="527">
        <v>0.35</v>
      </c>
      <c r="H295" s="707">
        <v>0.35</v>
      </c>
      <c r="I295" s="707">
        <v>0.35</v>
      </c>
      <c r="J295" s="707">
        <v>0.35</v>
      </c>
      <c r="K295" s="707">
        <v>0.35</v>
      </c>
      <c r="L295" s="527">
        <v>0.35</v>
      </c>
      <c r="M295" s="707">
        <v>0.35</v>
      </c>
      <c r="N295" s="707">
        <v>0.35</v>
      </c>
      <c r="O295" s="707">
        <v>0.35</v>
      </c>
      <c r="P295" s="707">
        <v>0.35</v>
      </c>
      <c r="Q295" s="527">
        <v>0.35</v>
      </c>
      <c r="R295" s="707">
        <f t="shared" ref="R295:AO295" si="329">R68</f>
        <v>0.38499506416584395</v>
      </c>
      <c r="S295" s="707">
        <f t="shared" si="329"/>
        <v>0.38500244348313978</v>
      </c>
      <c r="T295" s="707">
        <f t="shared" si="329"/>
        <v>0.3850022119299768</v>
      </c>
      <c r="U295" s="707">
        <f t="shared" si="329"/>
        <v>0.33153042409342359</v>
      </c>
      <c r="V295" s="527">
        <f t="shared" si="329"/>
        <v>0.36917048790547591</v>
      </c>
      <c r="W295" s="707">
        <f t="shared" si="329"/>
        <v>0.34369066282364624</v>
      </c>
      <c r="X295" s="707">
        <f t="shared" si="329"/>
        <v>0.35049352566569042</v>
      </c>
      <c r="Y295" s="707">
        <f t="shared" si="329"/>
        <v>0.3450775165229355</v>
      </c>
      <c r="Z295" s="707">
        <f t="shared" si="329"/>
        <v>0.30174650236264244</v>
      </c>
      <c r="AA295" s="527">
        <f t="shared" si="329"/>
        <v>0.33456240333011539</v>
      </c>
      <c r="AB295" s="707">
        <f t="shared" si="329"/>
        <v>0.26425341939886832</v>
      </c>
      <c r="AC295" s="707">
        <f t="shared" si="329"/>
        <v>0.28022590128423341</v>
      </c>
      <c r="AD295" s="707">
        <f t="shared" si="329"/>
        <v>0.27182965441695062</v>
      </c>
      <c r="AE295" s="707">
        <f t="shared" si="329"/>
        <v>0.27976984599385618</v>
      </c>
      <c r="AF295" s="527">
        <f t="shared" si="329"/>
        <v>0.27464284741912776</v>
      </c>
      <c r="AG295" s="707">
        <f t="shared" si="329"/>
        <v>0.26394388691764986</v>
      </c>
      <c r="AH295" s="707">
        <f t="shared" si="329"/>
        <v>0.28904930021434888</v>
      </c>
      <c r="AI295" s="707">
        <f t="shared" si="329"/>
        <v>0.25485586412380723</v>
      </c>
      <c r="AJ295" s="707">
        <f t="shared" si="329"/>
        <v>0.2556778000626036</v>
      </c>
      <c r="AK295" s="527">
        <f t="shared" si="329"/>
        <v>0.265108693879548</v>
      </c>
      <c r="AL295" s="707">
        <f t="shared" si="329"/>
        <v>0.23634062156310739</v>
      </c>
      <c r="AM295" s="707">
        <f t="shared" si="329"/>
        <v>0.26544061465319641</v>
      </c>
      <c r="AN295" s="707">
        <f t="shared" si="329"/>
        <v>0.26158362383036726</v>
      </c>
      <c r="AO295" s="707">
        <f t="shared" si="329"/>
        <v>0.25326257265605262</v>
      </c>
      <c r="AP295" s="527">
        <f t="shared" ref="AP295:AT295" si="330">AP68</f>
        <v>0.25525254624818128</v>
      </c>
      <c r="AQ295" s="707">
        <f t="shared" si="330"/>
        <v>0.13859397784542959</v>
      </c>
      <c r="AR295" s="707">
        <f t="shared" si="330"/>
        <v>0.18435294991458506</v>
      </c>
      <c r="AS295" s="707">
        <f t="shared" si="330"/>
        <v>0.17614659100384034</v>
      </c>
      <c r="AT295" s="707">
        <f t="shared" si="330"/>
        <v>0.1832758280293699</v>
      </c>
      <c r="AU295" s="527">
        <f t="shared" ref="AU295:AY295" si="331">AU68</f>
        <v>0.17266547258340087</v>
      </c>
      <c r="AV295" s="707">
        <f t="shared" si="331"/>
        <v>0.11258613257828826</v>
      </c>
      <c r="AW295" s="707">
        <f t="shared" si="331"/>
        <v>0.12765903583238536</v>
      </c>
      <c r="AX295" s="707">
        <f t="shared" si="331"/>
        <v>0.13211678076557437</v>
      </c>
      <c r="AY295" s="707">
        <f t="shared" si="331"/>
        <v>0.13515687850448643</v>
      </c>
      <c r="AZ295" s="527">
        <f t="shared" ref="AZ295:BE295" si="332">AZ68</f>
        <v>0.12795408947399842</v>
      </c>
      <c r="BA295" s="707">
        <f t="shared" si="332"/>
        <v>0.12255726921850198</v>
      </c>
      <c r="BB295" s="707">
        <f t="shared" si="332"/>
        <v>0.1289675124155501</v>
      </c>
      <c r="BC295" s="707">
        <f t="shared" si="332"/>
        <v>0.1328652215485854</v>
      </c>
      <c r="BD295" s="707">
        <f t="shared" si="332"/>
        <v>0.13562746690004776</v>
      </c>
      <c r="BE295" s="527">
        <f t="shared" si="332"/>
        <v>0.13044679717555024</v>
      </c>
      <c r="BF295" s="707">
        <f>BF68</f>
        <v>0.12905698470587207</v>
      </c>
      <c r="BG295" s="707">
        <f>BG68</f>
        <v>0.13416794341074037</v>
      </c>
      <c r="BH295" s="707">
        <f>BH68</f>
        <v>0.13724970773977177</v>
      </c>
      <c r="BI295" s="707">
        <f>BI68</f>
        <v>0.13951072950047322</v>
      </c>
      <c r="BJ295" s="527">
        <f>BJ68</f>
        <v>0.13532629013001324</v>
      </c>
      <c r="BK295" s="529"/>
      <c r="BL295" s="529"/>
      <c r="BM295" s="529"/>
      <c r="BN295" s="529"/>
      <c r="BO295" s="529"/>
      <c r="BP295" s="529"/>
      <c r="BQ295" s="457"/>
      <c r="BR295" s="452"/>
      <c r="BS295" s="452"/>
      <c r="BZ295" s="452"/>
      <c r="CA295" s="452"/>
      <c r="CB295" s="452"/>
    </row>
    <row r="296" spans="1:80" ht="13.5" hidden="1" customHeight="1" outlineLevel="1">
      <c r="A296" s="708"/>
      <c r="B296" s="452" t="s">
        <v>264</v>
      </c>
      <c r="C296" s="709"/>
      <c r="D296" s="709"/>
      <c r="E296" s="709"/>
      <c r="F296" s="709"/>
      <c r="G296" s="710" t="str">
        <f t="shared" ref="G296:AZ296" si="333">G75</f>
        <v>ND</v>
      </c>
      <c r="H296" s="709" t="str">
        <f t="shared" si="333"/>
        <v>ND</v>
      </c>
      <c r="I296" s="709" t="str">
        <f t="shared" si="333"/>
        <v>ND</v>
      </c>
      <c r="J296" s="709" t="str">
        <f t="shared" si="333"/>
        <v>ND</v>
      </c>
      <c r="K296" s="709" t="str">
        <f t="shared" si="333"/>
        <v>ND</v>
      </c>
      <c r="L296" s="710">
        <f t="shared" si="333"/>
        <v>212.210587</v>
      </c>
      <c r="M296" s="709">
        <f t="shared" si="333"/>
        <v>212.210587</v>
      </c>
      <c r="N296" s="709">
        <f t="shared" si="333"/>
        <v>212.210587</v>
      </c>
      <c r="O296" s="709">
        <f t="shared" si="333"/>
        <v>212.210587</v>
      </c>
      <c r="P296" s="709">
        <f t="shared" si="333"/>
        <v>212.210587</v>
      </c>
      <c r="Q296" s="710">
        <f t="shared" si="333"/>
        <v>212.210587</v>
      </c>
      <c r="R296" s="709">
        <f t="shared" si="333"/>
        <v>212.30453399999999</v>
      </c>
      <c r="S296" s="709">
        <f t="shared" si="333"/>
        <v>214.01262700000001</v>
      </c>
      <c r="T296" s="709">
        <f t="shared" si="333"/>
        <v>215.046333</v>
      </c>
      <c r="U296" s="709">
        <f t="shared" si="333"/>
        <v>213.72475600000001</v>
      </c>
      <c r="V296" s="710">
        <f t="shared" si="333"/>
        <v>213.7720625</v>
      </c>
      <c r="W296" s="709">
        <f t="shared" si="333"/>
        <v>214.584791</v>
      </c>
      <c r="X296" s="709">
        <f t="shared" si="333"/>
        <v>207.901994</v>
      </c>
      <c r="Y296" s="709">
        <f t="shared" si="333"/>
        <v>201.01101399999999</v>
      </c>
      <c r="Z296" s="709">
        <f t="shared" si="333"/>
        <v>200.55797799999999</v>
      </c>
      <c r="AA296" s="710">
        <f t="shared" si="333"/>
        <v>206.01394425000001</v>
      </c>
      <c r="AB296" s="709">
        <f t="shared" si="333"/>
        <v>198.94997699999999</v>
      </c>
      <c r="AC296" s="709">
        <f t="shared" si="333"/>
        <v>198.50512599999999</v>
      </c>
      <c r="AD296" s="709">
        <f t="shared" si="333"/>
        <v>199.69899799999999</v>
      </c>
      <c r="AE296" s="709">
        <f t="shared" si="333"/>
        <v>199.43240299999999</v>
      </c>
      <c r="AF296" s="710">
        <f t="shared" si="333"/>
        <v>199.146626</v>
      </c>
      <c r="AG296" s="709">
        <f t="shared" si="333"/>
        <v>200.715138</v>
      </c>
      <c r="AH296" s="709">
        <f t="shared" si="333"/>
        <v>201.831467</v>
      </c>
      <c r="AI296" s="709">
        <f t="shared" si="333"/>
        <v>201.899024</v>
      </c>
      <c r="AJ296" s="709">
        <f t="shared" si="333"/>
        <v>198.51955799999999</v>
      </c>
      <c r="AK296" s="710">
        <f t="shared" si="333"/>
        <v>200.74129675</v>
      </c>
      <c r="AL296" s="709">
        <f t="shared" si="333"/>
        <v>196.777827</v>
      </c>
      <c r="AM296" s="709">
        <f t="shared" si="333"/>
        <v>197.25820899999999</v>
      </c>
      <c r="AN296" s="709">
        <f t="shared" si="333"/>
        <v>197.34216900000001</v>
      </c>
      <c r="AO296" s="709">
        <f t="shared" si="333"/>
        <v>197.24420799999999</v>
      </c>
      <c r="AP296" s="710">
        <f t="shared" ref="AP296:AT296" si="334">AP75</f>
        <v>197.15560324999998</v>
      </c>
      <c r="AQ296" s="709">
        <f t="shared" si="334"/>
        <v>197.49668</v>
      </c>
      <c r="AR296" s="709">
        <f t="shared" si="334"/>
        <v>197.55344199999999</v>
      </c>
      <c r="AS296" s="709">
        <f t="shared" si="334"/>
        <v>186.524461</v>
      </c>
      <c r="AT296" s="709">
        <f t="shared" si="334"/>
        <v>178.62519599999999</v>
      </c>
      <c r="AU296" s="710">
        <f t="shared" ref="AU296:AY296" si="335">AU75</f>
        <v>190.04994474999998</v>
      </c>
      <c r="AV296" s="709">
        <f t="shared" si="335"/>
        <v>317.62519599999996</v>
      </c>
      <c r="AW296" s="709">
        <f t="shared" si="335"/>
        <v>317.72519599999998</v>
      </c>
      <c r="AX296" s="709">
        <f t="shared" si="335"/>
        <v>317.82519600000001</v>
      </c>
      <c r="AY296" s="709">
        <f t="shared" si="335"/>
        <v>317.92519600000003</v>
      </c>
      <c r="AZ296" s="710">
        <f t="shared" si="333"/>
        <v>317.77519599999999</v>
      </c>
      <c r="BA296" s="709">
        <f t="shared" ref="BA296:BJ296" si="336">BA75</f>
        <v>317.97519600000004</v>
      </c>
      <c r="BB296" s="709">
        <f t="shared" si="336"/>
        <v>318.07519600000006</v>
      </c>
      <c r="BC296" s="709">
        <f t="shared" si="336"/>
        <v>318.17519600000008</v>
      </c>
      <c r="BD296" s="709">
        <f t="shared" si="336"/>
        <v>318.27519600000011</v>
      </c>
      <c r="BE296" s="710">
        <f t="shared" si="336"/>
        <v>318.12519600000007</v>
      </c>
      <c r="BF296" s="709">
        <f t="shared" si="336"/>
        <v>318.37519600000013</v>
      </c>
      <c r="BG296" s="709">
        <f t="shared" si="336"/>
        <v>318.47519600000015</v>
      </c>
      <c r="BH296" s="709">
        <f t="shared" si="336"/>
        <v>318.57519600000018</v>
      </c>
      <c r="BI296" s="709">
        <f t="shared" si="336"/>
        <v>318.6751960000002</v>
      </c>
      <c r="BJ296" s="710">
        <f t="shared" si="336"/>
        <v>318.52519600000016</v>
      </c>
      <c r="BK296" s="711"/>
      <c r="BL296" s="711"/>
      <c r="BM296" s="711"/>
      <c r="BN296" s="711"/>
      <c r="BO296" s="711"/>
      <c r="BP296" s="711"/>
      <c r="BQ296" s="457"/>
      <c r="BR296" s="452"/>
      <c r="BS296" s="452"/>
      <c r="BZ296" s="452"/>
      <c r="CA296" s="452"/>
      <c r="CB296" s="452"/>
    </row>
    <row r="297" spans="1:80" ht="13.5" hidden="1" customHeight="1" outlineLevel="1">
      <c r="A297" s="708"/>
      <c r="B297" s="452" t="s">
        <v>265</v>
      </c>
      <c r="C297" s="709"/>
      <c r="D297" s="709"/>
      <c r="E297" s="709"/>
      <c r="F297" s="709"/>
      <c r="G297" s="710" t="str">
        <f t="shared" ref="G297:AZ297" si="337">G76</f>
        <v>ND</v>
      </c>
      <c r="H297" s="709" t="str">
        <f t="shared" si="337"/>
        <v>ND</v>
      </c>
      <c r="I297" s="709" t="str">
        <f t="shared" si="337"/>
        <v>ND</v>
      </c>
      <c r="J297" s="709" t="str">
        <f t="shared" si="337"/>
        <v>ND</v>
      </c>
      <c r="K297" s="709" t="str">
        <f t="shared" si="337"/>
        <v>ND</v>
      </c>
      <c r="L297" s="710">
        <f t="shared" si="337"/>
        <v>212.210587</v>
      </c>
      <c r="M297" s="709">
        <f t="shared" si="337"/>
        <v>212.210587</v>
      </c>
      <c r="N297" s="709">
        <f t="shared" si="337"/>
        <v>212.210587</v>
      </c>
      <c r="O297" s="709">
        <f t="shared" si="337"/>
        <v>212.210587</v>
      </c>
      <c r="P297" s="709">
        <f t="shared" si="337"/>
        <v>212.210587</v>
      </c>
      <c r="Q297" s="710">
        <f t="shared" si="337"/>
        <v>212.210587</v>
      </c>
      <c r="R297" s="709">
        <f t="shared" si="337"/>
        <v>212.30453399999999</v>
      </c>
      <c r="S297" s="709">
        <f t="shared" si="337"/>
        <v>214.01262700000001</v>
      </c>
      <c r="T297" s="709">
        <f t="shared" si="337"/>
        <v>215.046333</v>
      </c>
      <c r="U297" s="709">
        <f t="shared" si="337"/>
        <v>213.72475600000001</v>
      </c>
      <c r="V297" s="710">
        <f t="shared" si="337"/>
        <v>213.7720625</v>
      </c>
      <c r="W297" s="709">
        <f t="shared" si="337"/>
        <v>214.584791</v>
      </c>
      <c r="X297" s="709">
        <f t="shared" si="337"/>
        <v>207.901994</v>
      </c>
      <c r="Y297" s="709">
        <f t="shared" si="337"/>
        <v>201.01101399999999</v>
      </c>
      <c r="Z297" s="709">
        <f t="shared" si="337"/>
        <v>200.55797799999999</v>
      </c>
      <c r="AA297" s="710">
        <f t="shared" si="337"/>
        <v>206.01394425000001</v>
      </c>
      <c r="AB297" s="709">
        <f t="shared" si="337"/>
        <v>198.94997699999999</v>
      </c>
      <c r="AC297" s="709">
        <f t="shared" si="337"/>
        <v>198.50512599999999</v>
      </c>
      <c r="AD297" s="709">
        <f t="shared" si="337"/>
        <v>199.69899799999999</v>
      </c>
      <c r="AE297" s="709">
        <f t="shared" si="337"/>
        <v>199.43240299999999</v>
      </c>
      <c r="AF297" s="710">
        <f t="shared" si="337"/>
        <v>199.146626</v>
      </c>
      <c r="AG297" s="709">
        <f t="shared" si="337"/>
        <v>200.715138</v>
      </c>
      <c r="AH297" s="709">
        <f t="shared" si="337"/>
        <v>201.831467</v>
      </c>
      <c r="AI297" s="709">
        <f t="shared" si="337"/>
        <v>201.899024</v>
      </c>
      <c r="AJ297" s="709">
        <f t="shared" si="337"/>
        <v>198.51955799999999</v>
      </c>
      <c r="AK297" s="710">
        <f t="shared" si="337"/>
        <v>200.74129675</v>
      </c>
      <c r="AL297" s="709">
        <f t="shared" si="337"/>
        <v>196.777827</v>
      </c>
      <c r="AM297" s="709">
        <f t="shared" si="337"/>
        <v>197.25820899999999</v>
      </c>
      <c r="AN297" s="709">
        <f t="shared" si="337"/>
        <v>197.34216900000001</v>
      </c>
      <c r="AO297" s="709">
        <f t="shared" si="337"/>
        <v>197.24420799999999</v>
      </c>
      <c r="AP297" s="710">
        <f t="shared" ref="AP297:AT297" si="338">AP76</f>
        <v>197.15560324999998</v>
      </c>
      <c r="AQ297" s="709">
        <f t="shared" si="338"/>
        <v>197.49668</v>
      </c>
      <c r="AR297" s="709">
        <f t="shared" si="338"/>
        <v>197.55344199999999</v>
      </c>
      <c r="AS297" s="709">
        <f t="shared" si="338"/>
        <v>186.524461</v>
      </c>
      <c r="AT297" s="709">
        <f t="shared" si="338"/>
        <v>178.62519599999999</v>
      </c>
      <c r="AU297" s="710">
        <f t="shared" ref="AU297:AY297" si="339">AU76</f>
        <v>190.04994474999998</v>
      </c>
      <c r="AV297" s="709">
        <f t="shared" si="339"/>
        <v>317.62519599999996</v>
      </c>
      <c r="AW297" s="709">
        <f t="shared" si="339"/>
        <v>317.72519599999998</v>
      </c>
      <c r="AX297" s="709">
        <f t="shared" si="339"/>
        <v>317.82519600000001</v>
      </c>
      <c r="AY297" s="709">
        <f t="shared" si="339"/>
        <v>317.92519600000003</v>
      </c>
      <c r="AZ297" s="710">
        <f t="shared" si="337"/>
        <v>317.77519599999999</v>
      </c>
      <c r="BA297" s="709">
        <f t="shared" ref="BA297:BJ297" si="340">BA76</f>
        <v>317.97519600000004</v>
      </c>
      <c r="BB297" s="709">
        <f t="shared" si="340"/>
        <v>318.07519600000006</v>
      </c>
      <c r="BC297" s="709">
        <f t="shared" si="340"/>
        <v>318.17519600000008</v>
      </c>
      <c r="BD297" s="709">
        <f t="shared" si="340"/>
        <v>318.27519600000011</v>
      </c>
      <c r="BE297" s="710">
        <f t="shared" si="340"/>
        <v>318.12519600000007</v>
      </c>
      <c r="BF297" s="709">
        <f t="shared" si="340"/>
        <v>318.37519600000013</v>
      </c>
      <c r="BG297" s="709">
        <f t="shared" si="340"/>
        <v>318.47519600000015</v>
      </c>
      <c r="BH297" s="709">
        <f t="shared" si="340"/>
        <v>318.57519600000018</v>
      </c>
      <c r="BI297" s="709">
        <f t="shared" si="340"/>
        <v>318.6751960000002</v>
      </c>
      <c r="BJ297" s="710">
        <f t="shared" si="340"/>
        <v>318.52519600000016</v>
      </c>
      <c r="BK297" s="711"/>
      <c r="BL297" s="711"/>
      <c r="BM297" s="711"/>
      <c r="BN297" s="711"/>
      <c r="BO297" s="711"/>
      <c r="BP297" s="711"/>
      <c r="BQ297" s="457"/>
      <c r="BR297" s="452"/>
      <c r="BS297" s="452"/>
      <c r="BZ297" s="452"/>
      <c r="CA297" s="452"/>
      <c r="CB297" s="452"/>
    </row>
    <row r="298" spans="1:80" ht="13.5" hidden="1" customHeight="1" outlineLevel="1">
      <c r="A298" s="452"/>
      <c r="B298" s="452" t="s">
        <v>266</v>
      </c>
      <c r="C298" s="712"/>
      <c r="D298" s="712"/>
      <c r="E298" s="712"/>
      <c r="F298" s="712"/>
      <c r="G298" s="712">
        <f t="shared" ref="G298:AZ298" si="341">(G111-G44)+(G112+G57)+(G115-G61)</f>
        <v>-62.989500000000014</v>
      </c>
      <c r="H298" s="712">
        <f t="shared" si="341"/>
        <v>1.5964999999999918</v>
      </c>
      <c r="I298" s="712">
        <f t="shared" si="341"/>
        <v>-1.8159999999999954</v>
      </c>
      <c r="J298" s="712">
        <f t="shared" si="341"/>
        <v>-0.70950000000001268</v>
      </c>
      <c r="K298" s="712">
        <f t="shared" si="341"/>
        <v>-7.4435000000000109</v>
      </c>
      <c r="L298" s="712">
        <f t="shared" si="341"/>
        <v>-8.3725000000000165</v>
      </c>
      <c r="M298" s="712">
        <f t="shared" si="341"/>
        <v>14.160449999999987</v>
      </c>
      <c r="N298" s="712">
        <f t="shared" si="341"/>
        <v>5.2135499999999801</v>
      </c>
      <c r="O298" s="712">
        <f t="shared" si="341"/>
        <v>13.578199999999995</v>
      </c>
      <c r="P298" s="712">
        <f t="shared" si="341"/>
        <v>11.571619999999985</v>
      </c>
      <c r="Q298" s="712">
        <f t="shared" si="341"/>
        <v>44.523819999999958</v>
      </c>
      <c r="R298" s="712">
        <f t="shared" si="341"/>
        <v>-17.265999999999998</v>
      </c>
      <c r="S298" s="712">
        <f t="shared" si="341"/>
        <v>8.7330000000000005</v>
      </c>
      <c r="T298" s="712">
        <f t="shared" si="341"/>
        <v>7.8300000000000018</v>
      </c>
      <c r="U298" s="712">
        <f t="shared" si="341"/>
        <v>6.3050000000000033</v>
      </c>
      <c r="V298" s="712">
        <f t="shared" si="341"/>
        <v>5.6020000000000181</v>
      </c>
      <c r="W298" s="712">
        <f t="shared" si="341"/>
        <v>8.7330000000000041</v>
      </c>
      <c r="X298" s="712">
        <f t="shared" si="341"/>
        <v>22.362999999999996</v>
      </c>
      <c r="Y298" s="712">
        <f t="shared" si="341"/>
        <v>9.8510000000000026</v>
      </c>
      <c r="Z298" s="712">
        <f t="shared" si="341"/>
        <v>2.3330000000000055</v>
      </c>
      <c r="AA298" s="712">
        <f t="shared" si="341"/>
        <v>43.280000000000015</v>
      </c>
      <c r="AB298" s="712">
        <f t="shared" si="341"/>
        <v>9.3619999999999948</v>
      </c>
      <c r="AC298" s="712">
        <f t="shared" si="341"/>
        <v>52.597000000000008</v>
      </c>
      <c r="AD298" s="712">
        <f t="shared" si="341"/>
        <v>16.933999999999997</v>
      </c>
      <c r="AE298" s="712">
        <f t="shared" si="341"/>
        <v>25.818000000000001</v>
      </c>
      <c r="AF298" s="712">
        <f t="shared" si="341"/>
        <v>104.71099999999997</v>
      </c>
      <c r="AG298" s="712">
        <f t="shared" si="341"/>
        <v>15.657000000000011</v>
      </c>
      <c r="AH298" s="712">
        <f t="shared" si="341"/>
        <v>13.266999999999996</v>
      </c>
      <c r="AI298" s="712">
        <f t="shared" si="341"/>
        <v>15.753</v>
      </c>
      <c r="AJ298" s="712">
        <f t="shared" si="341"/>
        <v>12.692000000000007</v>
      </c>
      <c r="AK298" s="712">
        <f t="shared" si="341"/>
        <v>58.870000000000005</v>
      </c>
      <c r="AL298" s="712">
        <f t="shared" si="341"/>
        <v>18.718000000000011</v>
      </c>
      <c r="AM298" s="712">
        <f t="shared" si="341"/>
        <v>16.894999999999989</v>
      </c>
      <c r="AN298" s="712">
        <f t="shared" si="341"/>
        <v>17.963999999999999</v>
      </c>
      <c r="AO298" s="712">
        <f t="shared" si="341"/>
        <v>17.154000000000003</v>
      </c>
      <c r="AP298" s="712">
        <f t="shared" ref="AP298:AT298" si="342">(AP111-AP44)+(AP112+AP57)+(AP115-AP61)</f>
        <v>70.731000000000051</v>
      </c>
      <c r="AQ298" s="712">
        <f t="shared" si="342"/>
        <v>3.5690000000000026</v>
      </c>
      <c r="AR298" s="712">
        <f t="shared" si="342"/>
        <v>18.762999999999998</v>
      </c>
      <c r="AS298" s="712">
        <f t="shared" si="342"/>
        <v>29.988000000000007</v>
      </c>
      <c r="AT298" s="712">
        <f t="shared" si="342"/>
        <v>25.035563475596611</v>
      </c>
      <c r="AU298" s="712">
        <f t="shared" ref="AU298:AY298" si="343">(AU111-AU44)+(AU112+AU57)+(AU115-AU61)</f>
        <v>77.355563475596597</v>
      </c>
      <c r="AV298" s="712">
        <f t="shared" si="343"/>
        <v>82.368100971015508</v>
      </c>
      <c r="AW298" s="712">
        <f t="shared" si="343"/>
        <v>98.280765020841656</v>
      </c>
      <c r="AX298" s="712">
        <f t="shared" si="343"/>
        <v>103.94791247716751</v>
      </c>
      <c r="AY298" s="712">
        <f t="shared" si="343"/>
        <v>108.07693609264552</v>
      </c>
      <c r="AZ298" s="712">
        <f t="shared" si="341"/>
        <v>392.67371456167018</v>
      </c>
      <c r="BA298" s="712">
        <f t="shared" ref="BA298:BJ298" si="344">(BA111-BA44)+(BA112+BA57)+(BA115-BA61)</f>
        <v>99.631508265544284</v>
      </c>
      <c r="BB298" s="712">
        <f t="shared" si="344"/>
        <v>109.00210256445686</v>
      </c>
      <c r="BC298" s="712">
        <f t="shared" si="344"/>
        <v>115.45616990177278</v>
      </c>
      <c r="BD298" s="712">
        <f t="shared" si="344"/>
        <v>120.3910192234472</v>
      </c>
      <c r="BE298" s="712">
        <f t="shared" si="344"/>
        <v>444.48079995522113</v>
      </c>
      <c r="BF298" s="712">
        <f t="shared" si="344"/>
        <v>113.23319183249579</v>
      </c>
      <c r="BG298" s="712">
        <f t="shared" si="344"/>
        <v>123.55459790744543</v>
      </c>
      <c r="BH298" s="712">
        <f t="shared" si="344"/>
        <v>130.54018930017099</v>
      </c>
      <c r="BI298" s="712">
        <f t="shared" si="344"/>
        <v>136.08230721199214</v>
      </c>
      <c r="BJ298" s="712">
        <f t="shared" si="344"/>
        <v>503.41028625210436</v>
      </c>
      <c r="BK298" s="704"/>
      <c r="BL298" s="704"/>
      <c r="BM298" s="704"/>
      <c r="BN298" s="704"/>
      <c r="BO298" s="704"/>
      <c r="BP298" s="704"/>
      <c r="BQ298" s="452"/>
      <c r="BR298" s="452"/>
      <c r="BS298" s="452"/>
      <c r="BZ298" s="452"/>
      <c r="CA298" s="452"/>
      <c r="CB298" s="452"/>
    </row>
    <row r="299" spans="1:80" ht="13.5" hidden="1" customHeight="1" outlineLevel="1">
      <c r="A299" s="708"/>
      <c r="B299" s="452" t="s">
        <v>267</v>
      </c>
      <c r="C299" s="713"/>
      <c r="D299" s="713"/>
      <c r="E299" s="713"/>
      <c r="F299" s="713"/>
      <c r="G299" s="712">
        <f t="shared" ref="G299:AZ299" si="345">G176+G177+G181+G182+G152</f>
        <v>0</v>
      </c>
      <c r="H299" s="712">
        <f t="shared" si="345"/>
        <v>0</v>
      </c>
      <c r="I299" s="712">
        <f t="shared" si="345"/>
        <v>0</v>
      </c>
      <c r="J299" s="712">
        <f t="shared" si="345"/>
        <v>0</v>
      </c>
      <c r="K299" s="712">
        <f t="shared" si="345"/>
        <v>0</v>
      </c>
      <c r="L299" s="712">
        <f t="shared" si="345"/>
        <v>2.7989999999999999</v>
      </c>
      <c r="M299" s="712">
        <f t="shared" si="345"/>
        <v>0.65200000000000002</v>
      </c>
      <c r="N299" s="712">
        <f t="shared" si="345"/>
        <v>0.74099999999999999</v>
      </c>
      <c r="O299" s="712">
        <f t="shared" si="345"/>
        <v>0.80899999999999994</v>
      </c>
      <c r="P299" s="712">
        <f t="shared" si="345"/>
        <v>0.77200000000000002</v>
      </c>
      <c r="Q299" s="712">
        <f t="shared" si="345"/>
        <v>2.9740000000000002</v>
      </c>
      <c r="R299" s="712">
        <f t="shared" si="345"/>
        <v>457.64700000000005</v>
      </c>
      <c r="S299" s="712">
        <f t="shared" si="345"/>
        <v>6.713000000000001</v>
      </c>
      <c r="T299" s="712">
        <f t="shared" si="345"/>
        <v>7.3159999999999972</v>
      </c>
      <c r="U299" s="712">
        <f t="shared" si="345"/>
        <v>4.7750000000000057</v>
      </c>
      <c r="V299" s="712">
        <f t="shared" si="345"/>
        <v>476.45100000000002</v>
      </c>
      <c r="W299" s="712">
        <f t="shared" si="345"/>
        <v>-2.661999999999999</v>
      </c>
      <c r="X299" s="712">
        <f t="shared" si="345"/>
        <v>-394.53000000000003</v>
      </c>
      <c r="Y299" s="712">
        <f t="shared" si="345"/>
        <v>5.2130000000000667</v>
      </c>
      <c r="Z299" s="712">
        <f t="shared" si="345"/>
        <v>-96.741000000000113</v>
      </c>
      <c r="AA299" s="712">
        <f t="shared" si="345"/>
        <v>-488.72000000000008</v>
      </c>
      <c r="AB299" s="712">
        <f t="shared" si="345"/>
        <v>-38.480000000000004</v>
      </c>
      <c r="AC299" s="712">
        <f t="shared" si="345"/>
        <v>9.5010000000000012</v>
      </c>
      <c r="AD299" s="712">
        <f t="shared" si="345"/>
        <v>11.485000000000003</v>
      </c>
      <c r="AE299" s="712">
        <f t="shared" si="345"/>
        <v>-10.381000000000007</v>
      </c>
      <c r="AF299" s="712">
        <f t="shared" si="345"/>
        <v>-27.875000000000007</v>
      </c>
      <c r="AG299" s="712">
        <f t="shared" si="345"/>
        <v>2.0349999999999984</v>
      </c>
      <c r="AH299" s="712">
        <f t="shared" si="345"/>
        <v>8.445999999999998</v>
      </c>
      <c r="AI299" s="712">
        <f t="shared" si="345"/>
        <v>-151.16500000000002</v>
      </c>
      <c r="AJ299" s="712">
        <f t="shared" si="345"/>
        <v>-215.81900000000002</v>
      </c>
      <c r="AK299" s="712">
        <f t="shared" si="345"/>
        <v>-356.50299999999999</v>
      </c>
      <c r="AL299" s="712">
        <f t="shared" si="345"/>
        <v>6.53</v>
      </c>
      <c r="AM299" s="712">
        <f t="shared" si="345"/>
        <v>12.504000000000001</v>
      </c>
      <c r="AN299" s="712">
        <f t="shared" si="345"/>
        <v>-11.846</v>
      </c>
      <c r="AO299" s="712">
        <f t="shared" si="345"/>
        <v>-43.545000000000002</v>
      </c>
      <c r="AP299" s="712">
        <f t="shared" ref="AP299:AT299" si="346">AP176+AP177+AP181+AP182+AP152</f>
        <v>-36.357000000000006</v>
      </c>
      <c r="AQ299" s="712">
        <f t="shared" si="346"/>
        <v>11.533000000000001</v>
      </c>
      <c r="AR299" s="712">
        <f t="shared" si="346"/>
        <v>14.332999999999998</v>
      </c>
      <c r="AS299" s="712">
        <f t="shared" si="346"/>
        <v>-1257.1950000000002</v>
      </c>
      <c r="AT299" s="712">
        <f t="shared" si="346"/>
        <v>15.600999999999999</v>
      </c>
      <c r="AU299" s="712">
        <f t="shared" ref="AU299:AY299" si="347">AU176+AU177+AU181+AU182+AU152</f>
        <v>-1215.7280000000001</v>
      </c>
      <c r="AV299" s="712">
        <f t="shared" si="347"/>
        <v>15.015306463213259</v>
      </c>
      <c r="AW299" s="712">
        <f t="shared" si="347"/>
        <v>17.532733657916125</v>
      </c>
      <c r="AX299" s="712">
        <f t="shared" si="347"/>
        <v>18.354145339108502</v>
      </c>
      <c r="AY299" s="712">
        <f t="shared" si="347"/>
        <v>18.917435606038712</v>
      </c>
      <c r="AZ299" s="712">
        <f t="shared" si="345"/>
        <v>69.819621066276596</v>
      </c>
      <c r="BA299" s="712">
        <f t="shared" ref="BA299:BJ299" si="348">BA176+BA177+BA181+BA182+BA152</f>
        <v>17.75306499441578</v>
      </c>
      <c r="BB299" s="712">
        <f t="shared" si="348"/>
        <v>19.126059637876057</v>
      </c>
      <c r="BC299" s="712">
        <f t="shared" si="348"/>
        <v>20.008709211180744</v>
      </c>
      <c r="BD299" s="712">
        <f t="shared" si="348"/>
        <v>20.638129236560331</v>
      </c>
      <c r="BE299" s="712">
        <f t="shared" si="348"/>
        <v>77.525963080032909</v>
      </c>
      <c r="BF299" s="712">
        <f t="shared" si="348"/>
        <v>19.410004164125265</v>
      </c>
      <c r="BG299" s="712">
        <f t="shared" si="348"/>
        <v>20.896363839800205</v>
      </c>
      <c r="BH299" s="712">
        <f t="shared" si="348"/>
        <v>21.837707384604943</v>
      </c>
      <c r="BI299" s="712">
        <f t="shared" si="348"/>
        <v>22.543207931825982</v>
      </c>
      <c r="BJ299" s="712">
        <f t="shared" si="348"/>
        <v>84.687283320356386</v>
      </c>
      <c r="BK299" s="704"/>
      <c r="BL299" s="704"/>
      <c r="BM299" s="704"/>
      <c r="BN299" s="704"/>
      <c r="BO299" s="704"/>
      <c r="BP299" s="704"/>
      <c r="BQ299" s="457"/>
      <c r="BR299" s="452"/>
      <c r="BS299" s="452"/>
      <c r="BZ299" s="452"/>
      <c r="CA299" s="452"/>
      <c r="CB299" s="452"/>
    </row>
    <row r="300" spans="1:80" ht="13.5" hidden="1" customHeight="1" outlineLevel="1">
      <c r="A300" s="708"/>
      <c r="B300" s="452" t="s">
        <v>268</v>
      </c>
      <c r="C300" s="713"/>
      <c r="D300" s="713"/>
      <c r="E300" s="713"/>
      <c r="F300" s="713"/>
      <c r="G300" s="712">
        <v>0</v>
      </c>
      <c r="H300" s="712">
        <v>0</v>
      </c>
      <c r="I300" s="712">
        <v>0</v>
      </c>
      <c r="J300" s="712">
        <v>0</v>
      </c>
      <c r="K300" s="712">
        <v>0</v>
      </c>
      <c r="L300" s="712">
        <v>0</v>
      </c>
      <c r="M300" s="712">
        <v>0</v>
      </c>
      <c r="N300" s="712">
        <v>0</v>
      </c>
      <c r="O300" s="712">
        <v>0</v>
      </c>
      <c r="P300" s="712">
        <v>0</v>
      </c>
      <c r="Q300" s="712">
        <v>0</v>
      </c>
      <c r="R300" s="712">
        <v>0</v>
      </c>
      <c r="S300" s="712">
        <v>0</v>
      </c>
      <c r="T300" s="712">
        <v>0</v>
      </c>
      <c r="U300" s="712">
        <v>0</v>
      </c>
      <c r="V300" s="712">
        <v>0</v>
      </c>
      <c r="W300" s="712">
        <v>0</v>
      </c>
      <c r="X300" s="712">
        <v>0</v>
      </c>
      <c r="Y300" s="712">
        <v>0</v>
      </c>
      <c r="Z300" s="712">
        <v>0</v>
      </c>
      <c r="AA300" s="712">
        <v>0</v>
      </c>
      <c r="AB300" s="712">
        <v>0</v>
      </c>
      <c r="AC300" s="712">
        <v>0</v>
      </c>
      <c r="AD300" s="712">
        <v>0</v>
      </c>
      <c r="AE300" s="712">
        <v>0</v>
      </c>
      <c r="AF300" s="712">
        <v>0</v>
      </c>
      <c r="AG300" s="712">
        <v>0</v>
      </c>
      <c r="AH300" s="712">
        <v>0</v>
      </c>
      <c r="AI300" s="712">
        <v>0</v>
      </c>
      <c r="AJ300" s="712">
        <v>0</v>
      </c>
      <c r="AK300" s="712">
        <v>0</v>
      </c>
      <c r="AL300" s="712">
        <v>0</v>
      </c>
      <c r="AM300" s="712">
        <v>0</v>
      </c>
      <c r="AN300" s="712">
        <v>0</v>
      </c>
      <c r="AO300" s="712">
        <v>0</v>
      </c>
      <c r="AP300" s="712"/>
      <c r="AQ300" s="712"/>
      <c r="AR300" s="712"/>
      <c r="AS300" s="712"/>
      <c r="AT300" s="712"/>
      <c r="AU300" s="712"/>
      <c r="AV300" s="712"/>
      <c r="AW300" s="712"/>
      <c r="AX300" s="712"/>
      <c r="AY300" s="712"/>
      <c r="AZ300" s="712">
        <v>0</v>
      </c>
      <c r="BA300" s="712">
        <v>0</v>
      </c>
      <c r="BB300" s="712">
        <v>0</v>
      </c>
      <c r="BC300" s="712">
        <v>0</v>
      </c>
      <c r="BD300" s="712">
        <v>0</v>
      </c>
      <c r="BE300" s="712">
        <v>0</v>
      </c>
      <c r="BF300" s="712">
        <v>0</v>
      </c>
      <c r="BG300" s="712">
        <v>0</v>
      </c>
      <c r="BH300" s="712">
        <v>0</v>
      </c>
      <c r="BI300" s="712">
        <v>0</v>
      </c>
      <c r="BJ300" s="712">
        <v>0</v>
      </c>
      <c r="BK300" s="704"/>
      <c r="BL300" s="704"/>
      <c r="BM300" s="704"/>
      <c r="BN300" s="704"/>
      <c r="BO300" s="704"/>
      <c r="BP300" s="704"/>
      <c r="BQ300" s="457"/>
      <c r="BR300" s="452"/>
      <c r="BS300" s="452"/>
      <c r="BZ300" s="452"/>
      <c r="CA300" s="452"/>
      <c r="CB300" s="452"/>
    </row>
    <row r="301" spans="1:80" ht="13.5" hidden="1" customHeight="1" outlineLevel="1"/>
    <row r="302" spans="1:80" ht="13.5" customHeight="1" collapsed="1"/>
    <row r="303" spans="1:80" ht="13.5" customHeight="1">
      <c r="BB303" s="1185"/>
    </row>
  </sheetData>
  <pageMargins left="0.4" right="0.17" top="0.48" bottom="0.19" header="0.13" footer="0.14000000000000001"/>
  <pageSetup scale="23" orientation="landscape" r:id="rId1"/>
  <headerFooter alignWithMargins="0"/>
  <ignoredErrors>
    <ignoredError sqref="AP208:AP226 AP44:AP49 AU19:AU33 AU66 AP19:AP34 AP66 AU112 AU208:AU212 AU231:AU234 AQ214 AV213:AY215 AP188:AQ193 AQ241:AQ242 AP147:AQ147 AP61:AP62 AU44:AU55 AZ19:AZ33 AZ44:AZ62 AP112 AQ221 AQ234 AU237 AU236:AV236 AU238:AX238 AU239:AX239 AU240:AX240 AT243:AX243 AP146 AU146:AX146 AP157:AQ157 AP148 AU148:AX148 AP149 AU149:AX149 AP150 AU150:AX150 AP151 AU151:AX151 AP152 AU152:AX152 AP153 AU153:AX153 AP154 AU154:AX154 AP156 AU156:AX156 AP165:AQ167 AP158 AU158:AX158 AP159 AU159:AX159 AP160 AU160:AX160 AP161 AU161:AX161 AP162 AU162:AX162 AP163 AU163:AX163 AP164 AU164:AX164 AP173:AQ173 AP168 AU168:AX168 AP169 AU169:AX169 AP170 AU170:AX170 AP171 AU171:AX171 AP172 AU172 AP182 AR182:AS182 AP185 AT185:AZ185 AP186 AT186:AZ186 AP187 AU187:AZ187 AP258:AP261 AU258:AU261 AP57:AP60 AP50:AP55 V56:AQ56 V50:AO55 AQ50:AQ55 V57:AO60 AQ57:AQ60 AR114 AR117 AT188:AZ188 AT147:AX147 AT157:AX157 AT165:AX167 AT173:AX173 AU235:AY235 AT214 AT241:AX242 AT222:AT223 AT234 AT244:AX245 AR81 AU114:AU115 AP114:AP115 AU57:AU62 AU182:AZ182 AT190:AZ193 AU189:AZ189 AQ223 BE19:BE33 BE111:BE115 BE44:BE64 AW172:AX172 AZ235 AZ236 AZ237 AZ231:AZ234 AZ208:BI212 BA235:BI235 BA213:BI215 AZ238:BI248 BE237 BA236:BI236 AT248:AX249 AU247:AW247 AV231:AY234 BA231:BI234 BE216:BE217 AW218:AY218 AW236:AY236 AZ258:BE262 BJ234 BA218:BI228 AV219:AY228 AZ213:AZ228 AU213:AU228 AV229:BG230 BE192:BE193 BE67 AZ67 AP67 AU67 V67:AO67 AV67:AY67 AQ67:AT67 BA67:BD67 BF67:BJ67 AU246:AX246 AT251:AX251 AU250:AX250 BE65:BE66 AW64:AZ64 BG64:BK64 AZ168 BB64:BD64" formula="1"/>
  </ignoredErrors>
  <drawing r:id="rId2"/>
  <legacyDrawing r:id="rId3"/>
  <controls>
    <mc:AlternateContent xmlns:mc="http://schemas.openxmlformats.org/markup-compatibility/2006">
      <mc:Choice Requires="x14">
        <control shapeId="2049" r:id="rId4" name="ComboBox1">
          <controlPr defaultSize="0" autoLine="0" autoPict="0" linkedCell="'DCF Analysis'!$A$6" listFillRange="'DCF Analysis'!$A$7:$A$9" r:id="rId5">
            <anchor moveWithCells="1">
              <from>
                <xdr:col>1</xdr:col>
                <xdr:colOff>28575</xdr:colOff>
                <xdr:row>1</xdr:row>
                <xdr:rowOff>19050</xdr:rowOff>
              </from>
              <to>
                <xdr:col>1</xdr:col>
                <xdr:colOff>2438400</xdr:colOff>
                <xdr:row>2</xdr:row>
                <xdr:rowOff>114300</xdr:rowOff>
              </to>
            </anchor>
          </controlPr>
        </control>
      </mc:Choice>
      <mc:Fallback>
        <control shapeId="2049" r:id="rId4" name="Combo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3"/>
    <pageSetUpPr fitToPage="1"/>
  </sheetPr>
  <dimension ref="A1:BN117"/>
  <sheetViews>
    <sheetView showGridLines="0" zoomScale="85" zoomScaleNormal="85" workbookViewId="0">
      <pane xSplit="2" ySplit="5" topLeftCell="AR45" activePane="bottomRight" state="frozen"/>
      <selection activeCell="J26" sqref="J26"/>
      <selection pane="topRight" activeCell="J26" sqref="J26"/>
      <selection pane="bottomLeft" activeCell="J26" sqref="J26"/>
      <selection pane="bottomRight" activeCell="BF54" sqref="BF54"/>
    </sheetView>
  </sheetViews>
  <sheetFormatPr defaultRowHeight="12.75" outlineLevelRow="1" outlineLevelCol="1"/>
  <cols>
    <col min="1" max="1" width="1.85546875" hidden="1" customWidth="1"/>
    <col min="2" max="2" width="49" customWidth="1"/>
    <col min="3" max="6" width="11.85546875" hidden="1" customWidth="1" outlineLevel="1"/>
    <col min="7" max="7" width="11.85546875" hidden="1" customWidth="1" collapsed="1"/>
    <col min="8" max="11" width="10.5703125" hidden="1" customWidth="1" outlineLevel="1"/>
    <col min="12" max="12" width="11.5703125" hidden="1" customWidth="1" collapsed="1"/>
    <col min="13" max="13" width="11.5703125" hidden="1" customWidth="1" outlineLevel="1"/>
    <col min="14" max="15" width="10.5703125" hidden="1" customWidth="1" outlineLevel="1"/>
    <col min="16" max="16" width="10.85546875" hidden="1" customWidth="1" outlineLevel="1"/>
    <col min="17" max="17" width="11.5703125" hidden="1" customWidth="1" collapsed="1"/>
    <col min="18" max="21" width="10.5703125" hidden="1" customWidth="1" outlineLevel="1"/>
    <col min="22" max="22" width="11.5703125" bestFit="1" customWidth="1" collapsed="1"/>
    <col min="23" max="26" width="10.5703125" hidden="1" customWidth="1" outlineLevel="1"/>
    <col min="27" max="27" width="11.5703125" bestFit="1" customWidth="1" collapsed="1"/>
    <col min="28" max="31" width="10.5703125" hidden="1" customWidth="1" outlineLevel="1"/>
    <col min="32" max="32" width="11.5703125" bestFit="1" customWidth="1" collapsed="1"/>
    <col min="33" max="36" width="10.5703125" hidden="1" customWidth="1" outlineLevel="1"/>
    <col min="37" max="37" width="11.5703125" bestFit="1" customWidth="1" collapsed="1"/>
    <col min="38" max="41" width="11.5703125" hidden="1" customWidth="1" outlineLevel="1"/>
    <col min="42" max="42" width="11.5703125" customWidth="1" collapsed="1"/>
    <col min="43" max="46" width="11.5703125" customWidth="1" outlineLevel="1"/>
    <col min="47" max="47" width="11.5703125" customWidth="1"/>
    <col min="48" max="51" width="11.5703125" customWidth="1" outlineLevel="1"/>
    <col min="52" max="52" width="11.5703125" customWidth="1"/>
    <col min="53" max="56" width="11.5703125" customWidth="1" outlineLevel="1"/>
    <col min="57" max="57" width="11.5703125" customWidth="1"/>
    <col min="58" max="61" width="11.5703125" customWidth="1" outlineLevel="1"/>
    <col min="62" max="64" width="11.5703125" customWidth="1"/>
    <col min="65" max="65" width="9.140625" customWidth="1"/>
  </cols>
  <sheetData>
    <row r="1" spans="1:65" ht="18">
      <c r="A1" s="701"/>
      <c r="B1" s="715" t="s">
        <v>459</v>
      </c>
      <c r="C1" s="701"/>
      <c r="D1" s="701"/>
      <c r="E1" s="701"/>
      <c r="F1" s="701"/>
      <c r="G1" s="701"/>
      <c r="H1" s="701"/>
      <c r="I1" s="701"/>
      <c r="J1" s="701"/>
      <c r="K1" s="701"/>
      <c r="L1" s="701"/>
      <c r="M1" s="701"/>
      <c r="N1" s="701"/>
      <c r="O1" s="701"/>
      <c r="P1" s="701"/>
      <c r="Q1" s="701"/>
      <c r="R1" s="701"/>
      <c r="S1" s="701"/>
      <c r="T1" s="701"/>
      <c r="U1" s="701"/>
      <c r="V1" s="262"/>
      <c r="W1" s="701"/>
      <c r="X1" s="701"/>
      <c r="Y1" s="701"/>
      <c r="Z1" s="701"/>
      <c r="AA1" s="701"/>
      <c r="AB1" s="701"/>
      <c r="AC1" s="701"/>
      <c r="AD1" s="701"/>
      <c r="AE1" s="701"/>
      <c r="AF1" s="716"/>
      <c r="AG1" s="701"/>
      <c r="AH1" s="701"/>
      <c r="AI1" s="701"/>
      <c r="AJ1" s="716"/>
      <c r="AK1" s="716"/>
      <c r="AL1" s="262"/>
      <c r="AM1" s="290"/>
      <c r="AN1" s="262"/>
      <c r="AO1" s="1257"/>
      <c r="AP1" s="701"/>
      <c r="AQ1" s="525"/>
      <c r="AR1" s="701"/>
      <c r="AS1" s="525"/>
      <c r="AT1" s="525"/>
      <c r="AU1" s="525"/>
      <c r="AV1" s="1183"/>
      <c r="AW1" s="640"/>
      <c r="AX1" s="108"/>
      <c r="AY1" s="108"/>
      <c r="AZ1" s="701"/>
      <c r="BA1" s="701"/>
      <c r="BB1" s="108"/>
      <c r="BC1" s="701"/>
      <c r="BD1" s="701"/>
      <c r="BE1" s="1223"/>
      <c r="BF1" s="701"/>
      <c r="BG1" s="701"/>
      <c r="BH1" s="701"/>
      <c r="BI1" s="701"/>
      <c r="BJ1" s="701"/>
      <c r="BK1" s="701"/>
      <c r="BL1" s="701"/>
      <c r="BM1" s="701"/>
    </row>
    <row r="2" spans="1:65">
      <c r="A2" s="113"/>
      <c r="B2" s="127" t="s">
        <v>165</v>
      </c>
      <c r="C2" s="717"/>
      <c r="D2" s="717"/>
      <c r="E2" s="717"/>
      <c r="F2" s="717"/>
      <c r="G2" s="717"/>
      <c r="H2" s="718"/>
      <c r="I2" s="718"/>
      <c r="J2" s="718"/>
      <c r="K2" s="718"/>
      <c r="L2" s="113"/>
      <c r="M2" s="718"/>
      <c r="N2" s="718"/>
      <c r="O2" s="719"/>
      <c r="P2" s="718"/>
      <c r="Q2" s="720"/>
      <c r="R2" s="113"/>
      <c r="S2" s="721"/>
      <c r="T2" s="721"/>
      <c r="U2" s="721"/>
      <c r="V2" s="262"/>
      <c r="W2" s="113"/>
      <c r="X2" s="332"/>
      <c r="Y2" s="262"/>
      <c r="Z2" s="262"/>
      <c r="AA2" s="113"/>
      <c r="AB2" s="722"/>
      <c r="AC2" s="723"/>
      <c r="AD2" s="108"/>
      <c r="AE2" s="108"/>
      <c r="AF2" s="113"/>
      <c r="AG2" s="113"/>
      <c r="AH2" s="465"/>
      <c r="AI2" s="465"/>
      <c r="AJ2" s="332">
        <f>493/AJ84-1</f>
        <v>8.7879958073591835E-2</v>
      </c>
      <c r="AK2" s="716"/>
      <c r="AL2" s="262"/>
      <c r="AM2" s="262"/>
      <c r="AN2" s="262"/>
      <c r="AO2" s="1257"/>
      <c r="AP2" s="1258"/>
      <c r="AQ2" s="525"/>
      <c r="AR2" s="1259"/>
      <c r="AS2" s="525"/>
      <c r="AT2" s="1259"/>
      <c r="AU2" s="525"/>
      <c r="AW2" s="640"/>
      <c r="AX2" s="108"/>
      <c r="AY2" s="108"/>
      <c r="AZ2" s="108"/>
      <c r="BA2" s="108"/>
      <c r="BB2" s="108"/>
      <c r="BC2" s="108"/>
      <c r="BD2" s="108"/>
      <c r="BE2" s="724"/>
      <c r="BF2" s="724"/>
      <c r="BG2" s="724"/>
      <c r="BH2" s="724"/>
      <c r="BI2" s="724"/>
      <c r="BJ2" s="724"/>
      <c r="BK2" s="724"/>
      <c r="BL2" s="108"/>
      <c r="BM2" s="725"/>
    </row>
    <row r="3" spans="1:65">
      <c r="A3" s="100"/>
      <c r="B3" s="101"/>
      <c r="C3" s="108"/>
      <c r="D3" s="108"/>
      <c r="E3" s="108"/>
      <c r="F3" s="108"/>
      <c r="G3" s="102"/>
      <c r="H3" s="108"/>
      <c r="I3" s="108"/>
      <c r="J3" s="108"/>
      <c r="K3" s="108"/>
      <c r="L3" s="102"/>
      <c r="M3" s="104"/>
      <c r="N3" s="714"/>
      <c r="O3" s="108"/>
      <c r="P3" s="108"/>
      <c r="Q3" s="102"/>
      <c r="R3" s="104"/>
      <c r="S3" s="714"/>
      <c r="T3" s="108"/>
      <c r="U3" s="108"/>
      <c r="V3" s="102"/>
      <c r="W3" s="104"/>
      <c r="X3" s="714"/>
      <c r="Y3" s="107"/>
      <c r="Z3" s="107"/>
      <c r="AA3" s="262"/>
      <c r="AB3" s="726"/>
      <c r="AC3" s="714"/>
      <c r="AD3" s="727"/>
      <c r="AE3" s="107"/>
      <c r="AF3" s="102"/>
      <c r="AG3" s="104"/>
      <c r="AH3" s="714"/>
      <c r="AI3" s="262"/>
      <c r="AJ3" s="108"/>
      <c r="AK3" s="107"/>
      <c r="AL3" s="262"/>
      <c r="AM3" s="262"/>
      <c r="AN3" s="1188"/>
      <c r="AO3" s="1257"/>
      <c r="AP3" s="1258"/>
      <c r="AQ3" s="529"/>
      <c r="AR3" s="1258"/>
      <c r="AS3" s="525"/>
      <c r="AT3" s="1258"/>
      <c r="AU3" s="525"/>
      <c r="AW3" s="728"/>
      <c r="AX3" s="102"/>
      <c r="AY3" s="102"/>
      <c r="AZ3" s="1189"/>
      <c r="BA3" s="102"/>
      <c r="BB3" s="108"/>
      <c r="BC3" s="102"/>
      <c r="BD3" s="102"/>
      <c r="BE3" s="262"/>
      <c r="BF3" s="724"/>
      <c r="BG3" s="724"/>
      <c r="BH3" s="527"/>
      <c r="BI3" s="724"/>
      <c r="BJ3" s="724"/>
      <c r="BK3" s="724"/>
      <c r="BL3" s="724"/>
      <c r="BM3" s="725"/>
    </row>
    <row r="4" spans="1:65">
      <c r="A4" s="113"/>
      <c r="B4" s="113"/>
      <c r="C4" s="102"/>
      <c r="D4" s="102"/>
      <c r="E4" s="102"/>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245"/>
      <c r="AN4" s="102"/>
      <c r="AO4" s="102"/>
      <c r="AP4" s="102"/>
      <c r="AQ4" s="102"/>
      <c r="AR4" s="102"/>
      <c r="AS4" s="102"/>
      <c r="AT4" s="102"/>
      <c r="AU4" s="102"/>
      <c r="AV4" s="102"/>
      <c r="AW4" s="102"/>
      <c r="AX4" s="102"/>
      <c r="AY4" s="102"/>
      <c r="AZ4" s="102"/>
      <c r="BA4" s="102"/>
      <c r="BB4" s="102"/>
      <c r="BC4" s="724"/>
      <c r="BD4" s="724"/>
      <c r="BE4" s="725"/>
      <c r="BF4" s="724"/>
      <c r="BG4" s="724"/>
      <c r="BH4" s="724"/>
      <c r="BI4" s="724"/>
      <c r="BJ4" s="724"/>
      <c r="BK4" s="724"/>
      <c r="BL4" s="102"/>
      <c r="BM4" s="729"/>
    </row>
    <row r="5" spans="1:65">
      <c r="A5" s="113"/>
      <c r="B5" s="114"/>
      <c r="C5" s="121" t="str">
        <f>+'Quarterly Financial Model '!C3</f>
        <v>1Q09A</v>
      </c>
      <c r="D5" s="121" t="str">
        <f>+'Quarterly Financial Model '!D3</f>
        <v>2Q09A</v>
      </c>
      <c r="E5" s="121" t="str">
        <f>+'Quarterly Financial Model '!E3</f>
        <v>3Q09A</v>
      </c>
      <c r="F5" s="121" t="str">
        <f>+'Quarterly Financial Model '!F3</f>
        <v>4Q09A</v>
      </c>
      <c r="G5" s="21" t="str">
        <f>+'Quarterly Financial Model '!G3</f>
        <v>2009A</v>
      </c>
      <c r="H5" s="121" t="str">
        <f>+'Quarterly Financial Model '!H3</f>
        <v>1Q10A</v>
      </c>
      <c r="I5" s="121" t="str">
        <f>+'Quarterly Financial Model '!I3</f>
        <v>2Q10A</v>
      </c>
      <c r="J5" s="121" t="str">
        <f>+'Quarterly Financial Model '!J3</f>
        <v>3Q10A</v>
      </c>
      <c r="K5" s="121" t="str">
        <f>+'Quarterly Financial Model '!K3</f>
        <v>4Q10A</v>
      </c>
      <c r="L5" s="21" t="str">
        <f>+'Quarterly Financial Model '!L3</f>
        <v>2010A</v>
      </c>
      <c r="M5" s="121" t="str">
        <f>+'Quarterly Financial Model '!M3</f>
        <v>1Q11A</v>
      </c>
      <c r="N5" s="121" t="str">
        <f>+'Quarterly Financial Model '!N3</f>
        <v>2Q11A</v>
      </c>
      <c r="O5" s="121" t="str">
        <f>+'Quarterly Financial Model '!O3</f>
        <v>3Q11A</v>
      </c>
      <c r="P5" s="121" t="str">
        <f>+'Quarterly Financial Model '!P3</f>
        <v>4Q11A</v>
      </c>
      <c r="Q5" s="21" t="str">
        <f>+'Quarterly Financial Model '!Q3</f>
        <v>2011A</v>
      </c>
      <c r="R5" s="121" t="str">
        <f>+'Quarterly Financial Model '!R3</f>
        <v>1Q12A</v>
      </c>
      <c r="S5" s="121" t="str">
        <f>+'Quarterly Financial Model '!S3</f>
        <v>2Q12A</v>
      </c>
      <c r="T5" s="121" t="str">
        <f>+'Quarterly Financial Model '!T3</f>
        <v>3Q12A</v>
      </c>
      <c r="U5" s="121" t="str">
        <f>+'Quarterly Financial Model '!U3</f>
        <v>4Q12A</v>
      </c>
      <c r="V5" s="21" t="str">
        <f>+'Quarterly Financial Model '!V3</f>
        <v>2012A</v>
      </c>
      <c r="W5" s="121" t="str">
        <f>+'Quarterly Financial Model '!W3</f>
        <v>1Q13A</v>
      </c>
      <c r="X5" s="121" t="str">
        <f>+'Quarterly Financial Model '!X3</f>
        <v>2Q13A</v>
      </c>
      <c r="Y5" s="121" t="str">
        <f>+'Quarterly Financial Model '!Y3</f>
        <v>3Q13A</v>
      </c>
      <c r="Z5" s="121" t="str">
        <f>+'Quarterly Financial Model '!Z3</f>
        <v>4Q13A</v>
      </c>
      <c r="AA5" s="21" t="str">
        <f>+'Quarterly Financial Model '!AA3</f>
        <v>2013A</v>
      </c>
      <c r="AB5" s="121" t="str">
        <f>+'Quarterly Financial Model '!AB3</f>
        <v>1Q14A</v>
      </c>
      <c r="AC5" s="121" t="str">
        <f>+'Quarterly Financial Model '!AC3</f>
        <v>2Q14A</v>
      </c>
      <c r="AD5" s="121" t="str">
        <f>+'Quarterly Financial Model '!AD3</f>
        <v>3Q14A</v>
      </c>
      <c r="AE5" s="121" t="str">
        <f>+'Quarterly Financial Model '!AE3</f>
        <v>4Q14A</v>
      </c>
      <c r="AF5" s="21" t="str">
        <f>+'Quarterly Financial Model '!AF3</f>
        <v>2014A</v>
      </c>
      <c r="AG5" s="121" t="str">
        <f>+'Quarterly Financial Model '!AG3</f>
        <v>1Q15A</v>
      </c>
      <c r="AH5" s="121" t="str">
        <f>+'Quarterly Financial Model '!AH3</f>
        <v>2Q15A</v>
      </c>
      <c r="AI5" s="121" t="str">
        <f>+'Quarterly Financial Model '!AI3</f>
        <v>3Q15A</v>
      </c>
      <c r="AJ5" s="121" t="str">
        <f>+'Quarterly Financial Model '!AJ3</f>
        <v>4Q15A</v>
      </c>
      <c r="AK5" s="21" t="str">
        <f>+'Quarterly Financial Model '!AK3</f>
        <v>2015A</v>
      </c>
      <c r="AL5" s="121" t="str">
        <f>+'Quarterly Financial Model '!AL3</f>
        <v>1Q16A</v>
      </c>
      <c r="AM5" s="121" t="str">
        <f>+'Quarterly Financial Model '!AM3</f>
        <v>2Q16A</v>
      </c>
      <c r="AN5" s="121" t="str">
        <f>+'Quarterly Financial Model '!AN3</f>
        <v>3Q16A</v>
      </c>
      <c r="AO5" s="121" t="str">
        <f>+'Quarterly Financial Model '!AO3</f>
        <v>4Q16A</v>
      </c>
      <c r="AP5" s="21" t="str">
        <f>+'Quarterly Financial Model '!AP3</f>
        <v>2016A</v>
      </c>
      <c r="AQ5" s="121" t="str">
        <f>+'Quarterly Financial Model '!AQ3</f>
        <v>1Q17A</v>
      </c>
      <c r="AR5" s="121" t="str">
        <f>+'Quarterly Financial Model '!AR3</f>
        <v>2Q17A</v>
      </c>
      <c r="AS5" s="121" t="str">
        <f>+'Quarterly Financial Model '!AS3</f>
        <v>3Q17A</v>
      </c>
      <c r="AT5" s="121" t="str">
        <f>+'Quarterly Financial Model '!AT3</f>
        <v>4Q17A</v>
      </c>
      <c r="AU5" s="21" t="str">
        <f>+'Quarterly Financial Model '!AU3</f>
        <v>2017A</v>
      </c>
      <c r="AV5" s="121" t="str">
        <f>+'Quarterly Financial Model '!AV3</f>
        <v>1Q18E</v>
      </c>
      <c r="AW5" s="121" t="str">
        <f>+'Quarterly Financial Model '!AW3</f>
        <v>2Q18E</v>
      </c>
      <c r="AX5" s="121" t="str">
        <f>+'Quarterly Financial Model '!AX3</f>
        <v>3Q18E</v>
      </c>
      <c r="AY5" s="121" t="str">
        <f>+'Quarterly Financial Model '!AY3</f>
        <v>4Q18E</v>
      </c>
      <c r="AZ5" s="21" t="str">
        <f>+'Quarterly Financial Model '!AZ3</f>
        <v>2018E</v>
      </c>
      <c r="BA5" s="121" t="str">
        <f>+'Quarterly Financial Model '!BA3</f>
        <v>1Q19E</v>
      </c>
      <c r="BB5" s="121" t="str">
        <f>+'Quarterly Financial Model '!BB3</f>
        <v>2Q19E</v>
      </c>
      <c r="BC5" s="121" t="str">
        <f>+'Quarterly Financial Model '!BC3</f>
        <v>3Q19E</v>
      </c>
      <c r="BD5" s="121" t="str">
        <f>+'Quarterly Financial Model '!BD3</f>
        <v>4Q19E</v>
      </c>
      <c r="BE5" s="21" t="str">
        <f>+'Quarterly Financial Model '!BE3</f>
        <v>2019E</v>
      </c>
      <c r="BF5" s="121" t="str">
        <f>+'Quarterly Financial Model '!BF3</f>
        <v>1Q20E</v>
      </c>
      <c r="BG5" s="121" t="str">
        <f>+'Quarterly Financial Model '!BG3</f>
        <v>2Q20E</v>
      </c>
      <c r="BH5" s="121" t="str">
        <f>+'Quarterly Financial Model '!BH3</f>
        <v>3Q20E</v>
      </c>
      <c r="BI5" s="121" t="str">
        <f>+'Quarterly Financial Model '!BI3</f>
        <v>4Q20E</v>
      </c>
      <c r="BJ5" s="21" t="str">
        <f>+'Quarterly Financial Model '!BJ3</f>
        <v>2020E</v>
      </c>
      <c r="BK5" s="102"/>
      <c r="BL5" s="102"/>
      <c r="BM5" s="113"/>
    </row>
    <row r="6" spans="1:65" ht="18">
      <c r="A6" s="108"/>
      <c r="B6" s="122" t="s">
        <v>269</v>
      </c>
      <c r="C6" s="102"/>
      <c r="D6" s="102"/>
      <c r="E6" s="102"/>
      <c r="F6" s="102"/>
      <c r="G6" s="102"/>
      <c r="H6" s="102"/>
      <c r="I6" s="102"/>
      <c r="J6" s="102"/>
      <c r="K6" s="102"/>
      <c r="L6" s="102"/>
      <c r="M6" s="124" t="s">
        <v>85</v>
      </c>
      <c r="N6" s="102"/>
      <c r="O6" s="102"/>
      <c r="P6" s="102"/>
      <c r="Q6" s="102"/>
      <c r="R6" s="124" t="s">
        <v>85</v>
      </c>
      <c r="S6" s="102"/>
      <c r="T6" s="102"/>
      <c r="U6" s="102"/>
      <c r="V6" s="102"/>
      <c r="W6" s="124" t="s">
        <v>85</v>
      </c>
      <c r="X6" s="102"/>
      <c r="Y6" s="102"/>
      <c r="Z6" s="102"/>
      <c r="AA6" s="102"/>
      <c r="AB6" s="124" t="s">
        <v>85</v>
      </c>
      <c r="AC6" s="102"/>
      <c r="AD6" s="102"/>
      <c r="AE6" s="102"/>
      <c r="AF6" s="102"/>
      <c r="AG6" s="102"/>
      <c r="AH6" s="102"/>
      <c r="AI6" s="102"/>
      <c r="AJ6" s="102"/>
      <c r="AK6" s="102"/>
      <c r="AL6" s="102"/>
      <c r="AM6" s="102"/>
      <c r="AN6" s="102"/>
      <c r="AO6" s="102"/>
      <c r="AP6" s="102"/>
      <c r="AQ6" s="102"/>
      <c r="AR6" s="102"/>
      <c r="AS6" s="102"/>
      <c r="AT6" s="102"/>
      <c r="AU6" s="102"/>
      <c r="AV6" s="102"/>
      <c r="AW6" s="102"/>
      <c r="AX6" s="102"/>
      <c r="AY6" s="102"/>
      <c r="AZ6" s="102"/>
      <c r="BA6" s="102"/>
      <c r="BB6" s="102"/>
      <c r="BC6" s="102"/>
      <c r="BD6" s="102"/>
      <c r="BE6" s="102"/>
      <c r="BF6" s="102"/>
      <c r="BG6" s="102"/>
      <c r="BH6" s="102"/>
      <c r="BI6" s="102"/>
      <c r="BJ6" s="102"/>
      <c r="BK6" s="102"/>
      <c r="BL6" s="102"/>
      <c r="BM6" s="108"/>
    </row>
    <row r="7" spans="1:65">
      <c r="A7" s="108"/>
      <c r="B7" s="730" t="s">
        <v>427</v>
      </c>
      <c r="C7" s="731"/>
      <c r="D7" s="731"/>
      <c r="E7" s="731"/>
      <c r="F7" s="731"/>
      <c r="G7" s="732"/>
      <c r="H7" s="731"/>
      <c r="I7" s="731"/>
      <c r="J7" s="731"/>
      <c r="K7" s="731"/>
      <c r="L7" s="732"/>
      <c r="M7" s="731"/>
      <c r="N7" s="733"/>
      <c r="O7" s="733"/>
      <c r="P7" s="731"/>
      <c r="Q7" s="732"/>
      <c r="R7" s="734"/>
      <c r="S7" s="731"/>
      <c r="T7" s="731"/>
      <c r="U7" s="731"/>
      <c r="V7" s="732"/>
      <c r="W7" s="731"/>
      <c r="X7" s="731"/>
      <c r="Y7" s="731"/>
      <c r="Z7" s="731"/>
      <c r="AA7" s="732"/>
      <c r="AB7" s="731"/>
      <c r="AC7" s="731"/>
      <c r="AD7" s="731"/>
      <c r="AE7" s="731"/>
      <c r="AF7" s="732"/>
      <c r="AG7" s="731"/>
      <c r="AH7" s="731"/>
      <c r="AI7" s="731"/>
      <c r="AJ7" s="731"/>
      <c r="AK7" s="732"/>
      <c r="AL7" s="731"/>
      <c r="AM7" s="731"/>
      <c r="AN7" s="731"/>
      <c r="AO7" s="731"/>
      <c r="AP7" s="732"/>
      <c r="AQ7" s="731"/>
      <c r="AR7" s="731"/>
      <c r="AS7" s="731"/>
      <c r="AT7" s="731"/>
      <c r="AU7" s="732"/>
      <c r="AV7" s="731"/>
      <c r="AW7" s="731"/>
      <c r="AX7" s="731"/>
      <c r="AY7" s="731"/>
      <c r="AZ7" s="732"/>
      <c r="BA7" s="731"/>
      <c r="BB7" s="731"/>
      <c r="BC7" s="731"/>
      <c r="BD7" s="731"/>
      <c r="BE7" s="732"/>
      <c r="BF7" s="731"/>
      <c r="BG7" s="731"/>
      <c r="BH7" s="731"/>
      <c r="BI7" s="731"/>
      <c r="BJ7" s="732"/>
      <c r="BK7" s="118"/>
      <c r="BL7" s="118"/>
      <c r="BM7" s="714"/>
    </row>
    <row r="8" spans="1:65">
      <c r="A8" s="144"/>
      <c r="B8" s="735" t="s">
        <v>270</v>
      </c>
      <c r="C8" s="262">
        <v>93.9</v>
      </c>
      <c r="D8" s="262">
        <v>112.4</v>
      </c>
      <c r="E8" s="262">
        <v>115.6</v>
      </c>
      <c r="F8" s="262">
        <v>116.4</v>
      </c>
      <c r="G8" s="736">
        <f>+SUM(C8:F8)</f>
        <v>438.29999999999995</v>
      </c>
      <c r="H8" s="262">
        <v>107.7</v>
      </c>
      <c r="I8" s="262">
        <v>122</v>
      </c>
      <c r="J8" s="262">
        <v>125</v>
      </c>
      <c r="K8" s="262">
        <v>131.80000000000001</v>
      </c>
      <c r="L8" s="736">
        <f>+SUM(H8:K8)</f>
        <v>486.5</v>
      </c>
      <c r="M8" s="262">
        <v>115.8</v>
      </c>
      <c r="N8" s="262">
        <v>140.19999999999999</v>
      </c>
      <c r="O8" s="262">
        <v>141</v>
      </c>
      <c r="P8" s="262">
        <v>167.5</v>
      </c>
      <c r="Q8" s="736">
        <f>+SUM(M8:P8)</f>
        <v>564.5</v>
      </c>
      <c r="R8" s="262">
        <v>157.452</v>
      </c>
      <c r="S8" s="262">
        <v>176.93899999999999</v>
      </c>
      <c r="T8" s="262">
        <v>177.036</v>
      </c>
      <c r="U8" s="262">
        <v>188.39</v>
      </c>
      <c r="V8" s="736">
        <f>+SUM(R8:U8)</f>
        <v>699.81700000000001</v>
      </c>
      <c r="W8" s="599">
        <v>191.58799999999999</v>
      </c>
      <c r="X8" s="262">
        <v>210.827</v>
      </c>
      <c r="Y8" s="262">
        <v>209.71799999999999</v>
      </c>
      <c r="Z8" s="262">
        <v>225.56100000000001</v>
      </c>
      <c r="AA8" s="736">
        <f>+SUM(W8:Z8)</f>
        <v>837.69399999999996</v>
      </c>
      <c r="AB8" s="262">
        <v>205.32599999999999</v>
      </c>
      <c r="AC8" s="262">
        <v>245.57400000000001</v>
      </c>
      <c r="AD8" s="262">
        <v>297.65100000000001</v>
      </c>
      <c r="AE8" s="262">
        <v>318.01499999999999</v>
      </c>
      <c r="AF8" s="736">
        <f>+SUM(AB8:AE8)</f>
        <v>1066.5659999999998</v>
      </c>
      <c r="AG8" s="262">
        <v>290.68200000000002</v>
      </c>
      <c r="AH8" s="262">
        <v>337.09199999999998</v>
      </c>
      <c r="AI8" s="262">
        <v>344.87599999999998</v>
      </c>
      <c r="AJ8" s="262">
        <v>362.94400000000002</v>
      </c>
      <c r="AK8" s="736">
        <f>+SUM(AG8:AJ8)</f>
        <v>1335.5940000000001</v>
      </c>
      <c r="AL8" s="262">
        <v>341.24599999999998</v>
      </c>
      <c r="AM8" s="262">
        <v>387.77300000000002</v>
      </c>
      <c r="AN8" s="262">
        <v>404.41199999999998</v>
      </c>
      <c r="AO8" s="262">
        <v>412.44799999999998</v>
      </c>
      <c r="AP8" s="736">
        <f>+SUM(AL8:AO8)</f>
        <v>1545.8789999999999</v>
      </c>
      <c r="AQ8" s="262">
        <v>385.892</v>
      </c>
      <c r="AR8" s="262">
        <v>449.14299999999997</v>
      </c>
      <c r="AS8" s="262">
        <v>468.767</v>
      </c>
      <c r="AT8" s="262">
        <v>483.55200000000002</v>
      </c>
      <c r="AU8" s="736">
        <f>+SUM(AQ8:AT8)</f>
        <v>1787.3539999999998</v>
      </c>
      <c r="AV8" s="262">
        <f>+AV11*AV20</f>
        <v>506.69013440073655</v>
      </c>
      <c r="AW8" s="262">
        <f>+AW11*AW20</f>
        <v>596.74449277311817</v>
      </c>
      <c r="AX8" s="262">
        <f>+AX11*AX20</f>
        <v>619.99955806158357</v>
      </c>
      <c r="AY8" s="262">
        <f>+AY11*AY20</f>
        <v>636.03729492992863</v>
      </c>
      <c r="AZ8" s="736">
        <f>+SUM(AV8:AY8)</f>
        <v>2359.4714801653668</v>
      </c>
      <c r="BA8" s="262">
        <f>+BA11*BA20</f>
        <v>577.28238101165437</v>
      </c>
      <c r="BB8" s="262">
        <f>+BB11*BB20</f>
        <v>654.15131297789208</v>
      </c>
      <c r="BC8" s="262">
        <f>+BC11*BC20</f>
        <v>679.643515547108</v>
      </c>
      <c r="BD8" s="262">
        <f>+BD11*BD20</f>
        <v>697.22408270218784</v>
      </c>
      <c r="BE8" s="736">
        <f>+SUM(BA8:BD8)</f>
        <v>2608.3012922388425</v>
      </c>
      <c r="BF8" s="262">
        <f>+BF11*BF20</f>
        <v>628.33579158237251</v>
      </c>
      <c r="BG8" s="262">
        <f>+BG11*BG20</f>
        <v>712.00281971937432</v>
      </c>
      <c r="BH8" s="262">
        <f>+BH11*BH20</f>
        <v>739.74948895330522</v>
      </c>
      <c r="BI8" s="262">
        <f>+BI11*BI20</f>
        <v>758.88483751616263</v>
      </c>
      <c r="BJ8" s="736">
        <f>+SUM(BF8:BI8)</f>
        <v>2838.9729377712147</v>
      </c>
      <c r="BK8" s="603"/>
      <c r="BL8" s="603">
        <f>+AP8*1.08</f>
        <v>1669.5493200000001</v>
      </c>
      <c r="BM8" s="144"/>
    </row>
    <row r="9" spans="1:65">
      <c r="A9" s="144"/>
      <c r="B9" s="737" t="s">
        <v>16</v>
      </c>
      <c r="C9" s="304"/>
      <c r="D9" s="304"/>
      <c r="E9" s="304"/>
      <c r="F9" s="304"/>
      <c r="G9" s="155"/>
      <c r="H9" s="304">
        <f>+H8/C8-1</f>
        <v>0.14696485623003186</v>
      </c>
      <c r="I9" s="304">
        <f>+I8/D8-1</f>
        <v>8.5409252669039093E-2</v>
      </c>
      <c r="J9" s="304">
        <f>+J8/E8-1</f>
        <v>8.1314878892733589E-2</v>
      </c>
      <c r="K9" s="304">
        <f>+K8/F8-1</f>
        <v>0.13230240549828176</v>
      </c>
      <c r="L9" s="155">
        <f>+L8/G8-1</f>
        <v>0.10997033994980621</v>
      </c>
      <c r="M9" s="304">
        <f t="shared" ref="M9:AZ9" si="0">+M8/H8-1</f>
        <v>7.5208913649025044E-2</v>
      </c>
      <c r="N9" s="304">
        <f t="shared" si="0"/>
        <v>0.14918032786885238</v>
      </c>
      <c r="O9" s="304">
        <f t="shared" si="0"/>
        <v>0.12799999999999989</v>
      </c>
      <c r="P9" s="304">
        <f t="shared" si="0"/>
        <v>0.27086494688922591</v>
      </c>
      <c r="Q9" s="158">
        <f t="shared" si="0"/>
        <v>0.1603288797533402</v>
      </c>
      <c r="R9" s="304">
        <f t="shared" si="0"/>
        <v>0.35968911917098456</v>
      </c>
      <c r="S9" s="304">
        <f t="shared" si="0"/>
        <v>0.26204707560627671</v>
      </c>
      <c r="T9" s="304">
        <f t="shared" si="0"/>
        <v>0.25557446808510642</v>
      </c>
      <c r="U9" s="304">
        <f t="shared" si="0"/>
        <v>0.12471641791044763</v>
      </c>
      <c r="V9" s="158">
        <f t="shared" si="0"/>
        <v>0.23971124889282547</v>
      </c>
      <c r="W9" s="304">
        <f t="shared" si="0"/>
        <v>0.21680258110408257</v>
      </c>
      <c r="X9" s="304">
        <f t="shared" si="0"/>
        <v>0.19152363243829806</v>
      </c>
      <c r="Y9" s="304">
        <f t="shared" si="0"/>
        <v>0.1846065207076526</v>
      </c>
      <c r="Z9" s="304">
        <f t="shared" si="0"/>
        <v>0.19730877435108041</v>
      </c>
      <c r="AA9" s="158">
        <f t="shared" si="0"/>
        <v>0.19701864916113787</v>
      </c>
      <c r="AB9" s="304">
        <f t="shared" si="0"/>
        <v>7.1705952356097447E-2</v>
      </c>
      <c r="AC9" s="304">
        <f t="shared" si="0"/>
        <v>0.16481285603836326</v>
      </c>
      <c r="AD9" s="304">
        <f t="shared" si="0"/>
        <v>0.41929162017566468</v>
      </c>
      <c r="AE9" s="304">
        <f t="shared" si="0"/>
        <v>0.40988468751246887</v>
      </c>
      <c r="AF9" s="158">
        <f t="shared" si="0"/>
        <v>0.27321671159158334</v>
      </c>
      <c r="AG9" s="304">
        <f t="shared" si="0"/>
        <v>0.41570965196808984</v>
      </c>
      <c r="AH9" s="304">
        <f t="shared" si="0"/>
        <v>0.37266974516846241</v>
      </c>
      <c r="AI9" s="304">
        <f t="shared" si="0"/>
        <v>0.15865896637336996</v>
      </c>
      <c r="AJ9" s="304">
        <f t="shared" si="0"/>
        <v>0.14127949939468265</v>
      </c>
      <c r="AK9" s="158">
        <f t="shared" si="0"/>
        <v>0.25223755491924571</v>
      </c>
      <c r="AL9" s="304">
        <f t="shared" si="0"/>
        <v>0.17394953935916213</v>
      </c>
      <c r="AM9" s="304">
        <f t="shared" si="0"/>
        <v>0.15034767956522277</v>
      </c>
      <c r="AN9" s="304">
        <f t="shared" si="0"/>
        <v>0.17263016272515341</v>
      </c>
      <c r="AO9" s="304">
        <f t="shared" si="0"/>
        <v>0.13639569740786439</v>
      </c>
      <c r="AP9" s="158">
        <f t="shared" si="0"/>
        <v>0.15744679895237623</v>
      </c>
      <c r="AQ9" s="304">
        <f t="shared" si="0"/>
        <v>0.13083230279622327</v>
      </c>
      <c r="AR9" s="304">
        <f t="shared" si="0"/>
        <v>0.15826269492718659</v>
      </c>
      <c r="AS9" s="304">
        <f t="shared" si="0"/>
        <v>0.15913227105031513</v>
      </c>
      <c r="AT9" s="304">
        <f t="shared" si="0"/>
        <v>0.17239506555977968</v>
      </c>
      <c r="AU9" s="158">
        <f t="shared" si="0"/>
        <v>0.156205627995464</v>
      </c>
      <c r="AV9" s="304">
        <f t="shared" si="0"/>
        <v>0.31303611995256841</v>
      </c>
      <c r="AW9" s="304">
        <f t="shared" si="0"/>
        <v>0.32862917327692553</v>
      </c>
      <c r="AX9" s="304">
        <f t="shared" si="0"/>
        <v>0.32261775692739381</v>
      </c>
      <c r="AY9" s="304">
        <f t="shared" si="0"/>
        <v>0.31534415105289315</v>
      </c>
      <c r="AZ9" s="158">
        <f t="shared" si="0"/>
        <v>0.32009186773597564</v>
      </c>
      <c r="BA9" s="304">
        <f t="shared" ref="BA9:BJ9" si="1">+BA8/AV8-1</f>
        <v>0.13932034949606309</v>
      </c>
      <c r="BB9" s="304">
        <f t="shared" si="1"/>
        <v>9.6199999999999841E-2</v>
      </c>
      <c r="BC9" s="304">
        <f t="shared" si="1"/>
        <v>9.6200000000000063E-2</v>
      </c>
      <c r="BD9" s="304">
        <f t="shared" si="1"/>
        <v>9.6200000000000063E-2</v>
      </c>
      <c r="BE9" s="158">
        <f t="shared" si="1"/>
        <v>0.10545997871355328</v>
      </c>
      <c r="BF9" s="304">
        <f t="shared" si="1"/>
        <v>8.8437499999999947E-2</v>
      </c>
      <c r="BG9" s="304">
        <f t="shared" si="1"/>
        <v>8.8437499999999947E-2</v>
      </c>
      <c r="BH9" s="304">
        <f t="shared" si="1"/>
        <v>8.8437499999999725E-2</v>
      </c>
      <c r="BI9" s="304">
        <f t="shared" si="1"/>
        <v>8.8437500000000169E-2</v>
      </c>
      <c r="BJ9" s="158">
        <f t="shared" si="1"/>
        <v>8.8437499999999725E-2</v>
      </c>
      <c r="BK9" s="738"/>
      <c r="BL9" s="738">
        <f>+BL8*0.12</f>
        <v>200.34591839999999</v>
      </c>
      <c r="BM9" s="144"/>
    </row>
    <row r="10" spans="1:65">
      <c r="A10" s="144"/>
      <c r="B10" s="737"/>
      <c r="C10" s="304"/>
      <c r="D10" s="304"/>
      <c r="E10" s="304"/>
      <c r="F10" s="304"/>
      <c r="G10" s="155"/>
      <c r="H10" s="304"/>
      <c r="I10" s="304"/>
      <c r="J10" s="304"/>
      <c r="K10" s="304"/>
      <c r="L10" s="155"/>
      <c r="M10" s="304"/>
      <c r="N10" s="304"/>
      <c r="O10" s="304"/>
      <c r="P10" s="304"/>
      <c r="Q10" s="158"/>
      <c r="R10" s="304"/>
      <c r="S10" s="304"/>
      <c r="T10" s="304"/>
      <c r="U10" s="304"/>
      <c r="V10" s="158"/>
      <c r="W10" s="304"/>
      <c r="X10" s="304"/>
      <c r="Y10" s="304"/>
      <c r="Z10" s="304"/>
      <c r="AA10" s="158"/>
      <c r="AB10" s="304"/>
      <c r="AC10" s="304"/>
      <c r="AD10" s="304"/>
      <c r="AE10" s="304"/>
      <c r="AF10" s="158"/>
      <c r="AG10" s="304"/>
      <c r="AH10" s="304"/>
      <c r="AI10" s="304"/>
      <c r="AJ10" s="304"/>
      <c r="AK10" s="158"/>
      <c r="AL10" s="304"/>
      <c r="AM10" s="304"/>
      <c r="AN10" s="304"/>
      <c r="AO10" s="304"/>
      <c r="AP10" s="158"/>
      <c r="AQ10" s="304"/>
      <c r="AR10" s="304"/>
      <c r="AS10" s="304"/>
      <c r="AT10" s="304"/>
      <c r="AU10" s="158"/>
      <c r="AV10" s="304"/>
      <c r="AW10" s="304"/>
      <c r="AX10" s="304"/>
      <c r="AY10" s="304"/>
      <c r="AZ10" s="158"/>
      <c r="BA10" s="304"/>
      <c r="BB10" s="304"/>
      <c r="BC10" s="304"/>
      <c r="BD10" s="304"/>
      <c r="BE10" s="158"/>
      <c r="BF10" s="304"/>
      <c r="BG10" s="304"/>
      <c r="BH10" s="304"/>
      <c r="BI10" s="304"/>
      <c r="BJ10" s="158"/>
      <c r="BK10" s="738"/>
      <c r="BL10" s="738"/>
      <c r="BM10" s="144"/>
    </row>
    <row r="11" spans="1:65">
      <c r="A11" s="144"/>
      <c r="B11" s="739" t="s">
        <v>271</v>
      </c>
      <c r="C11" s="205">
        <v>1726</v>
      </c>
      <c r="D11" s="205">
        <v>1877.5</v>
      </c>
      <c r="E11" s="205">
        <v>1904.5</v>
      </c>
      <c r="F11" s="205">
        <v>2077.1999999999998</v>
      </c>
      <c r="G11" s="736">
        <f>+SUM(C11:F11)</f>
        <v>7585.2</v>
      </c>
      <c r="H11" s="205">
        <v>1954</v>
      </c>
      <c r="I11" s="205">
        <v>2088.1999999999998</v>
      </c>
      <c r="J11" s="205">
        <v>2113.1999999999998</v>
      </c>
      <c r="K11" s="205">
        <v>2331.4</v>
      </c>
      <c r="L11" s="736">
        <f>+SUM(H11:K11)</f>
        <v>8486.7999999999993</v>
      </c>
      <c r="M11" s="740">
        <v>2184.4</v>
      </c>
      <c r="N11" s="740">
        <v>2337.8000000000002</v>
      </c>
      <c r="O11" s="740">
        <v>2395.8000000000002</v>
      </c>
      <c r="P11" s="722">
        <v>2673</v>
      </c>
      <c r="Q11" s="741">
        <f>+SUM(M11:P11)</f>
        <v>9591</v>
      </c>
      <c r="R11" s="722">
        <v>2544</v>
      </c>
      <c r="S11" s="722">
        <v>3021</v>
      </c>
      <c r="T11" s="722">
        <v>3047</v>
      </c>
      <c r="U11" s="722">
        <v>3300</v>
      </c>
      <c r="V11" s="741">
        <f>+SUM(R11:U11)</f>
        <v>11912</v>
      </c>
      <c r="W11" s="722">
        <v>3123</v>
      </c>
      <c r="X11" s="722">
        <v>3273</v>
      </c>
      <c r="Y11" s="722">
        <v>3345</v>
      </c>
      <c r="Z11" s="722">
        <v>3592</v>
      </c>
      <c r="AA11" s="741">
        <f>+SUM(W11:Z11)</f>
        <v>13333</v>
      </c>
      <c r="AB11" s="722">
        <v>3310</v>
      </c>
      <c r="AC11" s="722">
        <v>3866</v>
      </c>
      <c r="AD11" s="722">
        <v>4398</v>
      </c>
      <c r="AE11" s="722">
        <v>4687</v>
      </c>
      <c r="AF11" s="741">
        <f>+SUM(AB11:AE11)</f>
        <v>16261</v>
      </c>
      <c r="AG11" s="722">
        <v>4407</v>
      </c>
      <c r="AH11" s="722">
        <v>4737</v>
      </c>
      <c r="AI11" s="722">
        <v>4743</v>
      </c>
      <c r="AJ11" s="722">
        <v>5072</v>
      </c>
      <c r="AK11" s="741">
        <f>+SUM(AG11:AJ11)</f>
        <v>18959</v>
      </c>
      <c r="AL11" s="722">
        <v>4847</v>
      </c>
      <c r="AM11" s="722">
        <v>5156</v>
      </c>
      <c r="AN11" s="722">
        <v>5241</v>
      </c>
      <c r="AO11" s="722">
        <v>5711</v>
      </c>
      <c r="AP11" s="741">
        <f>+SUM(AL11:AO11)</f>
        <v>20955</v>
      </c>
      <c r="AQ11" s="722">
        <v>5341</v>
      </c>
      <c r="AR11" s="722">
        <v>5673</v>
      </c>
      <c r="AS11" s="722">
        <v>5702</v>
      </c>
      <c r="AT11" s="722">
        <v>6031</v>
      </c>
      <c r="AU11" s="741">
        <f>+SUM(AQ11:AT11)</f>
        <v>22747</v>
      </c>
      <c r="AV11" s="722">
        <f>+AQ11*(1+AV12)</f>
        <v>6759.4466666666667</v>
      </c>
      <c r="AW11" s="722">
        <f>+AR11*(1+AW12)</f>
        <v>7212.7399999999989</v>
      </c>
      <c r="AX11" s="722">
        <f>+AS11*(1+AX12)</f>
        <v>7216.8099999999995</v>
      </c>
      <c r="AY11" s="722">
        <f>+AT11*(1+AY12)</f>
        <v>7591.2349999999997</v>
      </c>
      <c r="AZ11" s="741">
        <f>+SUM(AV11:AY11)</f>
        <v>28780.231666666667</v>
      </c>
      <c r="BA11" s="722">
        <f>+AV11*(1+BA12)</f>
        <v>7476.8690666666671</v>
      </c>
      <c r="BB11" s="722">
        <f>+AW11*(1+BB12)</f>
        <v>7789.7591999999995</v>
      </c>
      <c r="BC11" s="722">
        <f>+AX11*(1+BC12)</f>
        <v>7794.1548000000003</v>
      </c>
      <c r="BD11" s="722">
        <f>+AY11*(1+BD12)</f>
        <v>8198.5338000000011</v>
      </c>
      <c r="BE11" s="741">
        <f>+SUM(BA11:BD11)</f>
        <v>31259.316866666668</v>
      </c>
      <c r="BF11" s="722">
        <f>+BA11*(1+BF12)</f>
        <v>8037.6342466666665</v>
      </c>
      <c r="BG11" s="722">
        <f>+BB11*(1+BG12)</f>
        <v>8373.9911399999983</v>
      </c>
      <c r="BH11" s="722">
        <f>+BC11*(1+BH12)</f>
        <v>8378.7164099999991</v>
      </c>
      <c r="BI11" s="722">
        <f>+BD11*(1+BI12)</f>
        <v>8813.4238350000014</v>
      </c>
      <c r="BJ11" s="741">
        <f>+SUM(BF11:BI11)</f>
        <v>33603.765631666669</v>
      </c>
      <c r="BK11" s="742"/>
      <c r="BL11" s="742"/>
      <c r="BM11" s="144"/>
    </row>
    <row r="12" spans="1:65">
      <c r="A12" s="144"/>
      <c r="B12" s="737" t="s">
        <v>16</v>
      </c>
      <c r="C12" s="304"/>
      <c r="D12" s="304"/>
      <c r="E12" s="304"/>
      <c r="F12" s="304"/>
      <c r="G12" s="155"/>
      <c r="H12" s="304">
        <f t="shared" ref="H12:AT12" si="2">+H11/C11-1</f>
        <v>0.13209733487833142</v>
      </c>
      <c r="I12" s="304">
        <f t="shared" si="2"/>
        <v>0.11222370173102525</v>
      </c>
      <c r="J12" s="304">
        <f t="shared" si="2"/>
        <v>0.1095825676030453</v>
      </c>
      <c r="K12" s="304">
        <f t="shared" si="2"/>
        <v>0.12237627575582533</v>
      </c>
      <c r="L12" s="155">
        <f t="shared" si="2"/>
        <v>0.11886304909560708</v>
      </c>
      <c r="M12" s="304">
        <f t="shared" si="2"/>
        <v>0.11791197543500509</v>
      </c>
      <c r="N12" s="304">
        <f t="shared" si="2"/>
        <v>0.11952878076812579</v>
      </c>
      <c r="O12" s="304">
        <f t="shared" si="2"/>
        <v>0.13373083475298153</v>
      </c>
      <c r="P12" s="304">
        <f t="shared" si="2"/>
        <v>0.14652140344857156</v>
      </c>
      <c r="Q12" s="158">
        <f t="shared" si="2"/>
        <v>0.13010793231842399</v>
      </c>
      <c r="R12" s="304">
        <f t="shared" si="2"/>
        <v>0.16462186412744906</v>
      </c>
      <c r="S12" s="304">
        <f t="shared" si="2"/>
        <v>0.29224056805543674</v>
      </c>
      <c r="T12" s="304">
        <f t="shared" si="2"/>
        <v>0.27180899908172629</v>
      </c>
      <c r="U12" s="304">
        <f t="shared" si="2"/>
        <v>0.23456790123456783</v>
      </c>
      <c r="V12" s="158">
        <f t="shared" si="2"/>
        <v>0.24199770618287975</v>
      </c>
      <c r="W12" s="304">
        <f t="shared" si="2"/>
        <v>0.22759433962264142</v>
      </c>
      <c r="X12" s="304">
        <f t="shared" si="2"/>
        <v>8.3416087388282101E-2</v>
      </c>
      <c r="Y12" s="304">
        <f t="shared" si="2"/>
        <v>9.7801115851657405E-2</v>
      </c>
      <c r="Z12" s="304">
        <f t="shared" si="2"/>
        <v>8.8484848484848388E-2</v>
      </c>
      <c r="AA12" s="158">
        <f>+AA11/V11-1</f>
        <v>0.11929147078576219</v>
      </c>
      <c r="AB12" s="304">
        <f t="shared" si="2"/>
        <v>5.9878322126160732E-2</v>
      </c>
      <c r="AC12" s="304">
        <f t="shared" si="2"/>
        <v>0.18117934616559728</v>
      </c>
      <c r="AD12" s="304">
        <f t="shared" si="2"/>
        <v>0.31479820627802702</v>
      </c>
      <c r="AE12" s="304">
        <f t="shared" si="2"/>
        <v>0.30484409799554557</v>
      </c>
      <c r="AF12" s="158">
        <f>+AF11/AA11-1</f>
        <v>0.2196054901372535</v>
      </c>
      <c r="AG12" s="304">
        <f t="shared" si="2"/>
        <v>0.33141993957703919</v>
      </c>
      <c r="AH12" s="304">
        <f t="shared" si="2"/>
        <v>0.22529746508018622</v>
      </c>
      <c r="AI12" s="304">
        <f t="shared" si="2"/>
        <v>7.8444747612551158E-2</v>
      </c>
      <c r="AJ12" s="304">
        <f t="shared" si="2"/>
        <v>8.2142095156816808E-2</v>
      </c>
      <c r="AK12" s="158">
        <f>+AK11/AF11-1</f>
        <v>0.16591845519955717</v>
      </c>
      <c r="AL12" s="304">
        <f t="shared" si="2"/>
        <v>9.9841161788064348E-2</v>
      </c>
      <c r="AM12" s="304">
        <f t="shared" si="2"/>
        <v>8.8452607135317773E-2</v>
      </c>
      <c r="AN12" s="304">
        <f t="shared" si="2"/>
        <v>0.10499683744465527</v>
      </c>
      <c r="AO12" s="304">
        <f t="shared" si="2"/>
        <v>0.12598580441640372</v>
      </c>
      <c r="AP12" s="158">
        <f>+AP11/AK11-1</f>
        <v>0.10527981433619926</v>
      </c>
      <c r="AQ12" s="1190">
        <f t="shared" si="2"/>
        <v>0.10191871260573548</v>
      </c>
      <c r="AR12" s="1190">
        <f t="shared" si="2"/>
        <v>0.10027152831652453</v>
      </c>
      <c r="AS12" s="304">
        <f t="shared" si="2"/>
        <v>8.7960312917382266E-2</v>
      </c>
      <c r="AT12" s="304">
        <f t="shared" si="2"/>
        <v>5.6032218525652322E-2</v>
      </c>
      <c r="AU12" s="158">
        <f>+AU11/AP11-1</f>
        <v>8.5516583154378489E-2</v>
      </c>
      <c r="AV12" s="208">
        <f>CHOOSE(_Switch,AV13,AV14,AV15)</f>
        <v>0.26557698308681271</v>
      </c>
      <c r="AW12" s="208">
        <f>CHOOSE(_Switch,AW13,AW14,AW15)</f>
        <v>0.27141547682002465</v>
      </c>
      <c r="AX12" s="208">
        <f>CHOOSE(_Switch,AX13,AX14,AX15)</f>
        <v>0.26566292528937213</v>
      </c>
      <c r="AY12" s="208">
        <f>CHOOSE(_Switch,AY13,AY14,AY15)</f>
        <v>0.25870253689272094</v>
      </c>
      <c r="AZ12" s="158">
        <f>+AZ11/AU11-1</f>
        <v>0.26523197198165316</v>
      </c>
      <c r="BA12" s="208">
        <f>CHOOSE(_Switch,BA13,BA14,BA15)</f>
        <v>0.10613626164666339</v>
      </c>
      <c r="BB12" s="208">
        <f>CHOOSE(_Switch,BB13,BB14,BB15)</f>
        <v>0.08</v>
      </c>
      <c r="BC12" s="208">
        <f>CHOOSE(_Switch,BC13,BC14,BC15)</f>
        <v>0.08</v>
      </c>
      <c r="BD12" s="208">
        <f>CHOOSE(_Switch,BD13,BD14,BD15)</f>
        <v>0.08</v>
      </c>
      <c r="BE12" s="158">
        <f>+BE11/AZ11-1</f>
        <v>8.6138472709769154E-2</v>
      </c>
      <c r="BF12" s="208">
        <f>CHOOSE(_Switch,BF13,BF14,BF15)</f>
        <v>7.4999999999999997E-2</v>
      </c>
      <c r="BG12" s="208">
        <f>CHOOSE(_Switch,BG13,BG14,BG15)</f>
        <v>7.4999999999999997E-2</v>
      </c>
      <c r="BH12" s="208">
        <f>CHOOSE(_Switch,BH13,BH14,BH15)</f>
        <v>7.4999999999999997E-2</v>
      </c>
      <c r="BI12" s="208">
        <f>CHOOSE(_Switch,BI13,BI14,BI15)</f>
        <v>7.4999999999999997E-2</v>
      </c>
      <c r="BJ12" s="158">
        <f>+BJ11/BE11-1</f>
        <v>7.4999999999999956E-2</v>
      </c>
      <c r="BK12" s="738"/>
      <c r="BL12" s="738"/>
      <c r="BM12" s="144"/>
    </row>
    <row r="13" spans="1:65" outlineLevel="1">
      <c r="A13" s="144"/>
      <c r="B13" s="209" t="s">
        <v>93</v>
      </c>
      <c r="C13" s="743"/>
      <c r="D13" s="743"/>
      <c r="E13" s="743"/>
      <c r="F13" s="743"/>
      <c r="G13" s="161"/>
      <c r="H13" s="743"/>
      <c r="I13" s="743"/>
      <c r="J13" s="743"/>
      <c r="K13" s="743"/>
      <c r="L13" s="161"/>
      <c r="M13" s="743"/>
      <c r="N13" s="743"/>
      <c r="O13" s="743"/>
      <c r="P13" s="743"/>
      <c r="Q13" s="744"/>
      <c r="R13" s="743"/>
      <c r="S13" s="743"/>
      <c r="T13" s="743"/>
      <c r="U13" s="743"/>
      <c r="V13" s="744"/>
      <c r="W13" s="743"/>
      <c r="X13" s="738"/>
      <c r="Y13" s="738"/>
      <c r="Z13" s="738"/>
      <c r="AA13" s="744"/>
      <c r="AB13" s="738"/>
      <c r="AC13" s="208"/>
      <c r="AD13" s="208"/>
      <c r="AE13" s="745"/>
      <c r="AF13" s="744"/>
      <c r="AG13" s="738"/>
      <c r="AH13" s="738"/>
      <c r="AI13" s="745"/>
      <c r="AJ13" s="745"/>
      <c r="AK13" s="744"/>
      <c r="AL13" s="745"/>
      <c r="AM13" s="745"/>
      <c r="AN13" s="745"/>
      <c r="AO13" s="745"/>
      <c r="AP13" s="744"/>
      <c r="AQ13" s="745"/>
      <c r="AR13" s="745"/>
      <c r="AS13" s="745"/>
      <c r="AT13" s="745"/>
      <c r="AU13" s="744"/>
      <c r="AV13" s="746">
        <f>+AV14+0.02</f>
        <v>0.28557698308681273</v>
      </c>
      <c r="AW13" s="746">
        <f>+AW14+0.02</f>
        <v>0.29141547682002467</v>
      </c>
      <c r="AX13" s="746">
        <f>+AX14+0.02</f>
        <v>0.28566292528937215</v>
      </c>
      <c r="AY13" s="746">
        <f>+AY14+0.02</f>
        <v>0.27870253689272095</v>
      </c>
      <c r="AZ13" s="744"/>
      <c r="BA13" s="746">
        <f>+BA14+0.02</f>
        <v>0.12613626164666339</v>
      </c>
      <c r="BB13" s="746">
        <f>+BB14+0.02</f>
        <v>0.1</v>
      </c>
      <c r="BC13" s="746">
        <f>+BC14+0.02</f>
        <v>0.1</v>
      </c>
      <c r="BD13" s="746">
        <f>+BD14+0.02</f>
        <v>0.1</v>
      </c>
      <c r="BE13" s="744"/>
      <c r="BF13" s="746">
        <f>+BF14+0.02</f>
        <v>9.5000000000000001E-2</v>
      </c>
      <c r="BG13" s="746">
        <f>+BG14+0.02</f>
        <v>9.5000000000000001E-2</v>
      </c>
      <c r="BH13" s="746">
        <f>+BH14+0.02</f>
        <v>9.5000000000000001E-2</v>
      </c>
      <c r="BI13" s="746">
        <f>+BI14+0.02</f>
        <v>9.5000000000000001E-2</v>
      </c>
      <c r="BJ13" s="744"/>
      <c r="BK13" s="738"/>
      <c r="BL13" s="738"/>
      <c r="BM13" s="747"/>
    </row>
    <row r="14" spans="1:65" outlineLevel="1">
      <c r="A14" s="144"/>
      <c r="B14" s="209" t="s">
        <v>94</v>
      </c>
      <c r="C14" s="743"/>
      <c r="D14" s="743"/>
      <c r="E14" s="743"/>
      <c r="F14" s="743"/>
      <c r="G14" s="161"/>
      <c r="H14" s="743"/>
      <c r="I14" s="743"/>
      <c r="J14" s="743"/>
      <c r="K14" s="743"/>
      <c r="L14" s="161"/>
      <c r="M14" s="743"/>
      <c r="N14" s="743"/>
      <c r="O14" s="743"/>
      <c r="P14" s="743"/>
      <c r="Q14" s="744"/>
      <c r="R14" s="743"/>
      <c r="S14" s="743"/>
      <c r="T14" s="743"/>
      <c r="U14" s="743"/>
      <c r="V14" s="744"/>
      <c r="W14" s="743"/>
      <c r="X14" s="738"/>
      <c r="Y14" s="738"/>
      <c r="Z14" s="738"/>
      <c r="AA14" s="744"/>
      <c r="AB14" s="738"/>
      <c r="AC14" s="208"/>
      <c r="AD14" s="208"/>
      <c r="AE14" s="745"/>
      <c r="AF14" s="744"/>
      <c r="AG14" s="738"/>
      <c r="AH14" s="738"/>
      <c r="AI14" s="745"/>
      <c r="AJ14" s="745"/>
      <c r="AK14" s="744"/>
      <c r="AL14" s="745"/>
      <c r="AM14" s="745"/>
      <c r="AN14" s="745"/>
      <c r="AO14" s="745"/>
      <c r="AP14" s="744"/>
      <c r="AQ14" s="745"/>
      <c r="AR14" s="745"/>
      <c r="AS14" s="745"/>
      <c r="AT14" s="745"/>
      <c r="AU14" s="744"/>
      <c r="AV14" s="746">
        <f>10.5%+((1061*0.97*2.5/3)/AQ11)</f>
        <v>0.26557698308681271</v>
      </c>
      <c r="AW14" s="746">
        <f>9%+(1061*0.97/AR11)</f>
        <v>0.27141547682002465</v>
      </c>
      <c r="AX14" s="746">
        <f>8.5%+(1062*0.97/AS11)</f>
        <v>0.26566292528937213</v>
      </c>
      <c r="AY14" s="746">
        <f>8.5%+(1080*0.97/AT11)</f>
        <v>0.25870253689272094</v>
      </c>
      <c r="AZ14" s="744"/>
      <c r="BA14" s="746">
        <f>8%+((1060/3*0.5)/AV11)</f>
        <v>0.10613626164666339</v>
      </c>
      <c r="BB14" s="746">
        <v>0.08</v>
      </c>
      <c r="BC14" s="746">
        <f>BB14</f>
        <v>0.08</v>
      </c>
      <c r="BD14" s="746">
        <f>BC14</f>
        <v>0.08</v>
      </c>
      <c r="BE14" s="744"/>
      <c r="BF14" s="746">
        <v>7.4999999999999997E-2</v>
      </c>
      <c r="BG14" s="746">
        <f>+BF14</f>
        <v>7.4999999999999997E-2</v>
      </c>
      <c r="BH14" s="746">
        <f>BG14</f>
        <v>7.4999999999999997E-2</v>
      </c>
      <c r="BI14" s="746">
        <f>BH14</f>
        <v>7.4999999999999997E-2</v>
      </c>
      <c r="BJ14" s="744"/>
      <c r="BK14" s="738"/>
      <c r="BL14" s="738"/>
      <c r="BM14" s="144"/>
    </row>
    <row r="15" spans="1:65" outlineLevel="1">
      <c r="A15" s="144"/>
      <c r="B15" s="209" t="s">
        <v>95</v>
      </c>
      <c r="C15" s="743"/>
      <c r="D15" s="743"/>
      <c r="E15" s="743"/>
      <c r="F15" s="743"/>
      <c r="G15" s="161"/>
      <c r="H15" s="743"/>
      <c r="I15" s="743"/>
      <c r="J15" s="743"/>
      <c r="K15" s="743"/>
      <c r="L15" s="161"/>
      <c r="M15" s="743"/>
      <c r="N15" s="743"/>
      <c r="O15" s="743"/>
      <c r="P15" s="743"/>
      <c r="Q15" s="744"/>
      <c r="R15" s="743"/>
      <c r="S15" s="743"/>
      <c r="T15" s="743"/>
      <c r="U15" s="743"/>
      <c r="V15" s="744"/>
      <c r="W15" s="743"/>
      <c r="X15" s="738"/>
      <c r="Y15" s="738"/>
      <c r="Z15" s="738"/>
      <c r="AA15" s="744"/>
      <c r="AB15" s="738"/>
      <c r="AC15" s="208"/>
      <c r="AD15" s="208"/>
      <c r="AE15" s="745"/>
      <c r="AF15" s="744"/>
      <c r="AG15" s="738"/>
      <c r="AH15" s="738"/>
      <c r="AI15" s="745"/>
      <c r="AJ15" s="745"/>
      <c r="AK15" s="744"/>
      <c r="AL15" s="745"/>
      <c r="AM15" s="745"/>
      <c r="AN15" s="745"/>
      <c r="AO15" s="745"/>
      <c r="AP15" s="744"/>
      <c r="AQ15" s="745"/>
      <c r="AR15" s="745"/>
      <c r="AS15" s="745"/>
      <c r="AT15" s="745"/>
      <c r="AU15" s="744"/>
      <c r="AV15" s="746">
        <f>+AV14-0.03</f>
        <v>0.23557698308681271</v>
      </c>
      <c r="AW15" s="746">
        <f>+AW14-0.03</f>
        <v>0.24141547682002465</v>
      </c>
      <c r="AX15" s="746">
        <f>+AX14-0.03</f>
        <v>0.23566292528937213</v>
      </c>
      <c r="AY15" s="746">
        <f>+AY14-0.03</f>
        <v>0.22870253689272094</v>
      </c>
      <c r="AZ15" s="744"/>
      <c r="BA15" s="746">
        <f>+BA14-0.04</f>
        <v>6.6136261646663391E-2</v>
      </c>
      <c r="BB15" s="746">
        <f>+BB14-0.04</f>
        <v>0.04</v>
      </c>
      <c r="BC15" s="746">
        <f>+BC14-0.04</f>
        <v>0.04</v>
      </c>
      <c r="BD15" s="746">
        <f>+BD14-0.04</f>
        <v>0.04</v>
      </c>
      <c r="BE15" s="744"/>
      <c r="BF15" s="746">
        <f>+BF14-0.04</f>
        <v>3.4999999999999996E-2</v>
      </c>
      <c r="BG15" s="746">
        <f>+BG14-0.04</f>
        <v>3.4999999999999996E-2</v>
      </c>
      <c r="BH15" s="746">
        <f>+BH14-0.04</f>
        <v>3.4999999999999996E-2</v>
      </c>
      <c r="BI15" s="746">
        <f>+BI14-0.04</f>
        <v>3.4999999999999996E-2</v>
      </c>
      <c r="BJ15" s="744"/>
      <c r="BK15" s="738"/>
      <c r="BL15" s="738"/>
      <c r="BM15" s="144"/>
    </row>
    <row r="16" spans="1:65">
      <c r="A16" s="128"/>
      <c r="B16" s="748"/>
      <c r="C16" s="749"/>
      <c r="D16" s="749"/>
      <c r="E16" s="749"/>
      <c r="F16" s="749"/>
      <c r="G16" s="750"/>
      <c r="H16" s="749"/>
      <c r="I16" s="749"/>
      <c r="J16" s="749"/>
      <c r="K16" s="749"/>
      <c r="L16" s="750"/>
      <c r="M16" s="749"/>
      <c r="N16" s="749"/>
      <c r="O16" s="749"/>
      <c r="P16" s="743"/>
      <c r="Q16" s="750"/>
      <c r="R16" s="749"/>
      <c r="S16" s="749"/>
      <c r="T16" s="749"/>
      <c r="U16" s="749"/>
      <c r="V16" s="750"/>
      <c r="W16" s="749"/>
      <c r="X16" s="749"/>
      <c r="Y16" s="749"/>
      <c r="Z16" s="749"/>
      <c r="AA16" s="750"/>
      <c r="AB16" s="749"/>
      <c r="AC16" s="749"/>
      <c r="AD16" s="749"/>
      <c r="AE16" s="749"/>
      <c r="AF16" s="750"/>
      <c r="AG16" s="749"/>
      <c r="AH16" s="749"/>
      <c r="AI16" s="749"/>
      <c r="AJ16" s="749"/>
      <c r="AK16" s="750"/>
      <c r="AL16" s="749"/>
      <c r="AM16" s="749"/>
      <c r="AN16" s="749"/>
      <c r="AO16" s="749"/>
      <c r="AP16" s="750"/>
      <c r="AQ16" s="749"/>
      <c r="AR16" s="749"/>
      <c r="AS16" s="749"/>
      <c r="AT16" s="749"/>
      <c r="AU16" s="750"/>
      <c r="AV16" s="749"/>
      <c r="AW16" s="749"/>
      <c r="AX16" s="749"/>
      <c r="AY16" s="749"/>
      <c r="AZ16" s="750"/>
      <c r="BA16" s="749"/>
      <c r="BB16" s="749"/>
      <c r="BC16" s="749"/>
      <c r="BD16" s="749"/>
      <c r="BE16" s="750"/>
      <c r="BF16" s="749"/>
      <c r="BG16" s="749"/>
      <c r="BH16" s="749"/>
      <c r="BI16" s="749"/>
      <c r="BJ16" s="750"/>
      <c r="BK16" s="751"/>
      <c r="BL16" s="751"/>
      <c r="BM16" s="128"/>
    </row>
    <row r="17" spans="1:65">
      <c r="A17" s="128"/>
      <c r="B17" s="737" t="s">
        <v>272</v>
      </c>
      <c r="C17" s="752"/>
      <c r="D17" s="752"/>
      <c r="E17" s="752"/>
      <c r="F17" s="752"/>
      <c r="G17" s="753"/>
      <c r="H17" s="752"/>
      <c r="I17" s="752"/>
      <c r="J17" s="752"/>
      <c r="K17" s="752"/>
      <c r="L17" s="753"/>
      <c r="M17" s="752"/>
      <c r="N17" s="752"/>
      <c r="O17" s="752"/>
      <c r="P17" s="754"/>
      <c r="Q17" s="755">
        <v>0.9</v>
      </c>
      <c r="R17" s="756" t="s">
        <v>273</v>
      </c>
      <c r="S17" s="756"/>
      <c r="T17" s="756"/>
      <c r="U17" s="756"/>
      <c r="V17" s="753"/>
      <c r="W17" s="757" t="s">
        <v>273</v>
      </c>
      <c r="X17" s="757"/>
      <c r="Y17" s="757"/>
      <c r="Z17" s="757"/>
      <c r="AA17" s="750"/>
      <c r="AB17" s="757" t="s">
        <v>273</v>
      </c>
      <c r="AC17" s="757"/>
      <c r="AD17" s="757"/>
      <c r="AE17" s="757"/>
      <c r="AF17" s="750"/>
      <c r="AG17" s="757"/>
      <c r="AH17" s="757"/>
      <c r="AI17" s="757"/>
      <c r="AJ17" s="757"/>
      <c r="AK17" s="750"/>
      <c r="AL17" s="757"/>
      <c r="AM17" s="757"/>
      <c r="AN17" s="757"/>
      <c r="AO17" s="757"/>
      <c r="AP17" s="750"/>
      <c r="AQ17" s="757"/>
      <c r="AR17" s="757"/>
      <c r="AS17" s="757"/>
      <c r="AT17" s="757"/>
      <c r="AU17" s="750"/>
      <c r="AV17" s="757"/>
      <c r="AW17" s="757"/>
      <c r="AX17" s="757"/>
      <c r="AY17" s="757"/>
      <c r="AZ17" s="750"/>
      <c r="BA17" s="757"/>
      <c r="BB17" s="757"/>
      <c r="BC17" s="757"/>
      <c r="BD17" s="757"/>
      <c r="BE17" s="750"/>
      <c r="BF17" s="757"/>
      <c r="BG17" s="757"/>
      <c r="BH17" s="757"/>
      <c r="BI17" s="757"/>
      <c r="BJ17" s="750"/>
      <c r="BK17" s="751"/>
      <c r="BL17" s="751"/>
      <c r="BM17" s="128"/>
    </row>
    <row r="18" spans="1:65">
      <c r="A18" s="128"/>
      <c r="B18" s="737" t="s">
        <v>274</v>
      </c>
      <c r="C18" s="752"/>
      <c r="D18" s="752"/>
      <c r="E18" s="752"/>
      <c r="F18" s="752"/>
      <c r="G18" s="753"/>
      <c r="H18" s="752"/>
      <c r="I18" s="752"/>
      <c r="J18" s="752"/>
      <c r="K18" s="752"/>
      <c r="L18" s="753"/>
      <c r="M18" s="752"/>
      <c r="N18" s="752"/>
      <c r="O18" s="752"/>
      <c r="P18" s="304"/>
      <c r="Q18" s="755">
        <v>0.1</v>
      </c>
      <c r="R18" s="752"/>
      <c r="S18" s="752"/>
      <c r="T18" s="752"/>
      <c r="U18" s="752"/>
      <c r="V18" s="753"/>
      <c r="W18" s="749"/>
      <c r="X18" s="749"/>
      <c r="Y18" s="749"/>
      <c r="Z18" s="749"/>
      <c r="AA18" s="750"/>
      <c r="AB18" s="749"/>
      <c r="AC18" s="749"/>
      <c r="AD18" s="749"/>
      <c r="AE18" s="749"/>
      <c r="AF18" s="750"/>
      <c r="AG18" s="749"/>
      <c r="AH18" s="749"/>
      <c r="AI18" s="749"/>
      <c r="AJ18" s="749"/>
      <c r="AK18" s="750"/>
      <c r="AL18" s="749"/>
      <c r="AM18" s="749"/>
      <c r="AN18" s="749"/>
      <c r="AO18" s="749"/>
      <c r="AP18" s="750"/>
      <c r="AQ18" s="749"/>
      <c r="AR18" s="749"/>
      <c r="AS18" s="749"/>
      <c r="AT18" s="749"/>
      <c r="AU18" s="750"/>
      <c r="AV18" s="749"/>
      <c r="AW18" s="749"/>
      <c r="AX18" s="749"/>
      <c r="AY18" s="749"/>
      <c r="AZ18" s="750"/>
      <c r="BA18" s="749"/>
      <c r="BB18" s="749"/>
      <c r="BC18" s="749"/>
      <c r="BD18" s="749"/>
      <c r="BE18" s="750"/>
      <c r="BF18" s="749"/>
      <c r="BG18" s="749"/>
      <c r="BH18" s="749"/>
      <c r="BI18" s="749"/>
      <c r="BJ18" s="750"/>
      <c r="BK18" s="751"/>
      <c r="BL18" s="751"/>
      <c r="BM18" s="128"/>
    </row>
    <row r="19" spans="1:65">
      <c r="A19" s="128"/>
      <c r="B19" s="737"/>
      <c r="C19" s="752"/>
      <c r="D19" s="752"/>
      <c r="E19" s="752"/>
      <c r="F19" s="752"/>
      <c r="G19" s="753"/>
      <c r="H19" s="752"/>
      <c r="I19" s="752"/>
      <c r="J19" s="752"/>
      <c r="K19" s="752"/>
      <c r="L19" s="753"/>
      <c r="M19" s="752"/>
      <c r="N19" s="752"/>
      <c r="O19" s="752"/>
      <c r="P19" s="304"/>
      <c r="Q19" s="753"/>
      <c r="R19" s="752"/>
      <c r="S19" s="752"/>
      <c r="T19" s="752"/>
      <c r="U19" s="752"/>
      <c r="V19" s="753"/>
      <c r="W19" s="749"/>
      <c r="X19" s="749"/>
      <c r="Y19" s="749"/>
      <c r="Z19" s="749"/>
      <c r="AA19" s="750"/>
      <c r="AB19" s="749"/>
      <c r="AC19" s="749"/>
      <c r="AD19" s="749"/>
      <c r="AE19" s="749"/>
      <c r="AF19" s="750"/>
      <c r="AG19" s="749"/>
      <c r="AH19" s="749"/>
      <c r="AI19" s="749"/>
      <c r="AJ19" s="749"/>
      <c r="AK19" s="750"/>
      <c r="AL19" s="749"/>
      <c r="AM19" s="749"/>
      <c r="AN19" s="749"/>
      <c r="AO19" s="749"/>
      <c r="AP19" s="750"/>
      <c r="AQ19" s="749"/>
      <c r="AR19" s="749"/>
      <c r="AS19" s="749"/>
      <c r="AT19" s="749"/>
      <c r="AU19" s="750"/>
      <c r="AV19" s="749"/>
      <c r="AW19" s="749"/>
      <c r="AX19" s="749"/>
      <c r="AY19" s="749"/>
      <c r="AZ19" s="750"/>
      <c r="BA19" s="749"/>
      <c r="BB19" s="749"/>
      <c r="BC19" s="749"/>
      <c r="BD19" s="749"/>
      <c r="BE19" s="750"/>
      <c r="BF19" s="749"/>
      <c r="BG19" s="749"/>
      <c r="BH19" s="749"/>
      <c r="BI19" s="749"/>
      <c r="BJ19" s="750"/>
      <c r="BK19" s="751"/>
      <c r="BL19" s="751"/>
      <c r="BM19" s="128"/>
    </row>
    <row r="20" spans="1:65">
      <c r="A20" s="128"/>
      <c r="B20" s="739" t="s">
        <v>275</v>
      </c>
      <c r="C20" s="754">
        <f>+C8/C11</f>
        <v>5.4403244495944386E-2</v>
      </c>
      <c r="D20" s="754">
        <f>+D8/D11</f>
        <v>5.9866844207723036E-2</v>
      </c>
      <c r="E20" s="754">
        <f>+E8/E11</f>
        <v>6.0698346022578099E-2</v>
      </c>
      <c r="F20" s="754">
        <f>+F8/F11</f>
        <v>5.6036972848064713E-2</v>
      </c>
      <c r="G20" s="758">
        <f>+G8/G11</f>
        <v>5.7783578547698146E-2</v>
      </c>
      <c r="H20" s="754">
        <f t="shared" ref="H20:AI20" si="3">+H8/H11</f>
        <v>5.5117707267144322E-2</v>
      </c>
      <c r="I20" s="754">
        <f t="shared" si="3"/>
        <v>5.8423522651087065E-2</v>
      </c>
      <c r="J20" s="754">
        <f t="shared" si="3"/>
        <v>5.9151996971417757E-2</v>
      </c>
      <c r="K20" s="754">
        <f t="shared" si="3"/>
        <v>5.6532555546023849E-2</v>
      </c>
      <c r="L20" s="758">
        <f t="shared" si="3"/>
        <v>5.7324315407456292E-2</v>
      </c>
      <c r="M20" s="754">
        <f t="shared" si="3"/>
        <v>5.3012268815235304E-2</v>
      </c>
      <c r="N20" s="754">
        <f t="shared" si="3"/>
        <v>5.9970912824022574E-2</v>
      </c>
      <c r="O20" s="754">
        <f t="shared" si="3"/>
        <v>5.8852992737290256E-2</v>
      </c>
      <c r="P20" s="754">
        <f t="shared" si="3"/>
        <v>6.2663673774784892E-2</v>
      </c>
      <c r="Q20" s="758">
        <f>+Q8/Q11</f>
        <v>5.8857262016473774E-2</v>
      </c>
      <c r="R20" s="754">
        <f t="shared" si="3"/>
        <v>6.1891509433962266E-2</v>
      </c>
      <c r="S20" s="754">
        <f t="shared" si="3"/>
        <v>5.8569678914266794E-2</v>
      </c>
      <c r="T20" s="754">
        <f t="shared" si="3"/>
        <v>5.8101739415818837E-2</v>
      </c>
      <c r="U20" s="754">
        <f t="shared" si="3"/>
        <v>5.7087878787878785E-2</v>
      </c>
      <c r="V20" s="758">
        <f t="shared" si="3"/>
        <v>5.8748908663532572E-2</v>
      </c>
      <c r="W20" s="754">
        <f t="shared" si="3"/>
        <v>6.1347422350304194E-2</v>
      </c>
      <c r="X20" s="754">
        <f t="shared" si="3"/>
        <v>6.4413993278337911E-2</v>
      </c>
      <c r="Y20" s="754">
        <f t="shared" si="3"/>
        <v>6.2695964125560541E-2</v>
      </c>
      <c r="Z20" s="754">
        <f t="shared" si="3"/>
        <v>6.2795378619153672E-2</v>
      </c>
      <c r="AA20" s="758">
        <f t="shared" si="3"/>
        <v>6.2828620715517883E-2</v>
      </c>
      <c r="AB20" s="754">
        <f t="shared" si="3"/>
        <v>6.203202416918429E-2</v>
      </c>
      <c r="AC20" s="754">
        <f t="shared" si="3"/>
        <v>6.3521469218830839E-2</v>
      </c>
      <c r="AD20" s="754">
        <f t="shared" si="3"/>
        <v>6.7678717598908603E-2</v>
      </c>
      <c r="AE20" s="754">
        <f t="shared" si="3"/>
        <v>6.7850437379987194E-2</v>
      </c>
      <c r="AF20" s="758">
        <f t="shared" si="3"/>
        <v>6.5590431092798704E-2</v>
      </c>
      <c r="AG20" s="754">
        <f t="shared" si="3"/>
        <v>6.5959155888359433E-2</v>
      </c>
      <c r="AH20" s="754">
        <f t="shared" si="3"/>
        <v>7.1161494616846108E-2</v>
      </c>
      <c r="AI20" s="754">
        <f t="shared" si="3"/>
        <v>7.2712629137676565E-2</v>
      </c>
      <c r="AJ20" s="754">
        <f t="shared" ref="AJ20:AP20" si="4">+AJ8/AJ11</f>
        <v>7.1558359621451101E-2</v>
      </c>
      <c r="AK20" s="758">
        <f t="shared" si="4"/>
        <v>7.0446437048367533E-2</v>
      </c>
      <c r="AL20" s="754">
        <f t="shared" si="4"/>
        <v>7.0403548586754683E-2</v>
      </c>
      <c r="AM20" s="754">
        <f t="shared" si="4"/>
        <v>7.520810705973624E-2</v>
      </c>
      <c r="AN20" s="754">
        <f t="shared" si="4"/>
        <v>7.7163136805953061E-2</v>
      </c>
      <c r="AO20" s="754">
        <f t="shared" si="4"/>
        <v>7.2219926457713177E-2</v>
      </c>
      <c r="AP20" s="758">
        <f t="shared" si="4"/>
        <v>7.3771367215461695E-2</v>
      </c>
      <c r="AQ20" s="754">
        <f>+AQ8/AQ11</f>
        <v>7.2250889346564318E-2</v>
      </c>
      <c r="AR20" s="754">
        <f>+AR8/AR11</f>
        <v>7.9172043010752688E-2</v>
      </c>
      <c r="AS20" s="754">
        <f>+AS8/AS11</f>
        <v>8.2210978603998591E-2</v>
      </c>
      <c r="AT20" s="754">
        <f>+AT8/AT11</f>
        <v>8.0177748300447688E-2</v>
      </c>
      <c r="AU20" s="758">
        <f>+AU8/AU11</f>
        <v>7.8575372576603505E-2</v>
      </c>
      <c r="AV20" s="754">
        <f>+AQ20*(1+AV21)</f>
        <v>7.4960297697060488E-2</v>
      </c>
      <c r="AW20" s="754">
        <f>+AR20*(1+AW21)</f>
        <v>8.2734784946236553E-2</v>
      </c>
      <c r="AX20" s="754">
        <f>+AS20*(1+AX21)</f>
        <v>8.5910472641178529E-2</v>
      </c>
      <c r="AY20" s="754">
        <f>+AT20*(1+AY21)</f>
        <v>8.3785746973967831E-2</v>
      </c>
      <c r="AZ20" s="758">
        <f>+AZ8/AZ11</f>
        <v>8.198236579513403E-2</v>
      </c>
      <c r="BA20" s="754">
        <f>+AV20*(1+BA21)</f>
        <v>7.7209106627972299E-2</v>
      </c>
      <c r="BB20" s="754">
        <f>+AW20*(1+BB21)</f>
        <v>8.3975806720430091E-2</v>
      </c>
      <c r="BC20" s="754">
        <f>+AX20*(1+BC21)</f>
        <v>8.7199129730796202E-2</v>
      </c>
      <c r="BD20" s="754">
        <f>+AY20*(1+BD21)</f>
        <v>8.5042533178577337E-2</v>
      </c>
      <c r="BE20" s="758">
        <f>+BE8/BE11</f>
        <v>8.344076434441218E-2</v>
      </c>
      <c r="BF20" s="754">
        <f>+BA20*(1+BF21)</f>
        <v>7.8174220460821953E-2</v>
      </c>
      <c r="BG20" s="754">
        <f>+BB20*(1+BG21)</f>
        <v>8.5025504304435465E-2</v>
      </c>
      <c r="BH20" s="754">
        <f>+BC20*(1+BH21)</f>
        <v>8.8289118852431153E-2</v>
      </c>
      <c r="BI20" s="754">
        <f>+BD20*(1+BI21)</f>
        <v>8.6105564843309557E-2</v>
      </c>
      <c r="BJ20" s="758">
        <f>+BJ8/BJ11</f>
        <v>8.4483773898717321E-2</v>
      </c>
      <c r="BK20" s="759"/>
      <c r="BL20" s="759"/>
      <c r="BM20" s="128"/>
    </row>
    <row r="21" spans="1:65">
      <c r="A21" s="128"/>
      <c r="B21" s="737" t="s">
        <v>16</v>
      </c>
      <c r="C21" s="752"/>
      <c r="D21" s="752"/>
      <c r="E21" s="752"/>
      <c r="F21" s="752"/>
      <c r="G21" s="753"/>
      <c r="H21" s="304">
        <f t="shared" ref="H21:AT21" si="5">+H20/C20-1</f>
        <v>1.3132723568595184E-2</v>
      </c>
      <c r="I21" s="304">
        <f t="shared" si="5"/>
        <v>-2.4108863190249408E-2</v>
      </c>
      <c r="J21" s="304">
        <f t="shared" si="5"/>
        <v>-2.547596685064768E-2</v>
      </c>
      <c r="K21" s="304">
        <f t="shared" si="5"/>
        <v>8.843852063580071E-3</v>
      </c>
      <c r="L21" s="177">
        <f t="shared" si="5"/>
        <v>-7.9479871580253603E-3</v>
      </c>
      <c r="M21" s="304">
        <f t="shared" si="5"/>
        <v>-3.8198948328971416E-2</v>
      </c>
      <c r="N21" s="304">
        <f t="shared" si="5"/>
        <v>2.6485739009212583E-2</v>
      </c>
      <c r="O21" s="304">
        <f t="shared" si="5"/>
        <v>-5.0548459804659052E-3</v>
      </c>
      <c r="P21" s="304">
        <f t="shared" si="5"/>
        <v>0.10845287586140739</v>
      </c>
      <c r="Q21" s="177">
        <f t="shared" si="5"/>
        <v>2.6741647032701987E-2</v>
      </c>
      <c r="R21" s="304">
        <f t="shared" si="5"/>
        <v>0.1674940691498028</v>
      </c>
      <c r="S21" s="304">
        <f t="shared" si="5"/>
        <v>-2.3365225636426956E-2</v>
      </c>
      <c r="T21" s="304">
        <f t="shared" si="5"/>
        <v>-1.2764912819725027E-2</v>
      </c>
      <c r="U21" s="304">
        <f t="shared" si="5"/>
        <v>-8.8979701492537422E-2</v>
      </c>
      <c r="V21" s="177">
        <f t="shared" si="5"/>
        <v>-1.8409512985988474E-3</v>
      </c>
      <c r="W21" s="304">
        <f t="shared" si="5"/>
        <v>-8.7909810026302049E-3</v>
      </c>
      <c r="X21" s="304">
        <f t="shared" si="5"/>
        <v>9.9783957713442728E-2</v>
      </c>
      <c r="Y21" s="304">
        <f t="shared" si="5"/>
        <v>7.9072068339676616E-2</v>
      </c>
      <c r="Z21" s="304">
        <f t="shared" si="5"/>
        <v>9.9977437460624818E-2</v>
      </c>
      <c r="AA21" s="177">
        <f t="shared" si="5"/>
        <v>6.9443197240491417E-2</v>
      </c>
      <c r="AB21" s="304">
        <f t="shared" si="5"/>
        <v>1.1159422721477963E-2</v>
      </c>
      <c r="AC21" s="304">
        <f t="shared" si="5"/>
        <v>-1.3856058506579561E-2</v>
      </c>
      <c r="AD21" s="304">
        <f t="shared" si="5"/>
        <v>7.9474868005365629E-2</v>
      </c>
      <c r="AE21" s="304">
        <f t="shared" si="5"/>
        <v>8.0500490195175578E-2</v>
      </c>
      <c r="AF21" s="177">
        <f>+AF20/AA20-1</f>
        <v>4.3957838733815979E-2</v>
      </c>
      <c r="AG21" s="304">
        <f t="shared" si="5"/>
        <v>6.3308134335007482E-2</v>
      </c>
      <c r="AH21" s="304">
        <f t="shared" si="5"/>
        <v>0.12027469597240348</v>
      </c>
      <c r="AI21" s="304">
        <f t="shared" si="5"/>
        <v>7.4379534916736434E-2</v>
      </c>
      <c r="AJ21" s="304">
        <f t="shared" si="5"/>
        <v>5.4648464838895405E-2</v>
      </c>
      <c r="AK21" s="177">
        <f t="shared" si="5"/>
        <v>7.4035280370370549E-2</v>
      </c>
      <c r="AL21" s="304">
        <f t="shared" si="5"/>
        <v>6.7380982041639559E-2</v>
      </c>
      <c r="AM21" s="304">
        <f t="shared" si="5"/>
        <v>5.6865197459359917E-2</v>
      </c>
      <c r="AN21" s="304">
        <f t="shared" si="5"/>
        <v>6.1206804389506431E-2</v>
      </c>
      <c r="AO21" s="304">
        <f t="shared" si="5"/>
        <v>9.245136972980017E-3</v>
      </c>
      <c r="AP21" s="177">
        <f>+AP20/AK20-1</f>
        <v>4.7197989087955028E-2</v>
      </c>
      <c r="AQ21" s="304">
        <f t="shared" si="5"/>
        <v>2.6239313172307765E-2</v>
      </c>
      <c r="AR21" s="304">
        <f t="shared" si="5"/>
        <v>5.2706232160157684E-2</v>
      </c>
      <c r="AS21" s="304">
        <f t="shared" si="5"/>
        <v>6.5417788946808164E-2</v>
      </c>
      <c r="AT21" s="304">
        <f t="shared" si="5"/>
        <v>0.11018872813992742</v>
      </c>
      <c r="AU21" s="177">
        <f>+AU20/AP20-1</f>
        <v>6.5120188800499079E-2</v>
      </c>
      <c r="AV21" s="208">
        <f>CHOOSE(_Switch,AV22,AV23,AV24)</f>
        <v>3.7499999999999999E-2</v>
      </c>
      <c r="AW21" s="208">
        <f>CHOOSE(_Switch,AW22,AW23,AW24)</f>
        <v>4.4999999999999998E-2</v>
      </c>
      <c r="AX21" s="208">
        <f>CHOOSE(_Switch,AX22,AX23,AX24)</f>
        <v>4.4999999999999998E-2</v>
      </c>
      <c r="AY21" s="208">
        <f>CHOOSE(_Switch,AY22,AY23,AY24)</f>
        <v>4.4999999999999998E-2</v>
      </c>
      <c r="AZ21" s="177">
        <f>+AZ20/AU20-1</f>
        <v>4.3359555377342041E-2</v>
      </c>
      <c r="BA21" s="208">
        <f>CHOOSE(_Switch,BA22,BA23,BA24)</f>
        <v>0.03</v>
      </c>
      <c r="BB21" s="208">
        <f>CHOOSE(_Switch,BB22,BB23,BB24)</f>
        <v>1.4999999999999999E-2</v>
      </c>
      <c r="BC21" s="208">
        <f>CHOOSE(_Switch,BC22,BC23,BC24)</f>
        <v>1.4999999999999999E-2</v>
      </c>
      <c r="BD21" s="208">
        <f>CHOOSE(_Switch,BD22,BD23,BD24)</f>
        <v>1.4999999999999999E-2</v>
      </c>
      <c r="BE21" s="177">
        <f>+BE20/AZ20-1</f>
        <v>1.7789173746492581E-2</v>
      </c>
      <c r="BF21" s="208">
        <f>CHOOSE(_Switch,BF22,BF23,BF24)</f>
        <v>1.2500000000000001E-2</v>
      </c>
      <c r="BG21" s="208">
        <f>CHOOSE(_Switch,BG22,BG23,BG24)</f>
        <v>1.2500000000000001E-2</v>
      </c>
      <c r="BH21" s="208">
        <f>CHOOSE(_Switch,BH22,BH23,BH24)</f>
        <v>1.2500000000000001E-2</v>
      </c>
      <c r="BI21" s="208">
        <f>CHOOSE(_Switch,BI22,BI23,BI24)</f>
        <v>1.2500000000000001E-2</v>
      </c>
      <c r="BJ21" s="177">
        <f>+BJ20/BE20-1</f>
        <v>1.2499999999999956E-2</v>
      </c>
      <c r="BK21" s="760"/>
      <c r="BL21" s="760"/>
      <c r="BM21" s="128"/>
    </row>
    <row r="22" spans="1:65" outlineLevel="1">
      <c r="A22" s="128"/>
      <c r="B22" s="209" t="s">
        <v>93</v>
      </c>
      <c r="C22" s="749"/>
      <c r="D22" s="749"/>
      <c r="E22" s="749"/>
      <c r="F22" s="749"/>
      <c r="G22" s="750"/>
      <c r="H22" s="743"/>
      <c r="I22" s="743"/>
      <c r="J22" s="743"/>
      <c r="K22" s="743"/>
      <c r="L22" s="750"/>
      <c r="M22" s="743"/>
      <c r="N22" s="743"/>
      <c r="O22" s="743"/>
      <c r="P22" s="743"/>
      <c r="Q22" s="761"/>
      <c r="R22" s="743"/>
      <c r="S22" s="743"/>
      <c r="T22" s="743"/>
      <c r="U22" s="743"/>
      <c r="V22" s="761"/>
      <c r="W22" s="743"/>
      <c r="X22" s="738"/>
      <c r="Y22" s="738"/>
      <c r="Z22" s="738"/>
      <c r="AA22" s="761"/>
      <c r="AB22" s="738"/>
      <c r="AC22" s="208"/>
      <c r="AD22" s="208"/>
      <c r="AE22" s="745"/>
      <c r="AF22" s="761"/>
      <c r="AG22" s="738"/>
      <c r="AH22" s="738"/>
      <c r="AI22" s="745"/>
      <c r="AJ22" s="745"/>
      <c r="AK22" s="761"/>
      <c r="AL22" s="745"/>
      <c r="AM22" s="745"/>
      <c r="AN22" s="745"/>
      <c r="AO22" s="745"/>
      <c r="AP22" s="761"/>
      <c r="AQ22" s="745"/>
      <c r="AR22" s="745"/>
      <c r="AS22" s="745"/>
      <c r="AT22" s="745"/>
      <c r="AU22" s="761"/>
      <c r="AV22" s="746">
        <f>+AV23+0.01</f>
        <v>4.7500000000000001E-2</v>
      </c>
      <c r="AW22" s="746">
        <f>+AW23+0.01</f>
        <v>5.5E-2</v>
      </c>
      <c r="AX22" s="746">
        <f>+AX23+0.01</f>
        <v>5.5E-2</v>
      </c>
      <c r="AY22" s="746">
        <f>+AY23+0.01</f>
        <v>5.5E-2</v>
      </c>
      <c r="AZ22" s="761"/>
      <c r="BA22" s="746">
        <f>+BA23+0.01</f>
        <v>0.04</v>
      </c>
      <c r="BB22" s="746">
        <f>+BB23+0.01</f>
        <v>2.5000000000000001E-2</v>
      </c>
      <c r="BC22" s="746">
        <f>+BC23+0.01</f>
        <v>2.5000000000000001E-2</v>
      </c>
      <c r="BD22" s="746">
        <f>+BD23+0.01</f>
        <v>2.5000000000000001E-2</v>
      </c>
      <c r="BE22" s="761"/>
      <c r="BF22" s="746">
        <f>+BF23+0.01</f>
        <v>2.2499999999999999E-2</v>
      </c>
      <c r="BG22" s="746">
        <f>+BG23+0.01</f>
        <v>2.2499999999999999E-2</v>
      </c>
      <c r="BH22" s="746">
        <f>+BH23+0.01</f>
        <v>2.2499999999999999E-2</v>
      </c>
      <c r="BI22" s="746">
        <f>+BI23+0.01</f>
        <v>2.2499999999999999E-2</v>
      </c>
      <c r="BJ22" s="761"/>
      <c r="BK22" s="760"/>
      <c r="BL22" s="760"/>
      <c r="BM22" s="128"/>
    </row>
    <row r="23" spans="1:65" outlineLevel="1">
      <c r="A23" s="128"/>
      <c r="B23" s="209" t="s">
        <v>94</v>
      </c>
      <c r="C23" s="749"/>
      <c r="D23" s="749"/>
      <c r="E23" s="749"/>
      <c r="F23" s="749"/>
      <c r="G23" s="750"/>
      <c r="H23" s="743"/>
      <c r="I23" s="743"/>
      <c r="J23" s="743"/>
      <c r="K23" s="743"/>
      <c r="L23" s="750"/>
      <c r="M23" s="743"/>
      <c r="N23" s="743"/>
      <c r="O23" s="743"/>
      <c r="P23" s="743"/>
      <c r="Q23" s="761"/>
      <c r="R23" s="743"/>
      <c r="S23" s="743"/>
      <c r="T23" s="743"/>
      <c r="U23" s="743"/>
      <c r="V23" s="761"/>
      <c r="W23" s="743"/>
      <c r="X23" s="738"/>
      <c r="Y23" s="738"/>
      <c r="Z23" s="738"/>
      <c r="AA23" s="761"/>
      <c r="AB23" s="738"/>
      <c r="AC23" s="208"/>
      <c r="AD23" s="208"/>
      <c r="AE23" s="745"/>
      <c r="AF23" s="761"/>
      <c r="AG23" s="738"/>
      <c r="AH23" s="738"/>
      <c r="AI23" s="745"/>
      <c r="AJ23" s="745"/>
      <c r="AK23" s="761"/>
      <c r="AL23" s="745"/>
      <c r="AM23" s="745"/>
      <c r="AN23" s="745"/>
      <c r="AO23" s="745"/>
      <c r="AP23" s="761"/>
      <c r="AQ23" s="745"/>
      <c r="AR23" s="745"/>
      <c r="AS23" s="745"/>
      <c r="AT23" s="745"/>
      <c r="AU23" s="761"/>
      <c r="AV23" s="746">
        <v>3.7499999999999999E-2</v>
      </c>
      <c r="AW23" s="746">
        <v>4.4999999999999998E-2</v>
      </c>
      <c r="AX23" s="746">
        <f>+AW23</f>
        <v>4.4999999999999998E-2</v>
      </c>
      <c r="AY23" s="746">
        <f>+AX23</f>
        <v>4.4999999999999998E-2</v>
      </c>
      <c r="AZ23" s="761"/>
      <c r="BA23" s="746">
        <v>0.03</v>
      </c>
      <c r="BB23" s="746">
        <v>1.4999999999999999E-2</v>
      </c>
      <c r="BC23" s="746">
        <f>+BB23</f>
        <v>1.4999999999999999E-2</v>
      </c>
      <c r="BD23" s="746">
        <f>+BC23</f>
        <v>1.4999999999999999E-2</v>
      </c>
      <c r="BE23" s="761"/>
      <c r="BF23" s="746">
        <v>1.2500000000000001E-2</v>
      </c>
      <c r="BG23" s="746">
        <f>+BF23</f>
        <v>1.2500000000000001E-2</v>
      </c>
      <c r="BH23" s="746">
        <f>+BG23</f>
        <v>1.2500000000000001E-2</v>
      </c>
      <c r="BI23" s="746">
        <f>+BH23</f>
        <v>1.2500000000000001E-2</v>
      </c>
      <c r="BJ23" s="761"/>
      <c r="BK23" s="760"/>
      <c r="BL23" s="760"/>
      <c r="BM23" s="128"/>
    </row>
    <row r="24" spans="1:65" outlineLevel="1">
      <c r="A24" s="762"/>
      <c r="B24" s="209" t="s">
        <v>95</v>
      </c>
      <c r="C24" s="749"/>
      <c r="D24" s="749"/>
      <c r="E24" s="749"/>
      <c r="F24" s="749"/>
      <c r="G24" s="750"/>
      <c r="H24" s="743"/>
      <c r="I24" s="743"/>
      <c r="J24" s="743"/>
      <c r="K24" s="743"/>
      <c r="L24" s="750"/>
      <c r="M24" s="743"/>
      <c r="N24" s="743"/>
      <c r="O24" s="743"/>
      <c r="P24" s="743"/>
      <c r="Q24" s="761"/>
      <c r="R24" s="743"/>
      <c r="S24" s="743"/>
      <c r="T24" s="743"/>
      <c r="U24" s="743"/>
      <c r="V24" s="761"/>
      <c r="W24" s="743"/>
      <c r="X24" s="738"/>
      <c r="Y24" s="738"/>
      <c r="Z24" s="738"/>
      <c r="AA24" s="761"/>
      <c r="AB24" s="738"/>
      <c r="AC24" s="208"/>
      <c r="AD24" s="208"/>
      <c r="AE24" s="745"/>
      <c r="AF24" s="761"/>
      <c r="AG24" s="738"/>
      <c r="AH24" s="738"/>
      <c r="AI24" s="745"/>
      <c r="AJ24" s="745"/>
      <c r="AK24" s="761"/>
      <c r="AL24" s="745"/>
      <c r="AM24" s="745"/>
      <c r="AN24" s="745"/>
      <c r="AO24" s="745"/>
      <c r="AP24" s="761"/>
      <c r="AQ24" s="745"/>
      <c r="AR24" s="745"/>
      <c r="AS24" s="745"/>
      <c r="AT24" s="745"/>
      <c r="AU24" s="761"/>
      <c r="AV24" s="746">
        <f>+AV23-0.005</f>
        <v>3.2500000000000001E-2</v>
      </c>
      <c r="AW24" s="746">
        <f>+AW23-0.005</f>
        <v>0.04</v>
      </c>
      <c r="AX24" s="746">
        <f>+AX23-0.005</f>
        <v>0.04</v>
      </c>
      <c r="AY24" s="746">
        <f>+AY23-0.005</f>
        <v>0.04</v>
      </c>
      <c r="AZ24" s="761"/>
      <c r="BA24" s="746">
        <f>+BA23-0.005</f>
        <v>2.4999999999999998E-2</v>
      </c>
      <c r="BB24" s="746">
        <f>+BB23-0.005</f>
        <v>9.9999999999999985E-3</v>
      </c>
      <c r="BC24" s="746">
        <f>+BC23-0.005</f>
        <v>9.9999999999999985E-3</v>
      </c>
      <c r="BD24" s="746">
        <f>+BD23-0.005</f>
        <v>9.9999999999999985E-3</v>
      </c>
      <c r="BE24" s="761"/>
      <c r="BF24" s="746">
        <f>+BF23-0.005</f>
        <v>7.5000000000000006E-3</v>
      </c>
      <c r="BG24" s="746">
        <f>+BG23-0.005</f>
        <v>7.5000000000000006E-3</v>
      </c>
      <c r="BH24" s="746">
        <f>+BH23-0.005</f>
        <v>7.5000000000000006E-3</v>
      </c>
      <c r="BI24" s="746">
        <f>+BI23-0.005</f>
        <v>7.5000000000000006E-3</v>
      </c>
      <c r="BJ24" s="761"/>
      <c r="BK24" s="760"/>
      <c r="BL24" s="760"/>
      <c r="BM24" s="128"/>
    </row>
    <row r="25" spans="1:65">
      <c r="A25" s="763"/>
      <c r="B25" s="748"/>
      <c r="C25" s="764"/>
      <c r="D25" s="764"/>
      <c r="E25" s="764"/>
      <c r="F25" s="764"/>
      <c r="G25" s="765"/>
      <c r="H25" s="764"/>
      <c r="I25" s="764"/>
      <c r="J25" s="764"/>
      <c r="K25" s="764"/>
      <c r="L25" s="765"/>
      <c r="M25" s="764"/>
      <c r="N25" s="764"/>
      <c r="O25" s="764"/>
      <c r="P25" s="764"/>
      <c r="Q25" s="765"/>
      <c r="R25" s="764"/>
      <c r="S25" s="764"/>
      <c r="T25" s="764"/>
      <c r="U25" s="764"/>
      <c r="V25" s="765"/>
      <c r="W25" s="764"/>
      <c r="X25" s="764"/>
      <c r="Y25" s="764"/>
      <c r="Z25" s="764"/>
      <c r="AA25" s="765"/>
      <c r="AB25" s="764"/>
      <c r="AC25" s="764"/>
      <c r="AD25" s="764"/>
      <c r="AE25" s="764"/>
      <c r="AF25" s="765"/>
      <c r="AG25" s="764"/>
      <c r="AH25" s="764"/>
      <c r="AI25" s="764"/>
      <c r="AJ25" s="764"/>
      <c r="AK25" s="765"/>
      <c r="AL25" s="764"/>
      <c r="AM25" s="764"/>
      <c r="AN25" s="764"/>
      <c r="AO25" s="764"/>
      <c r="AP25" s="765"/>
      <c r="AQ25" s="764"/>
      <c r="AR25" s="764"/>
      <c r="AS25" s="764"/>
      <c r="AT25" s="764"/>
      <c r="AU25" s="765"/>
      <c r="AV25" s="764"/>
      <c r="AW25" s="764"/>
      <c r="AX25" s="764"/>
      <c r="AY25" s="764"/>
      <c r="AZ25" s="765"/>
      <c r="BA25" s="764"/>
      <c r="BB25" s="764"/>
      <c r="BC25" s="764"/>
      <c r="BD25" s="764"/>
      <c r="BE25" s="765"/>
      <c r="BF25" s="764"/>
      <c r="BG25" s="764"/>
      <c r="BH25" s="764"/>
      <c r="BI25" s="764"/>
      <c r="BJ25" s="765"/>
      <c r="BK25" s="162"/>
      <c r="BL25" s="162"/>
      <c r="BM25" s="144"/>
    </row>
    <row r="26" spans="1:65">
      <c r="A26" s="763"/>
      <c r="B26" s="748"/>
      <c r="C26" s="743"/>
      <c r="D26" s="743"/>
      <c r="E26" s="743"/>
      <c r="F26" s="743"/>
      <c r="G26" s="161"/>
      <c r="H26" s="743"/>
      <c r="I26" s="743"/>
      <c r="J26" s="743"/>
      <c r="K26" s="743"/>
      <c r="L26" s="161"/>
      <c r="M26" s="743"/>
      <c r="N26" s="743"/>
      <c r="O26" s="743"/>
      <c r="P26" s="743"/>
      <c r="Q26" s="161"/>
      <c r="R26" s="743"/>
      <c r="S26" s="743"/>
      <c r="T26" s="743"/>
      <c r="U26" s="743"/>
      <c r="V26" s="161"/>
      <c r="W26" s="743"/>
      <c r="X26" s="743"/>
      <c r="Y26" s="743"/>
      <c r="Z26" s="743"/>
      <c r="AA26" s="161"/>
      <c r="AB26" s="743"/>
      <c r="AC26" s="743"/>
      <c r="AD26" s="743"/>
      <c r="AE26" s="743"/>
      <c r="AF26" s="161"/>
      <c r="AG26" s="743"/>
      <c r="AH26" s="743"/>
      <c r="AI26" s="743"/>
      <c r="AJ26" s="743"/>
      <c r="AK26" s="161"/>
      <c r="AL26" s="743"/>
      <c r="AM26" s="743"/>
      <c r="AN26" s="743"/>
      <c r="AO26" s="743"/>
      <c r="AP26" s="161"/>
      <c r="AQ26" s="743"/>
      <c r="AR26" s="743"/>
      <c r="AS26" s="743"/>
      <c r="AT26" s="743"/>
      <c r="AU26" s="161"/>
      <c r="AV26" s="743"/>
      <c r="AW26" s="743"/>
      <c r="AX26" s="743"/>
      <c r="AY26" s="743"/>
      <c r="AZ26" s="161"/>
      <c r="BA26" s="743"/>
      <c r="BB26" s="743"/>
      <c r="BC26" s="743"/>
      <c r="BD26" s="743"/>
      <c r="BE26" s="161"/>
      <c r="BF26" s="743"/>
      <c r="BG26" s="743"/>
      <c r="BH26" s="743"/>
      <c r="BI26" s="743"/>
      <c r="BJ26" s="161"/>
      <c r="BK26" s="162"/>
      <c r="BL26" s="162"/>
      <c r="BM26" s="144"/>
    </row>
    <row r="27" spans="1:65">
      <c r="A27" s="763"/>
      <c r="B27" s="730" t="s">
        <v>428</v>
      </c>
      <c r="C27" s="731"/>
      <c r="D27" s="731"/>
      <c r="E27" s="731"/>
      <c r="F27" s="731"/>
      <c r="G27" s="732"/>
      <c r="H27" s="731"/>
      <c r="I27" s="731"/>
      <c r="J27" s="731"/>
      <c r="K27" s="743"/>
      <c r="L27" s="161"/>
      <c r="M27" s="743"/>
      <c r="N27" s="743"/>
      <c r="O27" s="743"/>
      <c r="P27" s="743"/>
      <c r="Q27" s="161"/>
      <c r="R27" s="743"/>
      <c r="S27" s="743"/>
      <c r="T27" s="743"/>
      <c r="U27" s="743"/>
      <c r="V27" s="161"/>
      <c r="W27" s="743"/>
      <c r="X27" s="743"/>
      <c r="Y27" s="743"/>
      <c r="Z27" s="743"/>
      <c r="AA27" s="161"/>
      <c r="AB27" s="743"/>
      <c r="AC27" s="743"/>
      <c r="AD27" s="743"/>
      <c r="AE27" s="743"/>
      <c r="AF27" s="161"/>
      <c r="AG27" s="743"/>
      <c r="AH27" s="743"/>
      <c r="AI27" s="743"/>
      <c r="AJ27" s="743"/>
      <c r="AK27" s="161"/>
      <c r="AL27" s="743"/>
      <c r="AM27" s="743"/>
      <c r="AN27" s="743"/>
      <c r="AO27" s="743"/>
      <c r="AP27" s="161"/>
      <c r="AQ27" s="743"/>
      <c r="AR27" s="743"/>
      <c r="AS27" s="743"/>
      <c r="AT27" s="743"/>
      <c r="AU27" s="161"/>
      <c r="AV27" s="743"/>
      <c r="AW27" s="743"/>
      <c r="AX27" s="743"/>
      <c r="AY27" s="743"/>
      <c r="AZ27" s="161"/>
      <c r="BA27" s="743"/>
      <c r="BB27" s="743"/>
      <c r="BC27" s="743"/>
      <c r="BD27" s="743"/>
      <c r="BE27" s="161"/>
      <c r="BF27" s="743"/>
      <c r="BG27" s="743"/>
      <c r="BH27" s="743"/>
      <c r="BI27" s="743"/>
      <c r="BJ27" s="161"/>
      <c r="BK27" s="162"/>
      <c r="BL27" s="162"/>
      <c r="BM27" s="144"/>
    </row>
    <row r="28" spans="1:65">
      <c r="A28" s="763"/>
      <c r="B28" s="735" t="s">
        <v>270</v>
      </c>
      <c r="C28" s="262">
        <v>93.9</v>
      </c>
      <c r="D28" s="262">
        <v>112.4</v>
      </c>
      <c r="E28" s="262">
        <v>115.6</v>
      </c>
      <c r="F28" s="262">
        <v>116.4</v>
      </c>
      <c r="G28" s="736">
        <f>+SUM(C28:F28)</f>
        <v>438.29999999999995</v>
      </c>
      <c r="H28" s="262">
        <v>107.7</v>
      </c>
      <c r="I28" s="262">
        <v>122</v>
      </c>
      <c r="J28" s="262">
        <v>125</v>
      </c>
      <c r="K28" s="743"/>
      <c r="L28" s="161"/>
      <c r="M28" s="743"/>
      <c r="N28" s="743"/>
      <c r="O28" s="743"/>
      <c r="P28" s="743"/>
      <c r="Q28" s="161"/>
      <c r="R28" s="743"/>
      <c r="S28" s="743"/>
      <c r="T28" s="743"/>
      <c r="U28" s="743"/>
      <c r="V28" s="161"/>
      <c r="W28" s="743"/>
      <c r="X28" s="743"/>
      <c r="Y28" s="743"/>
      <c r="Z28" s="743"/>
      <c r="AA28" s="161"/>
      <c r="AB28" s="743"/>
      <c r="AC28" s="743"/>
      <c r="AD28" s="743"/>
      <c r="AE28" s="743"/>
      <c r="AF28" s="161"/>
      <c r="AG28" s="743"/>
      <c r="AH28" s="743"/>
      <c r="AI28" s="743"/>
      <c r="AJ28" s="743"/>
      <c r="AK28" s="161"/>
      <c r="AL28" s="743"/>
      <c r="AM28" s="743"/>
      <c r="AN28" s="743"/>
      <c r="AO28" s="743"/>
      <c r="AP28" s="161"/>
      <c r="AQ28" s="262"/>
      <c r="AR28" s="262"/>
      <c r="AS28" s="262"/>
      <c r="AT28" s="262">
        <f>507*0.3</f>
        <v>152.1</v>
      </c>
      <c r="AU28" s="736">
        <f>1934*0.3</f>
        <v>580.19999999999993</v>
      </c>
      <c r="AV28" s="262">
        <f>+(AV31*AV40)/3*2.5</f>
        <v>119.28262500000001</v>
      </c>
      <c r="AW28" s="262">
        <f>+AW31*AW40</f>
        <v>143.13915</v>
      </c>
      <c r="AX28" s="262">
        <f>+AX31*AX40</f>
        <v>157.30848</v>
      </c>
      <c r="AY28" s="262">
        <f>+AY31*AY40</f>
        <v>160.77418245000001</v>
      </c>
      <c r="AZ28" s="736">
        <f>+SUM(AV28:AY28)</f>
        <v>580.50443745000007</v>
      </c>
      <c r="BA28" s="262">
        <f>+BA31*BA40</f>
        <v>146.73194266499999</v>
      </c>
      <c r="BB28" s="262">
        <f>+BB31*BB40</f>
        <v>146.73194266499999</v>
      </c>
      <c r="BC28" s="262">
        <f>+BC31*BC40</f>
        <v>161.25692284800002</v>
      </c>
      <c r="BD28" s="262">
        <f>+BD31*BD40</f>
        <v>164.80961442949501</v>
      </c>
      <c r="BE28" s="736">
        <f>+SUM(BA28:BD28)</f>
        <v>619.53042260749498</v>
      </c>
      <c r="BF28" s="262">
        <f>+BF31*BF40</f>
        <v>151.88957044967475</v>
      </c>
      <c r="BG28" s="262">
        <f>+BG31*BG40</f>
        <v>151.88957044967475</v>
      </c>
      <c r="BH28" s="262">
        <f>+BH31*BH40</f>
        <v>166.92510368610721</v>
      </c>
      <c r="BI28" s="262">
        <f>+BI31*BI40</f>
        <v>170.60267237669174</v>
      </c>
      <c r="BJ28" s="736">
        <f>+SUM(BF28:BI28)</f>
        <v>641.30691696214842</v>
      </c>
      <c r="BK28" s="162"/>
      <c r="BL28" s="162"/>
      <c r="BM28" s="144"/>
    </row>
    <row r="29" spans="1:65">
      <c r="A29" s="763"/>
      <c r="B29" s="737" t="s">
        <v>16</v>
      </c>
      <c r="C29" s="304"/>
      <c r="D29" s="304"/>
      <c r="E29" s="304"/>
      <c r="F29" s="304"/>
      <c r="G29" s="155"/>
      <c r="H29" s="304">
        <f>+H28/C28-1</f>
        <v>0.14696485623003186</v>
      </c>
      <c r="I29" s="304">
        <f>+I28/D28-1</f>
        <v>8.5409252669039093E-2</v>
      </c>
      <c r="J29" s="304">
        <f>+J28/E28-1</f>
        <v>8.1314878892733589E-2</v>
      </c>
      <c r="K29" s="743"/>
      <c r="L29" s="161"/>
      <c r="M29" s="743"/>
      <c r="N29" s="743"/>
      <c r="O29" s="743"/>
      <c r="P29" s="743"/>
      <c r="Q29" s="161"/>
      <c r="R29" s="743"/>
      <c r="S29" s="743"/>
      <c r="T29" s="743"/>
      <c r="U29" s="743"/>
      <c r="V29" s="161"/>
      <c r="W29" s="743"/>
      <c r="X29" s="743"/>
      <c r="Y29" s="743"/>
      <c r="Z29" s="743"/>
      <c r="AA29" s="161"/>
      <c r="AB29" s="743"/>
      <c r="AC29" s="743"/>
      <c r="AD29" s="743"/>
      <c r="AE29" s="743"/>
      <c r="AF29" s="161"/>
      <c r="AG29" s="743"/>
      <c r="AH29" s="743"/>
      <c r="AI29" s="743"/>
      <c r="AJ29" s="743"/>
      <c r="AK29" s="161"/>
      <c r="AL29" s="743"/>
      <c r="AM29" s="743"/>
      <c r="AN29" s="743"/>
      <c r="AO29" s="743"/>
      <c r="AP29" s="161"/>
      <c r="AQ29" s="743"/>
      <c r="AR29" s="743"/>
      <c r="AS29" s="743"/>
      <c r="AT29" s="743"/>
      <c r="AU29" s="161"/>
      <c r="AV29" s="743"/>
      <c r="AW29" s="743"/>
      <c r="AX29" s="743"/>
      <c r="AY29" s="743">
        <f>+AY28/AT28-1</f>
        <v>5.7029470414201366E-2</v>
      </c>
      <c r="AZ29" s="158">
        <f>+AZ28/AT28-1</f>
        <v>2.8165972218934918</v>
      </c>
      <c r="BA29" s="304">
        <f t="shared" ref="BA29:BJ29" si="6">+BA28/AV28-1</f>
        <v>0.23011999999999988</v>
      </c>
      <c r="BB29" s="304">
        <f t="shared" si="6"/>
        <v>2.50999999999999E-2</v>
      </c>
      <c r="BC29" s="304">
        <f t="shared" si="6"/>
        <v>2.5100000000000122E-2</v>
      </c>
      <c r="BD29" s="304">
        <f t="shared" si="6"/>
        <v>2.50999999999999E-2</v>
      </c>
      <c r="BE29" s="158">
        <f t="shared" si="6"/>
        <v>6.7227712037698728E-2</v>
      </c>
      <c r="BF29" s="304">
        <f t="shared" si="6"/>
        <v>3.5150000000000015E-2</v>
      </c>
      <c r="BG29" s="304">
        <f t="shared" si="6"/>
        <v>3.5150000000000015E-2</v>
      </c>
      <c r="BH29" s="304">
        <f t="shared" si="6"/>
        <v>3.5150000000000015E-2</v>
      </c>
      <c r="BI29" s="304">
        <f t="shared" si="6"/>
        <v>3.5149999999999793E-2</v>
      </c>
      <c r="BJ29" s="158">
        <f t="shared" si="6"/>
        <v>3.5150000000000015E-2</v>
      </c>
      <c r="BK29" s="162"/>
      <c r="BL29" s="262">
        <f>0.3*1934</f>
        <v>580.19999999999993</v>
      </c>
      <c r="BM29" s="144"/>
    </row>
    <row r="30" spans="1:65">
      <c r="A30" s="763"/>
      <c r="B30" s="737"/>
      <c r="C30" s="304"/>
      <c r="D30" s="304"/>
      <c r="E30" s="304"/>
      <c r="F30" s="304"/>
      <c r="G30" s="155"/>
      <c r="H30" s="304"/>
      <c r="I30" s="304"/>
      <c r="J30" s="304"/>
      <c r="K30" s="743"/>
      <c r="L30" s="161"/>
      <c r="M30" s="743"/>
      <c r="N30" s="743"/>
      <c r="O30" s="743"/>
      <c r="P30" s="743"/>
      <c r="Q30" s="161"/>
      <c r="R30" s="743"/>
      <c r="S30" s="743"/>
      <c r="T30" s="743"/>
      <c r="U30" s="743"/>
      <c r="V30" s="161"/>
      <c r="W30" s="743"/>
      <c r="X30" s="743"/>
      <c r="Y30" s="743"/>
      <c r="Z30" s="743"/>
      <c r="AA30" s="161"/>
      <c r="AB30" s="743"/>
      <c r="AC30" s="743"/>
      <c r="AD30" s="743"/>
      <c r="AE30" s="743"/>
      <c r="AF30" s="161"/>
      <c r="AG30" s="743"/>
      <c r="AH30" s="743"/>
      <c r="AI30" s="743"/>
      <c r="AJ30" s="743"/>
      <c r="AK30" s="161"/>
      <c r="AL30" s="743"/>
      <c r="AM30" s="743"/>
      <c r="AN30" s="743"/>
      <c r="AO30" s="743"/>
      <c r="AP30" s="161"/>
      <c r="AQ30" s="743"/>
      <c r="AR30" s="743"/>
      <c r="AS30" s="743"/>
      <c r="AT30" s="743"/>
      <c r="AU30" s="161"/>
      <c r="AV30" s="743"/>
      <c r="AW30" s="743"/>
      <c r="AX30" s="743"/>
      <c r="AY30" s="743"/>
      <c r="AZ30" s="161"/>
      <c r="BA30" s="743"/>
      <c r="BB30" s="743"/>
      <c r="BC30" s="743"/>
      <c r="BD30" s="743"/>
      <c r="BE30" s="161"/>
      <c r="BF30" s="743"/>
      <c r="BG30" s="743"/>
      <c r="BH30" s="743"/>
      <c r="BI30" s="743"/>
      <c r="BJ30" s="161"/>
      <c r="BK30" s="162"/>
      <c r="BL30" s="162"/>
      <c r="BM30" s="144"/>
    </row>
    <row r="31" spans="1:65">
      <c r="A31" s="763"/>
      <c r="B31" s="739" t="s">
        <v>271</v>
      </c>
      <c r="C31" s="205">
        <v>1726</v>
      </c>
      <c r="D31" s="205">
        <v>1877.5</v>
      </c>
      <c r="E31" s="205">
        <v>1904.5</v>
      </c>
      <c r="F31" s="205">
        <v>2077.1999999999998</v>
      </c>
      <c r="G31" s="736">
        <f>+SUM(C31:F31)</f>
        <v>7585.2</v>
      </c>
      <c r="H31" s="205">
        <v>1954</v>
      </c>
      <c r="I31" s="205">
        <v>2088.1999999999998</v>
      </c>
      <c r="J31" s="205">
        <v>2113.1999999999998</v>
      </c>
      <c r="K31" s="743"/>
      <c r="L31" s="161"/>
      <c r="M31" s="743"/>
      <c r="N31" s="743"/>
      <c r="O31" s="743"/>
      <c r="P31" s="743"/>
      <c r="Q31" s="161"/>
      <c r="R31" s="743"/>
      <c r="S31" s="743"/>
      <c r="T31" s="743"/>
      <c r="U31" s="743"/>
      <c r="V31" s="161"/>
      <c r="W31" s="743"/>
      <c r="X31" s="743"/>
      <c r="Y31" s="743"/>
      <c r="Z31" s="743"/>
      <c r="AA31" s="161"/>
      <c r="AB31" s="743"/>
      <c r="AC31" s="743"/>
      <c r="AD31" s="743"/>
      <c r="AE31" s="743"/>
      <c r="AF31" s="161"/>
      <c r="AG31" s="722">
        <v>1302</v>
      </c>
      <c r="AH31" s="722">
        <v>1302</v>
      </c>
      <c r="AI31" s="722">
        <v>1398</v>
      </c>
      <c r="AJ31" s="722">
        <v>1398</v>
      </c>
      <c r="AK31" s="741">
        <f>+SUM(AG31:AJ31)</f>
        <v>5400</v>
      </c>
      <c r="AL31" s="722">
        <v>1350</v>
      </c>
      <c r="AM31" s="722">
        <v>1350</v>
      </c>
      <c r="AN31" s="722">
        <v>1550</v>
      </c>
      <c r="AO31" s="722">
        <v>1550</v>
      </c>
      <c r="AP31" s="741">
        <f>+SUM(AL31:AO31)</f>
        <v>5800</v>
      </c>
      <c r="AQ31" s="722">
        <v>1500</v>
      </c>
      <c r="AR31" s="722">
        <v>1500</v>
      </c>
      <c r="AS31" s="722">
        <v>1600</v>
      </c>
      <c r="AT31" s="722">
        <f>+AO31*(1+AT32)</f>
        <v>1635.25</v>
      </c>
      <c r="AU31" s="741">
        <f>+SUM(AQ31:AT31)</f>
        <v>6235.25</v>
      </c>
      <c r="AV31" s="722">
        <f>+AQ31*(1+AV32)</f>
        <v>1485</v>
      </c>
      <c r="AW31" s="722">
        <f>+AR31*(1+AW32)</f>
        <v>1485</v>
      </c>
      <c r="AX31" s="722">
        <f>+AS31*(1+AX32)</f>
        <v>1632</v>
      </c>
      <c r="AY31" s="722">
        <f>+AT31*(1+AY32)</f>
        <v>1667.9549999999999</v>
      </c>
      <c r="AZ31" s="741">
        <f>+SUM(AV31:AY31)</f>
        <v>6269.9549999999999</v>
      </c>
      <c r="BA31" s="722">
        <f>+AV31*(1+BA32)</f>
        <v>1514.7</v>
      </c>
      <c r="BB31" s="722">
        <f>+AW31*(1+BB32)</f>
        <v>1514.7</v>
      </c>
      <c r="BC31" s="722">
        <f>+AX31*(1+BC32)</f>
        <v>1664.64</v>
      </c>
      <c r="BD31" s="722">
        <f>+AY31*(1+BD32)</f>
        <v>1701.3141000000001</v>
      </c>
      <c r="BE31" s="741">
        <f>+SUM(BA31:BD31)</f>
        <v>6395.3541000000005</v>
      </c>
      <c r="BF31" s="722">
        <f>+BA31*(1+BF32)</f>
        <v>1560.1410000000001</v>
      </c>
      <c r="BG31" s="722">
        <f>+BB31*(1+BG32)</f>
        <v>1560.1410000000001</v>
      </c>
      <c r="BH31" s="722">
        <f>+BC31*(1+BH32)</f>
        <v>1714.5792000000001</v>
      </c>
      <c r="BI31" s="722">
        <f>+BD31*(1+BI32)</f>
        <v>1752.353523</v>
      </c>
      <c r="BJ31" s="741">
        <f>+SUM(BF31:BI31)</f>
        <v>6587.214723</v>
      </c>
      <c r="BK31" s="162"/>
      <c r="BL31" s="162"/>
      <c r="BM31" s="144"/>
    </row>
    <row r="32" spans="1:65">
      <c r="A32" s="763"/>
      <c r="B32" s="737" t="s">
        <v>16</v>
      </c>
      <c r="C32" s="304"/>
      <c r="D32" s="304"/>
      <c r="E32" s="304"/>
      <c r="F32" s="304"/>
      <c r="G32" s="155"/>
      <c r="H32" s="304">
        <f>+H31/C31-1</f>
        <v>0.13209733487833142</v>
      </c>
      <c r="I32" s="304">
        <f>+I31/D31-1</f>
        <v>0.11222370173102525</v>
      </c>
      <c r="J32" s="304">
        <f>+J31/E31-1</f>
        <v>0.1095825676030453</v>
      </c>
      <c r="K32" s="743"/>
      <c r="L32" s="161"/>
      <c r="M32" s="743"/>
      <c r="N32" s="743"/>
      <c r="O32" s="743"/>
      <c r="P32" s="743"/>
      <c r="Q32" s="161"/>
      <c r="R32" s="743"/>
      <c r="S32" s="743"/>
      <c r="T32" s="743"/>
      <c r="U32" s="743"/>
      <c r="V32" s="161"/>
      <c r="W32" s="743"/>
      <c r="X32" s="743"/>
      <c r="Y32" s="743"/>
      <c r="Z32" s="743"/>
      <c r="AA32" s="161"/>
      <c r="AB32" s="743"/>
      <c r="AC32" s="743"/>
      <c r="AD32" s="743"/>
      <c r="AE32" s="743"/>
      <c r="AF32" s="161"/>
      <c r="AG32" s="743"/>
      <c r="AH32" s="743"/>
      <c r="AI32" s="743"/>
      <c r="AJ32" s="743"/>
      <c r="AK32" s="161"/>
      <c r="AL32" s="743"/>
      <c r="AM32" s="743"/>
      <c r="AN32" s="743"/>
      <c r="AO32" s="743"/>
      <c r="AP32" s="161"/>
      <c r="AQ32" s="1190">
        <f>+AQ31/AL31-1</f>
        <v>0.11111111111111116</v>
      </c>
      <c r="AR32" s="1190">
        <f>+AR31/AM31-1</f>
        <v>0.11111111111111116</v>
      </c>
      <c r="AS32" s="1190">
        <f>+AS31/AN31-1</f>
        <v>3.2258064516129004E-2</v>
      </c>
      <c r="AT32" s="208">
        <f>CHOOSE(_Switch,AT33,AT34,AT35)</f>
        <v>5.5E-2</v>
      </c>
      <c r="AU32" s="158"/>
      <c r="AV32" s="208">
        <f>CHOOSE(_Switch,AV33,AV34,AV35)</f>
        <v>-0.01</v>
      </c>
      <c r="AW32" s="208">
        <f>CHOOSE(_Switch,AW33,AW34,AW35)</f>
        <v>-0.01</v>
      </c>
      <c r="AX32" s="208">
        <f>CHOOSE(_Switch,AX33,AX34,AX35)</f>
        <v>0.02</v>
      </c>
      <c r="AY32" s="208">
        <f>CHOOSE(_Switch,AY33,AY34,AY35)</f>
        <v>0.02</v>
      </c>
      <c r="AZ32" s="158">
        <f>+AZ31/AU31-1</f>
        <v>5.5659356080348665E-3</v>
      </c>
      <c r="BA32" s="208">
        <f>CHOOSE(_Switch,BA33,BA34,BA35)</f>
        <v>0.02</v>
      </c>
      <c r="BB32" s="208">
        <f>CHOOSE(_Switch,BB33,BB34,BB35)</f>
        <v>0.02</v>
      </c>
      <c r="BC32" s="208">
        <f>CHOOSE(_Switch,BC33,BC34,BC35)</f>
        <v>0.02</v>
      </c>
      <c r="BD32" s="208">
        <f>CHOOSE(_Switch,BD33,BD34,BD35)</f>
        <v>0.02</v>
      </c>
      <c r="BE32" s="158">
        <f>+BE31/AZ31-1</f>
        <v>2.0000000000000018E-2</v>
      </c>
      <c r="BF32" s="208">
        <f>CHOOSE(_Switch,BF33,BF34,BF35)</f>
        <v>0.03</v>
      </c>
      <c r="BG32" s="208">
        <f>CHOOSE(_Switch,BG33,BG34,BG35)</f>
        <v>0.03</v>
      </c>
      <c r="BH32" s="208">
        <f>CHOOSE(_Switch,BH33,BH34,BH35)</f>
        <v>0.03</v>
      </c>
      <c r="BI32" s="208">
        <f>CHOOSE(_Switch,BI33,BI34,BI35)</f>
        <v>0.03</v>
      </c>
      <c r="BJ32" s="158">
        <f>+BJ31/BE31-1</f>
        <v>3.0000000000000027E-2</v>
      </c>
      <c r="BK32" s="162"/>
      <c r="BL32" s="162"/>
      <c r="BM32" s="144"/>
    </row>
    <row r="33" spans="1:65">
      <c r="A33" s="763"/>
      <c r="B33" s="209" t="s">
        <v>93</v>
      </c>
      <c r="C33" s="743"/>
      <c r="D33" s="743"/>
      <c r="E33" s="743"/>
      <c r="F33" s="743"/>
      <c r="G33" s="161"/>
      <c r="H33" s="743"/>
      <c r="I33" s="743"/>
      <c r="J33" s="743"/>
      <c r="K33" s="743"/>
      <c r="L33" s="161"/>
      <c r="M33" s="743"/>
      <c r="N33" s="743"/>
      <c r="O33" s="743"/>
      <c r="P33" s="743"/>
      <c r="Q33" s="161"/>
      <c r="R33" s="743"/>
      <c r="S33" s="743"/>
      <c r="T33" s="743"/>
      <c r="U33" s="743"/>
      <c r="V33" s="161"/>
      <c r="W33" s="743"/>
      <c r="X33" s="743"/>
      <c r="Y33" s="743"/>
      <c r="Z33" s="743"/>
      <c r="AA33" s="161"/>
      <c r="AB33" s="743"/>
      <c r="AC33" s="743"/>
      <c r="AD33" s="743"/>
      <c r="AE33" s="743"/>
      <c r="AF33" s="161"/>
      <c r="AG33" s="743"/>
      <c r="AH33" s="743"/>
      <c r="AI33" s="743"/>
      <c r="AJ33" s="743"/>
      <c r="AK33" s="161"/>
      <c r="AL33" s="743"/>
      <c r="AM33" s="743"/>
      <c r="AN33" s="743"/>
      <c r="AO33" s="743"/>
      <c r="AP33" s="161"/>
      <c r="AQ33" s="743"/>
      <c r="AR33" s="743"/>
      <c r="AS33" s="743"/>
      <c r="AT33" s="746">
        <f>+AT34+0.03</f>
        <v>8.4999999999999992E-2</v>
      </c>
      <c r="AU33" s="161"/>
      <c r="AV33" s="746">
        <f>+AV34+0.02</f>
        <v>0.01</v>
      </c>
      <c r="AW33" s="746">
        <f>+AW34+0.02</f>
        <v>0.01</v>
      </c>
      <c r="AX33" s="746">
        <f>+AX34+0.02</f>
        <v>0.04</v>
      </c>
      <c r="AY33" s="746">
        <f>+AY34+0.02</f>
        <v>0.04</v>
      </c>
      <c r="AZ33" s="161"/>
      <c r="BA33" s="746">
        <f>+BA34+0.02</f>
        <v>0.04</v>
      </c>
      <c r="BB33" s="746">
        <f>+BB34+0.02</f>
        <v>0.04</v>
      </c>
      <c r="BC33" s="746">
        <f>+BC34+0.02</f>
        <v>0.04</v>
      </c>
      <c r="BD33" s="746">
        <f>+BD34+0.02</f>
        <v>0.04</v>
      </c>
      <c r="BE33" s="161"/>
      <c r="BF33" s="746">
        <f>+BF34+0.02</f>
        <v>0.05</v>
      </c>
      <c r="BG33" s="746">
        <f>+BG34+0.02</f>
        <v>0.05</v>
      </c>
      <c r="BH33" s="746">
        <f>+BH34+0.02</f>
        <v>0.05</v>
      </c>
      <c r="BI33" s="746">
        <f>+BI34+0.02</f>
        <v>0.05</v>
      </c>
      <c r="BJ33" s="161"/>
      <c r="BK33" s="162"/>
      <c r="BL33" s="162"/>
      <c r="BM33" s="144"/>
    </row>
    <row r="34" spans="1:65">
      <c r="A34" s="763"/>
      <c r="B34" s="209" t="s">
        <v>94</v>
      </c>
      <c r="C34" s="743"/>
      <c r="D34" s="743"/>
      <c r="E34" s="743"/>
      <c r="F34" s="743"/>
      <c r="G34" s="161"/>
      <c r="H34" s="743"/>
      <c r="I34" s="743"/>
      <c r="J34" s="743"/>
      <c r="K34" s="743"/>
      <c r="L34" s="161"/>
      <c r="M34" s="743"/>
      <c r="N34" s="743"/>
      <c r="O34" s="743"/>
      <c r="P34" s="743"/>
      <c r="Q34" s="161"/>
      <c r="R34" s="743"/>
      <c r="S34" s="743"/>
      <c r="T34" s="743"/>
      <c r="U34" s="743"/>
      <c r="V34" s="161"/>
      <c r="W34" s="743"/>
      <c r="X34" s="743"/>
      <c r="Y34" s="743"/>
      <c r="Z34" s="743"/>
      <c r="AA34" s="161"/>
      <c r="AB34" s="743"/>
      <c r="AC34" s="743"/>
      <c r="AD34" s="743"/>
      <c r="AE34" s="743"/>
      <c r="AF34" s="161"/>
      <c r="AG34" s="743"/>
      <c r="AH34" s="743"/>
      <c r="AI34" s="743"/>
      <c r="AJ34" s="743"/>
      <c r="AK34" s="161"/>
      <c r="AL34" s="743"/>
      <c r="AM34" s="743"/>
      <c r="AN34" s="743"/>
      <c r="AO34" s="743"/>
      <c r="AP34" s="161"/>
      <c r="AQ34" s="743"/>
      <c r="AR34" s="743"/>
      <c r="AS34" s="743"/>
      <c r="AT34" s="746">
        <v>5.5E-2</v>
      </c>
      <c r="AU34" s="161"/>
      <c r="AV34" s="746">
        <v>-0.01</v>
      </c>
      <c r="AW34" s="746">
        <f>+AV34</f>
        <v>-0.01</v>
      </c>
      <c r="AX34" s="746">
        <v>0.02</v>
      </c>
      <c r="AY34" s="746">
        <v>0.02</v>
      </c>
      <c r="AZ34" s="161"/>
      <c r="BA34" s="746">
        <v>0.02</v>
      </c>
      <c r="BB34" s="746">
        <f>+BA34</f>
        <v>0.02</v>
      </c>
      <c r="BC34" s="746">
        <f>+BB34</f>
        <v>0.02</v>
      </c>
      <c r="BD34" s="746">
        <f>+BC34</f>
        <v>0.02</v>
      </c>
      <c r="BE34" s="161"/>
      <c r="BF34" s="746">
        <v>0.03</v>
      </c>
      <c r="BG34" s="746">
        <f>+BF34</f>
        <v>0.03</v>
      </c>
      <c r="BH34" s="746">
        <f>+BG34</f>
        <v>0.03</v>
      </c>
      <c r="BI34" s="746">
        <f>+BH34</f>
        <v>0.03</v>
      </c>
      <c r="BJ34" s="161"/>
      <c r="BK34" s="162"/>
      <c r="BL34" s="162"/>
      <c r="BM34" s="144"/>
    </row>
    <row r="35" spans="1:65">
      <c r="A35" s="763"/>
      <c r="B35" s="209" t="s">
        <v>95</v>
      </c>
      <c r="C35" s="743"/>
      <c r="D35" s="743"/>
      <c r="E35" s="743"/>
      <c r="F35" s="743"/>
      <c r="G35" s="161"/>
      <c r="H35" s="743"/>
      <c r="I35" s="743"/>
      <c r="J35" s="743"/>
      <c r="K35" s="743"/>
      <c r="L35" s="161"/>
      <c r="M35" s="743"/>
      <c r="N35" s="743"/>
      <c r="O35" s="743"/>
      <c r="P35" s="743"/>
      <c r="Q35" s="161"/>
      <c r="R35" s="743"/>
      <c r="S35" s="743"/>
      <c r="T35" s="743"/>
      <c r="U35" s="743"/>
      <c r="V35" s="161"/>
      <c r="W35" s="743"/>
      <c r="X35" s="743"/>
      <c r="Y35" s="743"/>
      <c r="Z35" s="743"/>
      <c r="AA35" s="161"/>
      <c r="AB35" s="743"/>
      <c r="AC35" s="743"/>
      <c r="AD35" s="743"/>
      <c r="AE35" s="743"/>
      <c r="AF35" s="161"/>
      <c r="AG35" s="743"/>
      <c r="AH35" s="743"/>
      <c r="AI35" s="743"/>
      <c r="AJ35" s="743"/>
      <c r="AK35" s="161"/>
      <c r="AL35" s="743"/>
      <c r="AM35" s="743"/>
      <c r="AN35" s="743"/>
      <c r="AO35" s="743"/>
      <c r="AP35" s="161"/>
      <c r="AQ35" s="743"/>
      <c r="AR35" s="743"/>
      <c r="AS35" s="743"/>
      <c r="AT35" s="746">
        <f>+AT34-0.03</f>
        <v>2.5000000000000001E-2</v>
      </c>
      <c r="AU35" s="161"/>
      <c r="AV35" s="746">
        <f>+AV34-0.03</f>
        <v>-0.04</v>
      </c>
      <c r="AW35" s="746">
        <f>+AW34-0.03</f>
        <v>-0.04</v>
      </c>
      <c r="AX35" s="746">
        <f>+AX34-0.03</f>
        <v>-9.9999999999999985E-3</v>
      </c>
      <c r="AY35" s="746">
        <f>+AY34-0.03</f>
        <v>-9.9999999999999985E-3</v>
      </c>
      <c r="AZ35" s="161"/>
      <c r="BA35" s="746">
        <f>+BA34-0.03</f>
        <v>-9.9999999999999985E-3</v>
      </c>
      <c r="BB35" s="746">
        <f>+BB34-0.03</f>
        <v>-9.9999999999999985E-3</v>
      </c>
      <c r="BC35" s="746">
        <f>+BC34-0.03</f>
        <v>-9.9999999999999985E-3</v>
      </c>
      <c r="BD35" s="746">
        <f>+BD34-0.03</f>
        <v>-9.9999999999999985E-3</v>
      </c>
      <c r="BE35" s="161"/>
      <c r="BF35" s="746">
        <f>+BF34-0.03</f>
        <v>0</v>
      </c>
      <c r="BG35" s="746">
        <f>+BG34-0.03</f>
        <v>0</v>
      </c>
      <c r="BH35" s="746">
        <f>+BH34-0.03</f>
        <v>0</v>
      </c>
      <c r="BI35" s="746">
        <f>+BI34-0.03</f>
        <v>0</v>
      </c>
      <c r="BJ35" s="161"/>
      <c r="BK35" s="162"/>
      <c r="BL35" s="162"/>
      <c r="BM35" s="144"/>
    </row>
    <row r="36" spans="1:65">
      <c r="A36" s="763"/>
      <c r="B36" s="748"/>
      <c r="C36" s="749"/>
      <c r="D36" s="749"/>
      <c r="E36" s="749"/>
      <c r="F36" s="749"/>
      <c r="G36" s="750"/>
      <c r="H36" s="749"/>
      <c r="I36" s="749"/>
      <c r="J36" s="749"/>
      <c r="K36" s="743"/>
      <c r="L36" s="161"/>
      <c r="M36" s="743"/>
      <c r="N36" s="743"/>
      <c r="O36" s="743"/>
      <c r="P36" s="743"/>
      <c r="Q36" s="161"/>
      <c r="R36" s="743"/>
      <c r="S36" s="743"/>
      <c r="T36" s="743"/>
      <c r="U36" s="743"/>
      <c r="V36" s="161"/>
      <c r="W36" s="743"/>
      <c r="X36" s="743"/>
      <c r="Y36" s="743"/>
      <c r="Z36" s="743"/>
      <c r="AA36" s="161"/>
      <c r="AB36" s="743"/>
      <c r="AC36" s="743"/>
      <c r="AD36" s="743"/>
      <c r="AE36" s="743"/>
      <c r="AF36" s="161"/>
      <c r="AG36" s="743"/>
      <c r="AH36" s="743"/>
      <c r="AI36" s="743"/>
      <c r="AJ36" s="743"/>
      <c r="AK36" s="161"/>
      <c r="AL36" s="743"/>
      <c r="AM36" s="743"/>
      <c r="AN36" s="743"/>
      <c r="AO36" s="743"/>
      <c r="AP36" s="161"/>
      <c r="AQ36" s="743"/>
      <c r="AR36" s="743"/>
      <c r="AS36" s="743"/>
      <c r="AT36" s="743"/>
      <c r="AU36" s="161"/>
      <c r="AV36" s="743"/>
      <c r="AW36" s="743"/>
      <c r="AX36" s="743"/>
      <c r="AY36" s="743"/>
      <c r="AZ36" s="161"/>
      <c r="BA36" s="743"/>
      <c r="BB36" s="743"/>
      <c r="BC36" s="743"/>
      <c r="BD36" s="743"/>
      <c r="BE36" s="161"/>
      <c r="BF36" s="743"/>
      <c r="BG36" s="743"/>
      <c r="BH36" s="743"/>
      <c r="BI36" s="743"/>
      <c r="BJ36" s="161"/>
      <c r="BK36" s="162"/>
      <c r="BL36" s="162"/>
      <c r="BM36" s="144"/>
    </row>
    <row r="37" spans="1:65">
      <c r="A37" s="763"/>
      <c r="B37" s="737" t="s">
        <v>272</v>
      </c>
      <c r="C37" s="752"/>
      <c r="D37" s="752"/>
      <c r="E37" s="752"/>
      <c r="F37" s="752"/>
      <c r="G37" s="753"/>
      <c r="H37" s="752"/>
      <c r="I37" s="752"/>
      <c r="J37" s="752"/>
      <c r="K37" s="743"/>
      <c r="L37" s="161"/>
      <c r="M37" s="743"/>
      <c r="N37" s="743"/>
      <c r="O37" s="743"/>
      <c r="P37" s="743"/>
      <c r="Q37" s="161"/>
      <c r="R37" s="743"/>
      <c r="S37" s="743"/>
      <c r="T37" s="743"/>
      <c r="U37" s="743"/>
      <c r="V37" s="161"/>
      <c r="W37" s="743"/>
      <c r="X37" s="743"/>
      <c r="Y37" s="743"/>
      <c r="Z37" s="743"/>
      <c r="AA37" s="161"/>
      <c r="AB37" s="743"/>
      <c r="AC37" s="743"/>
      <c r="AD37" s="743"/>
      <c r="AE37" s="743"/>
      <c r="AF37" s="161"/>
      <c r="AG37" s="743"/>
      <c r="AH37" s="743"/>
      <c r="AI37" s="743"/>
      <c r="AJ37" s="743"/>
      <c r="AK37" s="161"/>
      <c r="AL37" s="743"/>
      <c r="AM37" s="743"/>
      <c r="AN37" s="743"/>
      <c r="AO37" s="743"/>
      <c r="AP37" s="161"/>
      <c r="AQ37" s="743"/>
      <c r="AR37" s="743"/>
      <c r="AS37" s="743"/>
      <c r="AT37" s="743"/>
      <c r="AU37" s="161"/>
      <c r="AV37" s="743"/>
      <c r="AW37" s="743"/>
      <c r="AX37" s="743"/>
      <c r="AY37" s="743"/>
      <c r="AZ37" s="161"/>
      <c r="BA37" s="743"/>
      <c r="BB37" s="743"/>
      <c r="BC37" s="743"/>
      <c r="BD37" s="743"/>
      <c r="BE37" s="161"/>
      <c r="BF37" s="743"/>
      <c r="BG37" s="743"/>
      <c r="BH37" s="743"/>
      <c r="BI37" s="743"/>
      <c r="BJ37" s="161"/>
      <c r="BK37" s="162"/>
      <c r="BL37" s="162"/>
      <c r="BM37" s="144"/>
    </row>
    <row r="38" spans="1:65">
      <c r="A38" s="763"/>
      <c r="B38" s="737" t="s">
        <v>274</v>
      </c>
      <c r="C38" s="752"/>
      <c r="D38" s="752"/>
      <c r="E38" s="752"/>
      <c r="F38" s="752"/>
      <c r="G38" s="753"/>
      <c r="H38" s="752"/>
      <c r="I38" s="752"/>
      <c r="J38" s="752"/>
      <c r="K38" s="743"/>
      <c r="L38" s="161"/>
      <c r="M38" s="743"/>
      <c r="N38" s="743"/>
      <c r="O38" s="743"/>
      <c r="P38" s="743"/>
      <c r="Q38" s="161"/>
      <c r="R38" s="743"/>
      <c r="S38" s="743"/>
      <c r="T38" s="743"/>
      <c r="U38" s="743"/>
      <c r="V38" s="161"/>
      <c r="W38" s="743"/>
      <c r="X38" s="743"/>
      <c r="Y38" s="743"/>
      <c r="Z38" s="743"/>
      <c r="AA38" s="161"/>
      <c r="AB38" s="743"/>
      <c r="AC38" s="743"/>
      <c r="AD38" s="743"/>
      <c r="AE38" s="743"/>
      <c r="AF38" s="161"/>
      <c r="AG38" s="743"/>
      <c r="AH38" s="743"/>
      <c r="AI38" s="743"/>
      <c r="AJ38" s="743"/>
      <c r="AK38" s="161"/>
      <c r="AL38" s="743"/>
      <c r="AM38" s="743"/>
      <c r="AN38" s="743"/>
      <c r="AO38" s="743"/>
      <c r="AP38" s="161"/>
      <c r="AQ38" s="743"/>
      <c r="AR38" s="743"/>
      <c r="AS38" s="743"/>
      <c r="AT38" s="743"/>
      <c r="AU38" s="161"/>
      <c r="AV38" s="743"/>
      <c r="AW38" s="743"/>
      <c r="AX38" s="743"/>
      <c r="AY38" s="743"/>
      <c r="AZ38" s="161"/>
      <c r="BA38" s="743"/>
      <c r="BB38" s="743"/>
      <c r="BC38" s="743"/>
      <c r="BD38" s="743"/>
      <c r="BE38" s="161"/>
      <c r="BF38" s="743"/>
      <c r="BG38" s="743"/>
      <c r="BH38" s="743"/>
      <c r="BI38" s="743"/>
      <c r="BJ38" s="161"/>
      <c r="BK38" s="162"/>
      <c r="BL38" s="162"/>
      <c r="BM38" s="144"/>
    </row>
    <row r="39" spans="1:65">
      <c r="A39" s="763"/>
      <c r="B39" s="737"/>
      <c r="C39" s="752"/>
      <c r="D39" s="752"/>
      <c r="E39" s="752"/>
      <c r="F39" s="752"/>
      <c r="G39" s="753"/>
      <c r="H39" s="752"/>
      <c r="I39" s="752"/>
      <c r="J39" s="752"/>
      <c r="K39" s="743"/>
      <c r="L39" s="161"/>
      <c r="M39" s="743"/>
      <c r="N39" s="743"/>
      <c r="O39" s="743"/>
      <c r="P39" s="743"/>
      <c r="Q39" s="161"/>
      <c r="R39" s="743"/>
      <c r="S39" s="743"/>
      <c r="T39" s="743"/>
      <c r="U39" s="743"/>
      <c r="V39" s="161"/>
      <c r="W39" s="743"/>
      <c r="X39" s="743"/>
      <c r="Y39" s="743"/>
      <c r="Z39" s="743"/>
      <c r="AA39" s="161"/>
      <c r="AB39" s="743"/>
      <c r="AC39" s="743"/>
      <c r="AD39" s="743"/>
      <c r="AE39" s="743"/>
      <c r="AF39" s="161"/>
      <c r="AG39" s="743"/>
      <c r="AH39" s="743"/>
      <c r="AI39" s="743"/>
      <c r="AJ39" s="743"/>
      <c r="AK39" s="161"/>
      <c r="AL39" s="743"/>
      <c r="AM39" s="743"/>
      <c r="AN39" s="743"/>
      <c r="AO39" s="743"/>
      <c r="AP39" s="161"/>
      <c r="AQ39" s="743"/>
      <c r="AR39" s="743"/>
      <c r="AS39" s="743"/>
      <c r="AT39" s="743"/>
      <c r="AU39" s="161"/>
      <c r="AV39" s="743"/>
      <c r="AW39" s="743"/>
      <c r="AX39" s="743"/>
      <c r="AY39" s="743"/>
      <c r="AZ39" s="161"/>
      <c r="BA39" s="743"/>
      <c r="BB39" s="743"/>
      <c r="BC39" s="743"/>
      <c r="BD39" s="743"/>
      <c r="BE39" s="161"/>
      <c r="BF39" s="743"/>
      <c r="BG39" s="743"/>
      <c r="BH39" s="743"/>
      <c r="BI39" s="743"/>
      <c r="BJ39" s="161"/>
      <c r="BK39" s="162"/>
      <c r="BL39" s="162"/>
      <c r="BM39" s="144"/>
    </row>
    <row r="40" spans="1:65">
      <c r="A40" s="763"/>
      <c r="B40" s="739" t="s">
        <v>275</v>
      </c>
      <c r="C40" s="754">
        <f t="shared" ref="C40:J40" si="7">+C28/C31</f>
        <v>5.4403244495944386E-2</v>
      </c>
      <c r="D40" s="754">
        <f t="shared" si="7"/>
        <v>5.9866844207723036E-2</v>
      </c>
      <c r="E40" s="754">
        <f t="shared" si="7"/>
        <v>6.0698346022578099E-2</v>
      </c>
      <c r="F40" s="754">
        <f t="shared" si="7"/>
        <v>5.6036972848064713E-2</v>
      </c>
      <c r="G40" s="758">
        <f t="shared" si="7"/>
        <v>5.7783578547698146E-2</v>
      </c>
      <c r="H40" s="754">
        <f t="shared" si="7"/>
        <v>5.5117707267144322E-2</v>
      </c>
      <c r="I40" s="754">
        <f t="shared" si="7"/>
        <v>5.8423522651087065E-2</v>
      </c>
      <c r="J40" s="754">
        <f t="shared" si="7"/>
        <v>5.9151996971417757E-2</v>
      </c>
      <c r="K40" s="743"/>
      <c r="L40" s="161"/>
      <c r="M40" s="743"/>
      <c r="N40" s="743"/>
      <c r="O40" s="743"/>
      <c r="P40" s="743"/>
      <c r="Q40" s="161"/>
      <c r="R40" s="743"/>
      <c r="S40" s="743"/>
      <c r="T40" s="743"/>
      <c r="U40" s="743"/>
      <c r="V40" s="161"/>
      <c r="W40" s="743"/>
      <c r="X40" s="743"/>
      <c r="Y40" s="743"/>
      <c r="Z40" s="743"/>
      <c r="AA40" s="161"/>
      <c r="AB40" s="743"/>
      <c r="AC40" s="743"/>
      <c r="AD40" s="743"/>
      <c r="AE40" s="743"/>
      <c r="AF40" s="161"/>
      <c r="AG40" s="743"/>
      <c r="AH40" s="743"/>
      <c r="AI40" s="743"/>
      <c r="AJ40" s="743"/>
      <c r="AK40" s="161"/>
      <c r="AL40" s="743"/>
      <c r="AM40" s="743"/>
      <c r="AN40" s="743"/>
      <c r="AO40" s="743"/>
      <c r="AP40" s="161"/>
      <c r="AQ40" s="754"/>
      <c r="AR40" s="754"/>
      <c r="AS40" s="754"/>
      <c r="AT40" s="754"/>
      <c r="AU40" s="758"/>
      <c r="AV40" s="754">
        <f>0.105*1.02*(1-10%)</f>
        <v>9.6390000000000003E-2</v>
      </c>
      <c r="AW40" s="754">
        <f t="shared" ref="AW40:AY40" si="8">0.105*1.02*(1-10%)</f>
        <v>9.6390000000000003E-2</v>
      </c>
      <c r="AX40" s="754">
        <f t="shared" si="8"/>
        <v>9.6390000000000003E-2</v>
      </c>
      <c r="AY40" s="754">
        <f t="shared" si="8"/>
        <v>9.6390000000000003E-2</v>
      </c>
      <c r="AZ40" s="758">
        <f>+AZ28/AZ31</f>
        <v>9.2585104271083296E-2</v>
      </c>
      <c r="BA40" s="754">
        <f>+AV40*(1+BA41)</f>
        <v>9.6871949999999998E-2</v>
      </c>
      <c r="BB40" s="754">
        <f>+AW40*(1+BB41)</f>
        <v>9.6871949999999998E-2</v>
      </c>
      <c r="BC40" s="754">
        <f>+AX40*(1+BC41)</f>
        <v>9.6871949999999998E-2</v>
      </c>
      <c r="BD40" s="754">
        <f>+AY40*(1+BD41)</f>
        <v>9.6871949999999998E-2</v>
      </c>
      <c r="BE40" s="758">
        <f>+BE28/BE31</f>
        <v>9.6871949999999984E-2</v>
      </c>
      <c r="BF40" s="754">
        <f>+BA40*(1+BF41)</f>
        <v>9.7356309749999995E-2</v>
      </c>
      <c r="BG40" s="754">
        <f>+BB40*(1+BG41)</f>
        <v>9.7356309749999995E-2</v>
      </c>
      <c r="BH40" s="754">
        <f>+BC40*(1+BH41)</f>
        <v>9.7356309749999995E-2</v>
      </c>
      <c r="BI40" s="754">
        <f>+BD40*(1+BI41)</f>
        <v>9.7356309749999995E-2</v>
      </c>
      <c r="BJ40" s="758">
        <f>+BJ28/BJ31</f>
        <v>9.7356309749999995E-2</v>
      </c>
      <c r="BK40" s="162"/>
      <c r="BL40" s="162"/>
      <c r="BM40" s="144"/>
    </row>
    <row r="41" spans="1:65">
      <c r="A41" s="763"/>
      <c r="B41" s="737" t="s">
        <v>16</v>
      </c>
      <c r="C41" s="752"/>
      <c r="D41" s="752"/>
      <c r="E41" s="752"/>
      <c r="F41" s="752"/>
      <c r="G41" s="753"/>
      <c r="H41" s="304">
        <f>+H40/C40-1</f>
        <v>1.3132723568595184E-2</v>
      </c>
      <c r="I41" s="304">
        <f>+I40/D40-1</f>
        <v>-2.4108863190249408E-2</v>
      </c>
      <c r="J41" s="304">
        <f>+J40/E40-1</f>
        <v>-2.547596685064768E-2</v>
      </c>
      <c r="K41" s="743"/>
      <c r="L41" s="161"/>
      <c r="M41" s="743"/>
      <c r="N41" s="743"/>
      <c r="O41" s="743"/>
      <c r="P41" s="743"/>
      <c r="Q41" s="161"/>
      <c r="R41" s="743"/>
      <c r="S41" s="743"/>
      <c r="T41" s="743"/>
      <c r="U41" s="743"/>
      <c r="V41" s="161"/>
      <c r="W41" s="743"/>
      <c r="X41" s="743"/>
      <c r="Y41" s="743"/>
      <c r="Z41" s="743"/>
      <c r="AA41" s="161"/>
      <c r="AB41" s="743"/>
      <c r="AC41" s="743"/>
      <c r="AD41" s="743"/>
      <c r="AE41" s="743"/>
      <c r="AF41" s="161"/>
      <c r="AG41" s="743"/>
      <c r="AH41" s="743"/>
      <c r="AI41" s="743"/>
      <c r="AJ41" s="743"/>
      <c r="AK41" s="161"/>
      <c r="AL41" s="743"/>
      <c r="AM41" s="743"/>
      <c r="AN41" s="743"/>
      <c r="AO41" s="743"/>
      <c r="AP41" s="161"/>
      <c r="AQ41" s="743"/>
      <c r="AR41" s="743"/>
      <c r="AS41" s="743"/>
      <c r="AT41" s="743"/>
      <c r="AU41" s="177"/>
      <c r="AV41" s="743"/>
      <c r="AW41" s="743"/>
      <c r="AX41" s="743"/>
      <c r="AY41" s="743"/>
      <c r="AZ41" s="177" t="e">
        <f>+AZ40/AU40-1</f>
        <v>#DIV/0!</v>
      </c>
      <c r="BA41" s="208">
        <f>CHOOSE(_Switch,BA42,BA43,BA44)</f>
        <v>5.0000000000000001E-3</v>
      </c>
      <c r="BB41" s="208">
        <f>CHOOSE(_Switch,BB42,BB43,BB44)</f>
        <v>5.0000000000000001E-3</v>
      </c>
      <c r="BC41" s="208">
        <f>CHOOSE(_Switch,BC42,BC43,BC44)</f>
        <v>5.0000000000000001E-3</v>
      </c>
      <c r="BD41" s="208">
        <f>CHOOSE(_Switch,BD42,BD43,BD44)</f>
        <v>5.0000000000000001E-3</v>
      </c>
      <c r="BE41" s="177">
        <f>+BE40/AZ40-1</f>
        <v>4.6301678468331886E-2</v>
      </c>
      <c r="BF41" s="208">
        <f>CHOOSE(_Switch,BF42,BF43,BF44)</f>
        <v>5.0000000000000001E-3</v>
      </c>
      <c r="BG41" s="208">
        <f>CHOOSE(_Switch,BG42,BG43,BG44)</f>
        <v>5.0000000000000001E-3</v>
      </c>
      <c r="BH41" s="208">
        <f>CHOOSE(_Switch,BH42,BH43,BH44)</f>
        <v>5.0000000000000001E-3</v>
      </c>
      <c r="BI41" s="208">
        <f>CHOOSE(_Switch,BI42,BI43,BI44)</f>
        <v>5.0000000000000001E-3</v>
      </c>
      <c r="BJ41" s="177">
        <f>+BJ40/BE40-1</f>
        <v>5.0000000000001155E-3</v>
      </c>
      <c r="BK41" s="162"/>
      <c r="BL41" s="162"/>
      <c r="BM41" s="144"/>
    </row>
    <row r="42" spans="1:65">
      <c r="A42" s="763"/>
      <c r="B42" s="209" t="s">
        <v>93</v>
      </c>
      <c r="C42" s="749"/>
      <c r="D42" s="749"/>
      <c r="E42" s="749"/>
      <c r="F42" s="749"/>
      <c r="G42" s="750"/>
      <c r="H42" s="743"/>
      <c r="I42" s="743"/>
      <c r="J42" s="743"/>
      <c r="K42" s="743"/>
      <c r="L42" s="161"/>
      <c r="M42" s="743"/>
      <c r="N42" s="743"/>
      <c r="O42" s="743"/>
      <c r="P42" s="743"/>
      <c r="Q42" s="161"/>
      <c r="R42" s="743"/>
      <c r="S42" s="743"/>
      <c r="T42" s="743"/>
      <c r="U42" s="743"/>
      <c r="V42" s="161"/>
      <c r="W42" s="743"/>
      <c r="X42" s="743"/>
      <c r="Y42" s="743"/>
      <c r="Z42" s="743"/>
      <c r="AA42" s="161"/>
      <c r="AB42" s="743"/>
      <c r="AC42" s="743"/>
      <c r="AD42" s="743"/>
      <c r="AE42" s="743"/>
      <c r="AF42" s="161"/>
      <c r="AG42" s="743"/>
      <c r="AH42" s="743"/>
      <c r="AI42" s="743"/>
      <c r="AJ42" s="743"/>
      <c r="AK42" s="161"/>
      <c r="AL42" s="743"/>
      <c r="AM42" s="743"/>
      <c r="AN42" s="743"/>
      <c r="AO42" s="743"/>
      <c r="AP42" s="161"/>
      <c r="AQ42" s="743"/>
      <c r="AR42" s="722"/>
      <c r="AS42" s="743"/>
      <c r="AT42" s="743"/>
      <c r="AU42" s="161"/>
      <c r="AV42" s="743"/>
      <c r="AW42" s="743"/>
      <c r="AX42" s="743"/>
      <c r="AY42" s="743"/>
      <c r="AZ42" s="161"/>
      <c r="BA42" s="746">
        <f>+BA43+0.01</f>
        <v>1.4999999999999999E-2</v>
      </c>
      <c r="BB42" s="746">
        <f>+BB43+0.01</f>
        <v>1.4999999999999999E-2</v>
      </c>
      <c r="BC42" s="746">
        <f>+BC43+0.01</f>
        <v>1.4999999999999999E-2</v>
      </c>
      <c r="BD42" s="746">
        <f>+BD43+0.01</f>
        <v>1.4999999999999999E-2</v>
      </c>
      <c r="BE42" s="161"/>
      <c r="BF42" s="746">
        <f>+BF43+0.01</f>
        <v>1.4999999999999999E-2</v>
      </c>
      <c r="BG42" s="746">
        <f>+BG43+0.01</f>
        <v>1.4999999999999999E-2</v>
      </c>
      <c r="BH42" s="746">
        <f>+BH43+0.01</f>
        <v>1.4999999999999999E-2</v>
      </c>
      <c r="BI42" s="746">
        <f>+BI43+0.01</f>
        <v>1.4999999999999999E-2</v>
      </c>
      <c r="BJ42" s="161"/>
      <c r="BK42" s="162"/>
      <c r="BL42" s="162"/>
      <c r="BM42" s="144"/>
    </row>
    <row r="43" spans="1:65">
      <c r="A43" s="763"/>
      <c r="B43" s="209" t="s">
        <v>94</v>
      </c>
      <c r="C43" s="749"/>
      <c r="D43" s="749"/>
      <c r="E43" s="749"/>
      <c r="F43" s="749"/>
      <c r="G43" s="750"/>
      <c r="H43" s="743"/>
      <c r="I43" s="743"/>
      <c r="J43" s="743"/>
      <c r="K43" s="743"/>
      <c r="L43" s="161"/>
      <c r="M43" s="743"/>
      <c r="N43" s="743"/>
      <c r="O43" s="743"/>
      <c r="P43" s="743"/>
      <c r="Q43" s="161"/>
      <c r="R43" s="743"/>
      <c r="S43" s="743"/>
      <c r="T43" s="743"/>
      <c r="U43" s="743"/>
      <c r="V43" s="161"/>
      <c r="W43" s="743"/>
      <c r="X43" s="743"/>
      <c r="Y43" s="743"/>
      <c r="Z43" s="743"/>
      <c r="AA43" s="161"/>
      <c r="AB43" s="743"/>
      <c r="AC43" s="743"/>
      <c r="AD43" s="743"/>
      <c r="AE43" s="743"/>
      <c r="AF43" s="161"/>
      <c r="AG43" s="743"/>
      <c r="AH43" s="743"/>
      <c r="AI43" s="743"/>
      <c r="AJ43" s="743"/>
      <c r="AK43" s="161"/>
      <c r="AL43" s="743"/>
      <c r="AM43" s="743"/>
      <c r="AN43" s="743"/>
      <c r="AO43" s="743"/>
      <c r="AP43" s="161"/>
      <c r="AQ43" s="743"/>
      <c r="AR43" s="743"/>
      <c r="AS43" s="743"/>
      <c r="AT43" s="743"/>
      <c r="AU43" s="161"/>
      <c r="AV43" s="743"/>
      <c r="AW43" s="743"/>
      <c r="AX43" s="743"/>
      <c r="AY43" s="743"/>
      <c r="AZ43" s="161"/>
      <c r="BA43" s="746">
        <v>5.0000000000000001E-3</v>
      </c>
      <c r="BB43" s="746">
        <f>+BA43</f>
        <v>5.0000000000000001E-3</v>
      </c>
      <c r="BC43" s="746">
        <f>+BB43</f>
        <v>5.0000000000000001E-3</v>
      </c>
      <c r="BD43" s="746">
        <f>+BC43</f>
        <v>5.0000000000000001E-3</v>
      </c>
      <c r="BE43" s="161"/>
      <c r="BF43" s="746">
        <v>5.0000000000000001E-3</v>
      </c>
      <c r="BG43" s="746">
        <f>+BF43</f>
        <v>5.0000000000000001E-3</v>
      </c>
      <c r="BH43" s="746">
        <f>+BG43</f>
        <v>5.0000000000000001E-3</v>
      </c>
      <c r="BI43" s="746">
        <f>+BH43</f>
        <v>5.0000000000000001E-3</v>
      </c>
      <c r="BJ43" s="161"/>
      <c r="BK43" s="162"/>
      <c r="BL43" s="162"/>
      <c r="BM43" s="144"/>
    </row>
    <row r="44" spans="1:65">
      <c r="A44" s="763"/>
      <c r="B44" s="209" t="s">
        <v>95</v>
      </c>
      <c r="C44" s="749"/>
      <c r="D44" s="749"/>
      <c r="E44" s="749"/>
      <c r="F44" s="749"/>
      <c r="G44" s="750"/>
      <c r="H44" s="743"/>
      <c r="I44" s="743"/>
      <c r="J44" s="743"/>
      <c r="K44" s="743"/>
      <c r="L44" s="161"/>
      <c r="M44" s="743"/>
      <c r="N44" s="743"/>
      <c r="O44" s="743"/>
      <c r="P44" s="743"/>
      <c r="Q44" s="161"/>
      <c r="R44" s="743"/>
      <c r="S44" s="743"/>
      <c r="T44" s="743"/>
      <c r="U44" s="743"/>
      <c r="V44" s="161"/>
      <c r="W44" s="743"/>
      <c r="X44" s="743"/>
      <c r="Y44" s="743"/>
      <c r="Z44" s="743"/>
      <c r="AA44" s="161"/>
      <c r="AB44" s="743"/>
      <c r="AC44" s="743"/>
      <c r="AD44" s="743"/>
      <c r="AE44" s="743"/>
      <c r="AF44" s="161"/>
      <c r="AG44" s="743"/>
      <c r="AH44" s="743"/>
      <c r="AI44" s="743"/>
      <c r="AJ44" s="743"/>
      <c r="AK44" s="161"/>
      <c r="AL44" s="743"/>
      <c r="AM44" s="743"/>
      <c r="AN44" s="743"/>
      <c r="AO44" s="743"/>
      <c r="AP44" s="161"/>
      <c r="AQ44" s="743"/>
      <c r="AR44" s="743"/>
      <c r="AS44" s="743"/>
      <c r="AT44" s="743"/>
      <c r="AU44" s="161"/>
      <c r="AV44" s="743"/>
      <c r="AW44" s="743"/>
      <c r="AX44" s="743"/>
      <c r="AY44" s="743"/>
      <c r="AZ44" s="161"/>
      <c r="BA44" s="746">
        <f>+BA43-0.005</f>
        <v>0</v>
      </c>
      <c r="BB44" s="746">
        <f>+BB43-0.005</f>
        <v>0</v>
      </c>
      <c r="BC44" s="746">
        <f>+BC43-0.005</f>
        <v>0</v>
      </c>
      <c r="BD44" s="746">
        <f>+BD43-0.005</f>
        <v>0</v>
      </c>
      <c r="BE44" s="161"/>
      <c r="BF44" s="746">
        <f>+BF43-0.005</f>
        <v>0</v>
      </c>
      <c r="BG44" s="746">
        <f>+BG43-0.005</f>
        <v>0</v>
      </c>
      <c r="BH44" s="746">
        <f>+BH43-0.005</f>
        <v>0</v>
      </c>
      <c r="BI44" s="746">
        <f>+BI43-0.005</f>
        <v>0</v>
      </c>
      <c r="BJ44" s="161"/>
      <c r="BK44" s="162"/>
      <c r="BL44" s="162"/>
      <c r="BM44" s="144"/>
    </row>
    <row r="45" spans="1:65">
      <c r="A45" s="763"/>
      <c r="B45" s="748"/>
      <c r="C45" s="749"/>
      <c r="D45" s="749"/>
      <c r="E45" s="749"/>
      <c r="F45" s="749"/>
      <c r="G45" s="750"/>
      <c r="H45" s="743"/>
      <c r="I45" s="743"/>
      <c r="J45" s="743"/>
      <c r="K45" s="743"/>
      <c r="L45" s="161"/>
      <c r="M45" s="743"/>
      <c r="N45" s="743"/>
      <c r="O45" s="743"/>
      <c r="P45" s="743"/>
      <c r="Q45" s="161"/>
      <c r="R45" s="743"/>
      <c r="S45" s="743"/>
      <c r="T45" s="743"/>
      <c r="U45" s="743"/>
      <c r="V45" s="161"/>
      <c r="W45" s="743"/>
      <c r="X45" s="743"/>
      <c r="Y45" s="743"/>
      <c r="Z45" s="743"/>
      <c r="AA45" s="161"/>
      <c r="AB45" s="743"/>
      <c r="AC45" s="743"/>
      <c r="AD45" s="743"/>
      <c r="AE45" s="743"/>
      <c r="AF45" s="161"/>
      <c r="AG45" s="743"/>
      <c r="AH45" s="743"/>
      <c r="AI45" s="743"/>
      <c r="AJ45" s="743"/>
      <c r="AK45" s="161"/>
      <c r="AL45" s="743"/>
      <c r="AM45" s="743"/>
      <c r="AN45" s="743"/>
      <c r="AO45" s="743"/>
      <c r="AP45" s="161"/>
      <c r="AQ45" s="743"/>
      <c r="AR45" s="743"/>
      <c r="AS45" s="743"/>
      <c r="AT45" s="743"/>
      <c r="AU45" s="161"/>
      <c r="AV45" s="743"/>
      <c r="AW45" s="743"/>
      <c r="AX45" s="743"/>
      <c r="AY45" s="743"/>
      <c r="AZ45" s="161"/>
      <c r="BA45" s="743"/>
      <c r="BB45" s="743"/>
      <c r="BC45" s="743"/>
      <c r="BD45" s="743"/>
      <c r="BE45" s="161"/>
      <c r="BF45" s="743"/>
      <c r="BG45" s="743"/>
      <c r="BH45" s="743"/>
      <c r="BI45" s="743"/>
      <c r="BJ45" s="161"/>
      <c r="BK45" s="162"/>
      <c r="BL45" s="162"/>
      <c r="BM45" s="144"/>
    </row>
    <row r="46" spans="1:65">
      <c r="A46" s="763"/>
      <c r="B46" s="748"/>
      <c r="C46" s="749"/>
      <c r="D46" s="749"/>
      <c r="E46" s="749"/>
      <c r="F46" s="749"/>
      <c r="G46" s="750"/>
      <c r="H46" s="743"/>
      <c r="I46" s="743"/>
      <c r="J46" s="743"/>
      <c r="K46" s="743"/>
      <c r="L46" s="161"/>
      <c r="M46" s="743"/>
      <c r="N46" s="743"/>
      <c r="O46" s="743"/>
      <c r="P46" s="743"/>
      <c r="Q46" s="161"/>
      <c r="R46" s="743"/>
      <c r="S46" s="743"/>
      <c r="T46" s="743"/>
      <c r="U46" s="743"/>
      <c r="V46" s="161"/>
      <c r="W46" s="743"/>
      <c r="X46" s="743"/>
      <c r="Y46" s="743"/>
      <c r="Z46" s="743"/>
      <c r="AA46" s="161"/>
      <c r="AB46" s="743"/>
      <c r="AC46" s="743"/>
      <c r="AD46" s="743"/>
      <c r="AE46" s="743"/>
      <c r="AF46" s="161"/>
      <c r="AG46" s="743"/>
      <c r="AH46" s="743"/>
      <c r="AI46" s="743"/>
      <c r="AJ46" s="743"/>
      <c r="AK46" s="161"/>
      <c r="AL46" s="743"/>
      <c r="AM46" s="743"/>
      <c r="AN46" s="743"/>
      <c r="AO46" s="743"/>
      <c r="AP46" s="161"/>
      <c r="AQ46" s="743"/>
      <c r="AR46" s="743"/>
      <c r="AS46" s="743"/>
      <c r="AT46" s="743"/>
      <c r="AU46" s="161"/>
      <c r="AV46" s="743"/>
      <c r="AW46" s="743"/>
      <c r="AX46" s="743"/>
      <c r="AY46" s="743"/>
      <c r="AZ46" s="161"/>
      <c r="BA46" s="743"/>
      <c r="BB46" s="743"/>
      <c r="BC46" s="743"/>
      <c r="BD46" s="743"/>
      <c r="BE46" s="161"/>
      <c r="BF46" s="743"/>
      <c r="BG46" s="743"/>
      <c r="BH46" s="743"/>
      <c r="BI46" s="743"/>
      <c r="BJ46" s="161"/>
      <c r="BK46" s="162"/>
      <c r="BL46" s="162"/>
      <c r="BM46" s="144"/>
    </row>
    <row r="47" spans="1:65">
      <c r="A47" s="763"/>
      <c r="B47" s="730" t="s">
        <v>418</v>
      </c>
      <c r="C47" s="749"/>
      <c r="D47" s="749"/>
      <c r="E47" s="749"/>
      <c r="F47" s="749"/>
      <c r="G47" s="750"/>
      <c r="H47" s="743"/>
      <c r="I47" s="743"/>
      <c r="J47" s="743"/>
      <c r="K47" s="743"/>
      <c r="L47" s="161"/>
      <c r="M47" s="743"/>
      <c r="N47" s="743"/>
      <c r="O47" s="743"/>
      <c r="P47" s="743"/>
      <c r="Q47" s="161"/>
      <c r="R47" s="743"/>
      <c r="S47" s="743"/>
      <c r="T47" s="743"/>
      <c r="U47" s="743"/>
      <c r="V47" s="161"/>
      <c r="W47" s="743"/>
      <c r="X47" s="743"/>
      <c r="Y47" s="743"/>
      <c r="Z47" s="743"/>
      <c r="AA47" s="161"/>
      <c r="AB47" s="743"/>
      <c r="AC47" s="743"/>
      <c r="AD47" s="743"/>
      <c r="AE47" s="743"/>
      <c r="AF47" s="161"/>
      <c r="AG47" s="743"/>
      <c r="AH47" s="743"/>
      <c r="AI47" s="743"/>
      <c r="AJ47" s="743"/>
      <c r="AK47" s="161"/>
      <c r="AL47" s="743"/>
      <c r="AM47" s="743"/>
      <c r="AN47" s="743"/>
      <c r="AO47" s="743"/>
      <c r="AP47" s="161"/>
      <c r="AQ47" s="743"/>
      <c r="AR47" s="743"/>
      <c r="AS47" s="743"/>
      <c r="AT47" s="743"/>
      <c r="AU47" s="161"/>
      <c r="AV47" s="743"/>
      <c r="AW47" s="743"/>
      <c r="AX47" s="743"/>
      <c r="AY47" s="743"/>
      <c r="AZ47" s="161"/>
      <c r="BA47" s="743"/>
      <c r="BB47" s="743"/>
      <c r="BC47" s="743"/>
      <c r="BD47" s="743"/>
      <c r="BE47" s="161"/>
      <c r="BF47" s="743"/>
      <c r="BG47" s="743"/>
      <c r="BH47" s="743"/>
      <c r="BI47" s="743"/>
      <c r="BJ47" s="161"/>
      <c r="BK47" s="162"/>
      <c r="BL47" s="162"/>
      <c r="BM47" s="144"/>
    </row>
    <row r="48" spans="1:65">
      <c r="A48" s="763"/>
      <c r="B48" s="735" t="s">
        <v>270</v>
      </c>
      <c r="C48" s="749"/>
      <c r="D48" s="749"/>
      <c r="E48" s="749"/>
      <c r="F48" s="749"/>
      <c r="G48" s="750"/>
      <c r="H48" s="743"/>
      <c r="I48" s="743"/>
      <c r="J48" s="743"/>
      <c r="K48" s="743"/>
      <c r="L48" s="161"/>
      <c r="M48" s="743"/>
      <c r="N48" s="743"/>
      <c r="O48" s="743"/>
      <c r="P48" s="743"/>
      <c r="Q48" s="161"/>
      <c r="R48" s="743"/>
      <c r="S48" s="743"/>
      <c r="T48" s="743"/>
      <c r="U48" s="743"/>
      <c r="V48" s="161"/>
      <c r="W48" s="743"/>
      <c r="X48" s="743"/>
      <c r="Y48" s="743"/>
      <c r="Z48" s="743"/>
      <c r="AA48" s="161"/>
      <c r="AB48" s="743"/>
      <c r="AC48" s="743"/>
      <c r="AD48" s="743"/>
      <c r="AE48" s="743"/>
      <c r="AF48" s="161"/>
      <c r="AG48" s="743"/>
      <c r="AH48" s="743"/>
      <c r="AI48" s="743"/>
      <c r="AJ48" s="743"/>
      <c r="AK48" s="161"/>
      <c r="AL48" s="743"/>
      <c r="AM48" s="743"/>
      <c r="AN48" s="743"/>
      <c r="AO48" s="743"/>
      <c r="AP48" s="161"/>
      <c r="AQ48" s="743"/>
      <c r="AR48" s="743"/>
      <c r="AS48" s="743"/>
      <c r="AT48" s="743"/>
      <c r="AU48" s="161"/>
      <c r="AV48" s="262">
        <f>+AV51*AV60*2.5/3</f>
        <v>130.85670000000002</v>
      </c>
      <c r="AW48" s="262">
        <f>+AW51*AW60</f>
        <v>154.32066000000003</v>
      </c>
      <c r="AX48" s="262">
        <f>+AX51*AX60</f>
        <v>154.32066000000003</v>
      </c>
      <c r="AY48" s="262">
        <f>+AY51*AY60</f>
        <v>166.19148000000004</v>
      </c>
      <c r="AZ48" s="736">
        <f>+SUM(AV48:AY48)</f>
        <v>605.68950000000007</v>
      </c>
      <c r="BA48" s="262">
        <f>+BA51*BA60</f>
        <v>182.59220491200006</v>
      </c>
      <c r="BB48" s="262">
        <f>+BB51*BB60</f>
        <v>179.44406344800009</v>
      </c>
      <c r="BC48" s="262">
        <f>+BC51*BC60</f>
        <v>180.91396773450003</v>
      </c>
      <c r="BD48" s="262">
        <f>+BD51*BD60</f>
        <v>194.83042679100004</v>
      </c>
      <c r="BE48" s="736">
        <f>+SUM(BA48:BD48)</f>
        <v>737.78066288550019</v>
      </c>
      <c r="BF48" s="262">
        <f>+BF51*BF60</f>
        <v>216.04309685187846</v>
      </c>
      <c r="BG48" s="262">
        <f>+BG51*BG60</f>
        <v>212.31821587167369</v>
      </c>
      <c r="BH48" s="262">
        <f>+BH51*BH60</f>
        <v>214.05740662346045</v>
      </c>
      <c r="BI48" s="262">
        <f>+BI51*BI60</f>
        <v>230.52336097911126</v>
      </c>
      <c r="BJ48" s="736">
        <f>+SUM(BF48:BI48)</f>
        <v>872.94208032612391</v>
      </c>
      <c r="BK48" s="162"/>
      <c r="BL48" s="262">
        <f>1344*50%</f>
        <v>672</v>
      </c>
      <c r="BM48" s="144">
        <f>+AU8*0.1</f>
        <v>178.7354</v>
      </c>
    </row>
    <row r="49" spans="1:66">
      <c r="A49" s="763"/>
      <c r="B49" s="737" t="s">
        <v>16</v>
      </c>
      <c r="C49" s="749"/>
      <c r="D49" s="749"/>
      <c r="E49" s="749"/>
      <c r="F49" s="749"/>
      <c r="G49" s="750"/>
      <c r="H49" s="743"/>
      <c r="I49" s="743"/>
      <c r="J49" s="743"/>
      <c r="K49" s="743"/>
      <c r="L49" s="161"/>
      <c r="M49" s="743"/>
      <c r="N49" s="743"/>
      <c r="O49" s="743"/>
      <c r="P49" s="743"/>
      <c r="Q49" s="161"/>
      <c r="R49" s="743"/>
      <c r="S49" s="743"/>
      <c r="T49" s="743"/>
      <c r="U49" s="743"/>
      <c r="V49" s="161"/>
      <c r="W49" s="743"/>
      <c r="X49" s="743"/>
      <c r="Y49" s="743"/>
      <c r="Z49" s="743"/>
      <c r="AA49" s="161"/>
      <c r="AB49" s="743"/>
      <c r="AC49" s="743"/>
      <c r="AD49" s="743"/>
      <c r="AE49" s="743"/>
      <c r="AF49" s="161"/>
      <c r="AG49" s="743"/>
      <c r="AH49" s="743"/>
      <c r="AI49" s="743"/>
      <c r="AJ49" s="743"/>
      <c r="AK49" s="161"/>
      <c r="AL49" s="743"/>
      <c r="AM49" s="743"/>
      <c r="AN49" s="743"/>
      <c r="AO49" s="743"/>
      <c r="AP49" s="161"/>
      <c r="AQ49" s="743"/>
      <c r="AR49" s="743"/>
      <c r="AS49" s="743"/>
      <c r="AT49" s="743"/>
      <c r="AU49" s="161"/>
      <c r="AV49" s="743"/>
      <c r="AW49" s="743"/>
      <c r="AX49" s="743"/>
      <c r="AY49" s="743"/>
      <c r="AZ49" s="158"/>
      <c r="BA49" s="304">
        <f t="shared" ref="BA49:BJ49" si="9">+BA48/AV48-1</f>
        <v>0.39536000000000016</v>
      </c>
      <c r="BB49" s="304">
        <f t="shared" si="9"/>
        <v>0.16280000000000028</v>
      </c>
      <c r="BC49" s="304">
        <f t="shared" si="9"/>
        <v>0.17232500000000006</v>
      </c>
      <c r="BD49" s="304">
        <f t="shared" si="9"/>
        <v>0.17232499999999984</v>
      </c>
      <c r="BE49" s="158">
        <f t="shared" si="9"/>
        <v>0.21808395702005745</v>
      </c>
      <c r="BF49" s="304">
        <f t="shared" si="9"/>
        <v>0.18320000000000003</v>
      </c>
      <c r="BG49" s="304">
        <f t="shared" si="9"/>
        <v>0.18319999999999981</v>
      </c>
      <c r="BH49" s="304">
        <f t="shared" si="9"/>
        <v>0.18320000000000003</v>
      </c>
      <c r="BI49" s="304">
        <f t="shared" si="9"/>
        <v>0.18320000000000003</v>
      </c>
      <c r="BJ49" s="158">
        <f t="shared" si="9"/>
        <v>0.18320000000000003</v>
      </c>
      <c r="BK49" s="162"/>
      <c r="BL49" s="162"/>
      <c r="BM49" s="1302">
        <f>+BL48-BM48</f>
        <v>493.26459999999997</v>
      </c>
      <c r="BN49">
        <f>+BM49*1.18</f>
        <v>582.0522279999999</v>
      </c>
    </row>
    <row r="50" spans="1:66">
      <c r="A50" s="763"/>
      <c r="B50" s="737"/>
      <c r="C50" s="749"/>
      <c r="D50" s="749"/>
      <c r="E50" s="749"/>
      <c r="F50" s="749"/>
      <c r="G50" s="750"/>
      <c r="H50" s="743"/>
      <c r="I50" s="743"/>
      <c r="J50" s="743"/>
      <c r="K50" s="743"/>
      <c r="L50" s="161"/>
      <c r="M50" s="743"/>
      <c r="N50" s="743"/>
      <c r="O50" s="743"/>
      <c r="P50" s="743"/>
      <c r="Q50" s="161"/>
      <c r="R50" s="743"/>
      <c r="S50" s="743"/>
      <c r="T50" s="743"/>
      <c r="U50" s="743"/>
      <c r="V50" s="161"/>
      <c r="W50" s="743"/>
      <c r="X50" s="743"/>
      <c r="Y50" s="743"/>
      <c r="Z50" s="743"/>
      <c r="AA50" s="161"/>
      <c r="AB50" s="743"/>
      <c r="AC50" s="743"/>
      <c r="AD50" s="743"/>
      <c r="AE50" s="743"/>
      <c r="AF50" s="161"/>
      <c r="AG50" s="743"/>
      <c r="AH50" s="743"/>
      <c r="AI50" s="743"/>
      <c r="AJ50" s="743"/>
      <c r="AK50" s="161"/>
      <c r="AL50" s="743"/>
      <c r="AM50" s="743"/>
      <c r="AN50" s="743"/>
      <c r="AO50" s="743"/>
      <c r="AP50" s="161"/>
      <c r="AQ50" s="743"/>
      <c r="AR50" s="743"/>
      <c r="AS50" s="743"/>
      <c r="AT50" s="743"/>
      <c r="AU50" s="161"/>
      <c r="AV50" s="743"/>
      <c r="AW50" s="743"/>
      <c r="AX50" s="743"/>
      <c r="AY50" s="743"/>
      <c r="AZ50" s="161"/>
      <c r="BA50" s="743"/>
      <c r="BB50" s="743"/>
      <c r="BC50" s="743"/>
      <c r="BD50" s="743"/>
      <c r="BE50" s="161"/>
      <c r="BF50" s="743"/>
      <c r="BG50" s="743"/>
      <c r="BH50" s="743"/>
      <c r="BI50" s="743"/>
      <c r="BJ50" s="161"/>
      <c r="BK50" s="162"/>
      <c r="BL50" s="162"/>
      <c r="BM50" s="144"/>
    </row>
    <row r="51" spans="1:66">
      <c r="A51" s="763"/>
      <c r="B51" s="739" t="s">
        <v>271</v>
      </c>
      <c r="C51" s="749"/>
      <c r="D51" s="749"/>
      <c r="E51" s="749"/>
      <c r="F51" s="749"/>
      <c r="G51" s="750"/>
      <c r="H51" s="743"/>
      <c r="I51" s="743"/>
      <c r="J51" s="743"/>
      <c r="K51" s="743"/>
      <c r="L51" s="161"/>
      <c r="M51" s="743"/>
      <c r="N51" s="743"/>
      <c r="O51" s="743"/>
      <c r="P51" s="743"/>
      <c r="Q51" s="161"/>
      <c r="R51" s="743"/>
      <c r="S51" s="743"/>
      <c r="T51" s="743"/>
      <c r="U51" s="743"/>
      <c r="V51" s="161"/>
      <c r="W51" s="743"/>
      <c r="X51" s="743"/>
      <c r="Y51" s="743"/>
      <c r="Z51" s="743"/>
      <c r="AA51" s="161"/>
      <c r="AB51" s="743"/>
      <c r="AC51" s="743"/>
      <c r="AD51" s="743"/>
      <c r="AE51" s="743"/>
      <c r="AF51" s="161"/>
      <c r="AG51" s="743"/>
      <c r="AH51" s="743"/>
      <c r="AI51" s="743"/>
      <c r="AJ51" s="743"/>
      <c r="AK51" s="161"/>
      <c r="AL51" s="743"/>
      <c r="AM51" s="743"/>
      <c r="AN51" s="743"/>
      <c r="AO51" s="743"/>
      <c r="AP51" s="161"/>
      <c r="AQ51" s="722">
        <v>1300</v>
      </c>
      <c r="AR51" s="722">
        <v>1300</v>
      </c>
      <c r="AS51" s="722">
        <v>1300</v>
      </c>
      <c r="AT51" s="722">
        <v>1400</v>
      </c>
      <c r="AU51" s="161"/>
      <c r="AV51" s="722">
        <f>+AQ51*(1+AV52)</f>
        <v>1508</v>
      </c>
      <c r="AW51" s="722">
        <f>+AR51*(1+AW52)</f>
        <v>1482.0000000000002</v>
      </c>
      <c r="AX51" s="722">
        <f>+AS51*(1+AX52)</f>
        <v>1482.0000000000002</v>
      </c>
      <c r="AY51" s="722">
        <f>+AT51*(1+AY52)</f>
        <v>1596.0000000000002</v>
      </c>
      <c r="AZ51" s="741">
        <f>+SUM(AV51:AY51)</f>
        <v>6068</v>
      </c>
      <c r="BA51" s="722">
        <f>+AV51*(1+BA52)</f>
        <v>1719.1200000000001</v>
      </c>
      <c r="BB51" s="722">
        <f>+AW51*(1+BB52)</f>
        <v>1689.4800000000005</v>
      </c>
      <c r="BC51" s="722">
        <f>+AX51*(1+BC52)</f>
        <v>1711.7100000000003</v>
      </c>
      <c r="BD51" s="722">
        <f>+AY51*(1+BD52)</f>
        <v>1843.3800000000003</v>
      </c>
      <c r="BE51" s="741">
        <f>+SUM(BA51:BD51)</f>
        <v>6963.6900000000005</v>
      </c>
      <c r="BF51" s="722">
        <f>+BA51*(1+BF52)</f>
        <v>1994.1792</v>
      </c>
      <c r="BG51" s="722">
        <f>+BB51*(1+BG52)</f>
        <v>1959.7968000000003</v>
      </c>
      <c r="BH51" s="722">
        <f>+BC51*(1+BH52)</f>
        <v>1985.5836000000002</v>
      </c>
      <c r="BI51" s="722">
        <f>+BD51*(1+BI52)</f>
        <v>2138.3208000000004</v>
      </c>
      <c r="BJ51" s="741">
        <f>+SUM(BF51:BI51)</f>
        <v>8077.8804000000009</v>
      </c>
      <c r="BK51" s="162"/>
      <c r="BL51" s="162"/>
      <c r="BM51" s="144"/>
    </row>
    <row r="52" spans="1:66">
      <c r="A52" s="763"/>
      <c r="B52" s="737" t="s">
        <v>16</v>
      </c>
      <c r="C52" s="749"/>
      <c r="D52" s="749"/>
      <c r="E52" s="749"/>
      <c r="F52" s="749"/>
      <c r="G52" s="750"/>
      <c r="H52" s="743"/>
      <c r="I52" s="743"/>
      <c r="J52" s="743"/>
      <c r="K52" s="743"/>
      <c r="L52" s="161"/>
      <c r="M52" s="743"/>
      <c r="N52" s="743"/>
      <c r="O52" s="743"/>
      <c r="P52" s="743"/>
      <c r="Q52" s="161"/>
      <c r="R52" s="743"/>
      <c r="S52" s="743"/>
      <c r="T52" s="743"/>
      <c r="U52" s="743"/>
      <c r="V52" s="161"/>
      <c r="W52" s="743"/>
      <c r="X52" s="743"/>
      <c r="Y52" s="743"/>
      <c r="Z52" s="743"/>
      <c r="AA52" s="161"/>
      <c r="AB52" s="743"/>
      <c r="AC52" s="743"/>
      <c r="AD52" s="743"/>
      <c r="AE52" s="743"/>
      <c r="AF52" s="161"/>
      <c r="AG52" s="743"/>
      <c r="AH52" s="743"/>
      <c r="AI52" s="743"/>
      <c r="AJ52" s="743"/>
      <c r="AK52" s="161"/>
      <c r="AL52" s="743"/>
      <c r="AM52" s="743"/>
      <c r="AN52" s="743"/>
      <c r="AO52" s="743"/>
      <c r="AP52" s="161"/>
      <c r="AQ52" s="743"/>
      <c r="AR52" s="743"/>
      <c r="AS52" s="743"/>
      <c r="AT52" s="743"/>
      <c r="AU52" s="161"/>
      <c r="AV52" s="208">
        <f>CHOOSE(_Switch,AV53,AV54,AV55)</f>
        <v>0.16</v>
      </c>
      <c r="AW52" s="208">
        <f>CHOOSE(_Switch,AW53,AW54,AW55)</f>
        <v>0.14000000000000001</v>
      </c>
      <c r="AX52" s="208">
        <f>CHOOSE(_Switch,AX53,AX54,AX55)</f>
        <v>0.14000000000000001</v>
      </c>
      <c r="AY52" s="208">
        <f>CHOOSE(_Switch,AY53,AY54,AY55)</f>
        <v>0.14000000000000001</v>
      </c>
      <c r="AZ52" s="158" t="e">
        <f>+AZ51/AU51-1</f>
        <v>#DIV/0!</v>
      </c>
      <c r="BA52" s="208">
        <f>CHOOSE(_Switch,BA53,BA54,BA55)</f>
        <v>0.14000000000000001</v>
      </c>
      <c r="BB52" s="208">
        <f>CHOOSE(_Switch,BB53,BB54,BB55)</f>
        <v>0.14000000000000001</v>
      </c>
      <c r="BC52" s="208">
        <f>CHOOSE(_Switch,BC53,BC54,BC55)</f>
        <v>0.155</v>
      </c>
      <c r="BD52" s="208">
        <f>CHOOSE(_Switch,BD53,BD54,BD55)</f>
        <v>0.155</v>
      </c>
      <c r="BE52" s="158">
        <f>+BE51/AZ51-1</f>
        <v>0.14760876730388928</v>
      </c>
      <c r="BF52" s="208">
        <f>CHOOSE(_Switch,BF53,BF54,BF55)</f>
        <v>0.16</v>
      </c>
      <c r="BG52" s="208">
        <f>CHOOSE(_Switch,BG53,BG54,BG55)</f>
        <v>0.16</v>
      </c>
      <c r="BH52" s="208">
        <f>CHOOSE(_Switch,BH53,BH54,BH55)</f>
        <v>0.16</v>
      </c>
      <c r="BI52" s="208">
        <f>CHOOSE(_Switch,BI53,BI54,BI55)</f>
        <v>0.16</v>
      </c>
      <c r="BJ52" s="158">
        <f>+BJ51/BE51-1</f>
        <v>0.16000000000000014</v>
      </c>
      <c r="BK52" s="162"/>
      <c r="BL52" s="162"/>
      <c r="BM52" s="144"/>
    </row>
    <row r="53" spans="1:66">
      <c r="A53" s="763"/>
      <c r="B53" s="209" t="s">
        <v>93</v>
      </c>
      <c r="C53" s="749"/>
      <c r="D53" s="749"/>
      <c r="E53" s="749"/>
      <c r="F53" s="749"/>
      <c r="G53" s="750"/>
      <c r="H53" s="743"/>
      <c r="I53" s="743"/>
      <c r="J53" s="743"/>
      <c r="K53" s="743"/>
      <c r="L53" s="161"/>
      <c r="M53" s="743"/>
      <c r="N53" s="743"/>
      <c r="O53" s="743"/>
      <c r="P53" s="743"/>
      <c r="Q53" s="161"/>
      <c r="R53" s="743"/>
      <c r="S53" s="743"/>
      <c r="T53" s="743"/>
      <c r="U53" s="743"/>
      <c r="V53" s="161"/>
      <c r="W53" s="743"/>
      <c r="X53" s="743"/>
      <c r="Y53" s="743"/>
      <c r="Z53" s="743"/>
      <c r="AA53" s="161"/>
      <c r="AB53" s="743"/>
      <c r="AC53" s="743"/>
      <c r="AD53" s="743"/>
      <c r="AE53" s="743"/>
      <c r="AF53" s="161"/>
      <c r="AG53" s="743"/>
      <c r="AH53" s="743"/>
      <c r="AI53" s="743"/>
      <c r="AJ53" s="743"/>
      <c r="AK53" s="161"/>
      <c r="AL53" s="743"/>
      <c r="AM53" s="743"/>
      <c r="AN53" s="743"/>
      <c r="AO53" s="743"/>
      <c r="AP53" s="161"/>
      <c r="AQ53" s="743"/>
      <c r="AR53" s="743"/>
      <c r="AS53" s="743"/>
      <c r="AT53" s="743"/>
      <c r="AU53" s="161"/>
      <c r="AV53" s="746">
        <f>+AV54+0.02</f>
        <v>0.18</v>
      </c>
      <c r="AW53" s="746">
        <f>+AW54+0.02</f>
        <v>0.16</v>
      </c>
      <c r="AX53" s="746">
        <f>+AX54+0.02</f>
        <v>0.16</v>
      </c>
      <c r="AY53" s="746">
        <f>+AY54+0.02</f>
        <v>0.16</v>
      </c>
      <c r="AZ53" s="161"/>
      <c r="BA53" s="746">
        <f>+BA54+0.04</f>
        <v>0.18000000000000002</v>
      </c>
      <c r="BB53" s="746">
        <f t="shared" ref="BB53:BD53" si="10">+BB54+0.04</f>
        <v>0.18000000000000002</v>
      </c>
      <c r="BC53" s="746">
        <f t="shared" si="10"/>
        <v>0.19500000000000001</v>
      </c>
      <c r="BD53" s="746">
        <f t="shared" si="10"/>
        <v>0.19500000000000001</v>
      </c>
      <c r="BE53" s="161"/>
      <c r="BF53" s="746">
        <f>+BF54+0.05</f>
        <v>0.21000000000000002</v>
      </c>
      <c r="BG53" s="746">
        <f t="shared" ref="BG53:BI53" si="11">+BG54+0.05</f>
        <v>0.21000000000000002</v>
      </c>
      <c r="BH53" s="746">
        <f t="shared" si="11"/>
        <v>0.21000000000000002</v>
      </c>
      <c r="BI53" s="746">
        <f t="shared" si="11"/>
        <v>0.21000000000000002</v>
      </c>
      <c r="BJ53" s="161"/>
      <c r="BK53" s="162"/>
      <c r="BL53" s="162"/>
      <c r="BM53" s="144"/>
    </row>
    <row r="54" spans="1:66">
      <c r="A54" s="763"/>
      <c r="B54" s="209" t="s">
        <v>94</v>
      </c>
      <c r="C54" s="749"/>
      <c r="D54" s="749"/>
      <c r="E54" s="749"/>
      <c r="F54" s="749"/>
      <c r="G54" s="750"/>
      <c r="H54" s="743"/>
      <c r="I54" s="743"/>
      <c r="J54" s="743"/>
      <c r="K54" s="743"/>
      <c r="L54" s="161"/>
      <c r="M54" s="743"/>
      <c r="N54" s="743"/>
      <c r="O54" s="743"/>
      <c r="P54" s="743"/>
      <c r="Q54" s="161"/>
      <c r="R54" s="743"/>
      <c r="S54" s="743"/>
      <c r="T54" s="743"/>
      <c r="U54" s="743"/>
      <c r="V54" s="161"/>
      <c r="W54" s="743"/>
      <c r="X54" s="743"/>
      <c r="Y54" s="743"/>
      <c r="Z54" s="743"/>
      <c r="AA54" s="161"/>
      <c r="AB54" s="743"/>
      <c r="AC54" s="743"/>
      <c r="AD54" s="743"/>
      <c r="AE54" s="743"/>
      <c r="AF54" s="161"/>
      <c r="AG54" s="743"/>
      <c r="AH54" s="743"/>
      <c r="AI54" s="743"/>
      <c r="AJ54" s="743"/>
      <c r="AK54" s="161"/>
      <c r="AL54" s="743"/>
      <c r="AM54" s="743"/>
      <c r="AN54" s="743"/>
      <c r="AO54" s="743"/>
      <c r="AP54" s="161"/>
      <c r="AQ54" s="743"/>
      <c r="AR54" s="743"/>
      <c r="AS54" s="743"/>
      <c r="AT54" s="743"/>
      <c r="AU54" s="161"/>
      <c r="AV54" s="746">
        <v>0.16</v>
      </c>
      <c r="AW54" s="746">
        <v>0.14000000000000001</v>
      </c>
      <c r="AX54" s="746">
        <f>+AW54</f>
        <v>0.14000000000000001</v>
      </c>
      <c r="AY54" s="746">
        <f>+AX54</f>
        <v>0.14000000000000001</v>
      </c>
      <c r="AZ54" s="161"/>
      <c r="BA54" s="746">
        <v>0.14000000000000001</v>
      </c>
      <c r="BB54" s="746">
        <f>+BA54</f>
        <v>0.14000000000000001</v>
      </c>
      <c r="BC54" s="746">
        <v>0.155</v>
      </c>
      <c r="BD54" s="746">
        <f>+BC54</f>
        <v>0.155</v>
      </c>
      <c r="BE54" s="161"/>
      <c r="BF54" s="746">
        <v>0.16</v>
      </c>
      <c r="BG54" s="746">
        <f>+BF54</f>
        <v>0.16</v>
      </c>
      <c r="BH54" s="746">
        <f>+BG54</f>
        <v>0.16</v>
      </c>
      <c r="BI54" s="746">
        <f>+BH54</f>
        <v>0.16</v>
      </c>
      <c r="BJ54" s="161"/>
      <c r="BK54" s="162"/>
      <c r="BL54" s="162"/>
      <c r="BM54" s="144"/>
    </row>
    <row r="55" spans="1:66">
      <c r="A55" s="763"/>
      <c r="B55" s="209" t="s">
        <v>95</v>
      </c>
      <c r="C55" s="749"/>
      <c r="D55" s="749"/>
      <c r="E55" s="749"/>
      <c r="F55" s="749"/>
      <c r="G55" s="750"/>
      <c r="H55" s="743"/>
      <c r="I55" s="743"/>
      <c r="J55" s="743"/>
      <c r="K55" s="743"/>
      <c r="L55" s="161"/>
      <c r="M55" s="743"/>
      <c r="N55" s="743"/>
      <c r="O55" s="743"/>
      <c r="P55" s="743"/>
      <c r="Q55" s="161"/>
      <c r="R55" s="743"/>
      <c r="S55" s="743"/>
      <c r="T55" s="743"/>
      <c r="U55" s="743"/>
      <c r="V55" s="161"/>
      <c r="W55" s="743"/>
      <c r="X55" s="743"/>
      <c r="Y55" s="743"/>
      <c r="Z55" s="743"/>
      <c r="AA55" s="161"/>
      <c r="AB55" s="743"/>
      <c r="AC55" s="743"/>
      <c r="AD55" s="743"/>
      <c r="AE55" s="743"/>
      <c r="AF55" s="161"/>
      <c r="AG55" s="743"/>
      <c r="AH55" s="743"/>
      <c r="AI55" s="743"/>
      <c r="AJ55" s="743"/>
      <c r="AK55" s="161"/>
      <c r="AL55" s="743"/>
      <c r="AM55" s="743"/>
      <c r="AN55" s="743"/>
      <c r="AO55" s="743"/>
      <c r="AP55" s="161"/>
      <c r="AQ55" s="743"/>
      <c r="AR55" s="743"/>
      <c r="AS55" s="743"/>
      <c r="AT55" s="743"/>
      <c r="AU55" s="161"/>
      <c r="AV55" s="746">
        <f>+AV54-0.03</f>
        <v>0.13</v>
      </c>
      <c r="AW55" s="746">
        <f>+AW54-0.03</f>
        <v>0.11000000000000001</v>
      </c>
      <c r="AX55" s="746">
        <f>+AX54-0.03</f>
        <v>0.11000000000000001</v>
      </c>
      <c r="AY55" s="746">
        <f>+AY54-0.03</f>
        <v>0.11000000000000001</v>
      </c>
      <c r="AZ55" s="161"/>
      <c r="BA55" s="746">
        <f>+BA54-0.03</f>
        <v>0.11000000000000001</v>
      </c>
      <c r="BB55" s="746">
        <f>+BB54-0.03</f>
        <v>0.11000000000000001</v>
      </c>
      <c r="BC55" s="746">
        <f>+BC54-0.03</f>
        <v>0.125</v>
      </c>
      <c r="BD55" s="746">
        <f>+BD54-0.03</f>
        <v>0.125</v>
      </c>
      <c r="BE55" s="161"/>
      <c r="BF55" s="746">
        <f>+BF54-0.03</f>
        <v>0.13</v>
      </c>
      <c r="BG55" s="746">
        <f>+BG54-0.03</f>
        <v>0.13</v>
      </c>
      <c r="BH55" s="746">
        <f>+BH54-0.03</f>
        <v>0.13</v>
      </c>
      <c r="BI55" s="746">
        <f>+BI54-0.03</f>
        <v>0.13</v>
      </c>
      <c r="BJ55" s="161"/>
      <c r="BK55" s="162"/>
      <c r="BL55" s="162"/>
      <c r="BM55" s="144"/>
    </row>
    <row r="56" spans="1:66">
      <c r="A56" s="763"/>
      <c r="B56" s="748"/>
      <c r="C56" s="749"/>
      <c r="D56" s="749"/>
      <c r="E56" s="749"/>
      <c r="F56" s="749"/>
      <c r="G56" s="750"/>
      <c r="H56" s="743"/>
      <c r="I56" s="743"/>
      <c r="J56" s="743"/>
      <c r="K56" s="743"/>
      <c r="L56" s="161"/>
      <c r="M56" s="743"/>
      <c r="N56" s="743"/>
      <c r="O56" s="743"/>
      <c r="P56" s="743"/>
      <c r="Q56" s="161"/>
      <c r="R56" s="743"/>
      <c r="S56" s="743"/>
      <c r="T56" s="743"/>
      <c r="U56" s="743"/>
      <c r="V56" s="161"/>
      <c r="W56" s="743"/>
      <c r="X56" s="743"/>
      <c r="Y56" s="743"/>
      <c r="Z56" s="743"/>
      <c r="AA56" s="161"/>
      <c r="AB56" s="743"/>
      <c r="AC56" s="743"/>
      <c r="AD56" s="743"/>
      <c r="AE56" s="743"/>
      <c r="AF56" s="161"/>
      <c r="AG56" s="743"/>
      <c r="AH56" s="743"/>
      <c r="AI56" s="743"/>
      <c r="AJ56" s="743"/>
      <c r="AK56" s="161"/>
      <c r="AL56" s="743"/>
      <c r="AM56" s="743"/>
      <c r="AN56" s="743"/>
      <c r="AO56" s="743"/>
      <c r="AP56" s="161"/>
      <c r="AQ56" s="743"/>
      <c r="AR56" s="743"/>
      <c r="AS56" s="743"/>
      <c r="AT56" s="743"/>
      <c r="AU56" s="161"/>
      <c r="AV56" s="743"/>
      <c r="AW56" s="743"/>
      <c r="AX56" s="743"/>
      <c r="AY56" s="743"/>
      <c r="AZ56" s="161"/>
      <c r="BA56" s="743"/>
      <c r="BB56" s="743"/>
      <c r="BC56" s="743"/>
      <c r="BD56" s="743"/>
      <c r="BE56" s="161"/>
      <c r="BF56" s="743"/>
      <c r="BG56" s="743"/>
      <c r="BH56" s="743"/>
      <c r="BI56" s="743"/>
      <c r="BJ56" s="161"/>
      <c r="BK56" s="162"/>
      <c r="BL56" s="162"/>
      <c r="BM56" s="144"/>
    </row>
    <row r="57" spans="1:66">
      <c r="A57" s="763"/>
      <c r="B57" s="737" t="s">
        <v>272</v>
      </c>
      <c r="C57" s="749"/>
      <c r="D57" s="749"/>
      <c r="E57" s="749"/>
      <c r="F57" s="749"/>
      <c r="G57" s="750"/>
      <c r="H57" s="743"/>
      <c r="I57" s="743"/>
      <c r="J57" s="743"/>
      <c r="K57" s="743"/>
      <c r="L57" s="161"/>
      <c r="M57" s="743"/>
      <c r="N57" s="743"/>
      <c r="O57" s="743"/>
      <c r="P57" s="743"/>
      <c r="Q57" s="161"/>
      <c r="R57" s="743"/>
      <c r="S57" s="743"/>
      <c r="T57" s="743"/>
      <c r="U57" s="743"/>
      <c r="V57" s="161"/>
      <c r="W57" s="743"/>
      <c r="X57" s="743"/>
      <c r="Y57" s="743"/>
      <c r="Z57" s="743"/>
      <c r="AA57" s="161"/>
      <c r="AB57" s="743"/>
      <c r="AC57" s="743"/>
      <c r="AD57" s="743"/>
      <c r="AE57" s="743"/>
      <c r="AF57" s="161"/>
      <c r="AG57" s="743"/>
      <c r="AH57" s="743"/>
      <c r="AI57" s="743"/>
      <c r="AJ57" s="743"/>
      <c r="AK57" s="161"/>
      <c r="AL57" s="743"/>
      <c r="AM57" s="743"/>
      <c r="AN57" s="743"/>
      <c r="AO57" s="743"/>
      <c r="AP57" s="161"/>
      <c r="AQ57" s="743"/>
      <c r="AR57" s="743"/>
      <c r="AS57" s="743"/>
      <c r="AT57" s="743"/>
      <c r="AU57" s="161"/>
      <c r="AV57" s="743"/>
      <c r="AW57" s="743"/>
      <c r="AX57" s="743"/>
      <c r="AY57" s="743"/>
      <c r="AZ57" s="161"/>
      <c r="BA57" s="743"/>
      <c r="BB57" s="743"/>
      <c r="BC57" s="743"/>
      <c r="BD57" s="743"/>
      <c r="BE57" s="161"/>
      <c r="BF57" s="743"/>
      <c r="BG57" s="743"/>
      <c r="BH57" s="743"/>
      <c r="BI57" s="743"/>
      <c r="BJ57" s="161"/>
      <c r="BK57" s="162"/>
      <c r="BL57" s="162"/>
      <c r="BM57" s="144"/>
    </row>
    <row r="58" spans="1:66">
      <c r="A58" s="763"/>
      <c r="B58" s="737" t="s">
        <v>274</v>
      </c>
      <c r="C58" s="749"/>
      <c r="D58" s="749"/>
      <c r="E58" s="749"/>
      <c r="F58" s="749"/>
      <c r="G58" s="750"/>
      <c r="H58" s="743"/>
      <c r="I58" s="743"/>
      <c r="J58" s="743"/>
      <c r="K58" s="743"/>
      <c r="L58" s="161"/>
      <c r="M58" s="743"/>
      <c r="N58" s="743"/>
      <c r="O58" s="743"/>
      <c r="P58" s="743"/>
      <c r="Q58" s="161"/>
      <c r="R58" s="743"/>
      <c r="S58" s="743"/>
      <c r="T58" s="743"/>
      <c r="U58" s="743"/>
      <c r="V58" s="161"/>
      <c r="W58" s="743"/>
      <c r="X58" s="743"/>
      <c r="Y58" s="743"/>
      <c r="Z58" s="743"/>
      <c r="AA58" s="161"/>
      <c r="AB58" s="743"/>
      <c r="AC58" s="743"/>
      <c r="AD58" s="743"/>
      <c r="AE58" s="743"/>
      <c r="AF58" s="161"/>
      <c r="AG58" s="743"/>
      <c r="AH58" s="743"/>
      <c r="AI58" s="743"/>
      <c r="AJ58" s="743"/>
      <c r="AK58" s="161"/>
      <c r="AL58" s="743"/>
      <c r="AM58" s="743"/>
      <c r="AN58" s="743"/>
      <c r="AO58" s="743"/>
      <c r="AP58" s="161"/>
      <c r="AQ58" s="743"/>
      <c r="AR58" s="743"/>
      <c r="AS58" s="743"/>
      <c r="AT58" s="743"/>
      <c r="AU58" s="161"/>
      <c r="AV58" s="743"/>
      <c r="AW58" s="743"/>
      <c r="AX58" s="743"/>
      <c r="AY58" s="743"/>
      <c r="AZ58" s="161"/>
      <c r="BA58" s="743"/>
      <c r="BB58" s="743"/>
      <c r="BC58" s="743"/>
      <c r="BD58" s="743"/>
      <c r="BE58" s="161"/>
      <c r="BF58" s="743"/>
      <c r="BG58" s="743"/>
      <c r="BH58" s="743"/>
      <c r="BI58" s="743"/>
      <c r="BJ58" s="161"/>
      <c r="BK58" s="162"/>
      <c r="BL58" s="162"/>
      <c r="BM58" s="144"/>
    </row>
    <row r="59" spans="1:66">
      <c r="A59" s="763"/>
      <c r="B59" s="737"/>
      <c r="C59" s="749"/>
      <c r="D59" s="749"/>
      <c r="E59" s="749"/>
      <c r="F59" s="749"/>
      <c r="G59" s="750"/>
      <c r="H59" s="743"/>
      <c r="I59" s="743"/>
      <c r="J59" s="743"/>
      <c r="K59" s="743"/>
      <c r="L59" s="161"/>
      <c r="M59" s="743"/>
      <c r="N59" s="743"/>
      <c r="O59" s="743"/>
      <c r="P59" s="743"/>
      <c r="Q59" s="161"/>
      <c r="R59" s="743"/>
      <c r="S59" s="743"/>
      <c r="T59" s="743"/>
      <c r="U59" s="743"/>
      <c r="V59" s="161"/>
      <c r="W59" s="743"/>
      <c r="X59" s="743"/>
      <c r="Y59" s="743"/>
      <c r="Z59" s="743"/>
      <c r="AA59" s="161"/>
      <c r="AB59" s="743"/>
      <c r="AC59" s="743"/>
      <c r="AD59" s="743"/>
      <c r="AE59" s="743"/>
      <c r="AF59" s="161"/>
      <c r="AG59" s="743"/>
      <c r="AH59" s="743"/>
      <c r="AI59" s="743"/>
      <c r="AJ59" s="743"/>
      <c r="AK59" s="161"/>
      <c r="AL59" s="743"/>
      <c r="AM59" s="743"/>
      <c r="AN59" s="743"/>
      <c r="AO59" s="743"/>
      <c r="AP59" s="161"/>
      <c r="AQ59" s="743"/>
      <c r="AR59" s="743"/>
      <c r="AS59" s="743"/>
      <c r="AT59" s="743"/>
      <c r="AU59" s="161"/>
      <c r="AV59" s="743"/>
      <c r="AW59" s="743"/>
      <c r="AX59" s="743"/>
      <c r="AY59" s="743"/>
      <c r="AZ59" s="161"/>
      <c r="BA59" s="743"/>
      <c r="BB59" s="743"/>
      <c r="BC59" s="743"/>
      <c r="BD59" s="743"/>
      <c r="BE59" s="161"/>
      <c r="BF59" s="743"/>
      <c r="BG59" s="743"/>
      <c r="BH59" s="743"/>
      <c r="BI59" s="743"/>
      <c r="BJ59" s="161"/>
      <c r="BK59" s="162"/>
      <c r="BL59" s="162"/>
      <c r="BM59" s="144"/>
    </row>
    <row r="60" spans="1:66">
      <c r="A60" s="763"/>
      <c r="B60" s="739" t="s">
        <v>275</v>
      </c>
      <c r="C60" s="749"/>
      <c r="D60" s="749"/>
      <c r="E60" s="749"/>
      <c r="F60" s="749"/>
      <c r="G60" s="750"/>
      <c r="H60" s="743"/>
      <c r="I60" s="743"/>
      <c r="J60" s="743"/>
      <c r="K60" s="743"/>
      <c r="L60" s="161"/>
      <c r="M60" s="743"/>
      <c r="N60" s="743"/>
      <c r="O60" s="743"/>
      <c r="P60" s="743"/>
      <c r="Q60" s="161"/>
      <c r="R60" s="743"/>
      <c r="S60" s="743"/>
      <c r="T60" s="743"/>
      <c r="U60" s="743"/>
      <c r="V60" s="161"/>
      <c r="W60" s="743"/>
      <c r="X60" s="743"/>
      <c r="Y60" s="743"/>
      <c r="Z60" s="743"/>
      <c r="AA60" s="161"/>
      <c r="AB60" s="743"/>
      <c r="AC60" s="743"/>
      <c r="AD60" s="743"/>
      <c r="AE60" s="743"/>
      <c r="AF60" s="161"/>
      <c r="AG60" s="743"/>
      <c r="AH60" s="743"/>
      <c r="AI60" s="743"/>
      <c r="AJ60" s="743"/>
      <c r="AK60" s="161"/>
      <c r="AL60" s="743"/>
      <c r="AM60" s="743"/>
      <c r="AN60" s="743"/>
      <c r="AO60" s="743"/>
      <c r="AP60" s="161"/>
      <c r="AQ60" s="743"/>
      <c r="AR60" s="743"/>
      <c r="AS60" s="743"/>
      <c r="AT60" s="743"/>
      <c r="AU60" s="161"/>
      <c r="AV60" s="754">
        <f>0.117*(1-11%)</f>
        <v>0.10413000000000001</v>
      </c>
      <c r="AW60" s="754">
        <f t="shared" ref="AW60:AY60" si="12">0.117*(1-11%)</f>
        <v>0.10413000000000001</v>
      </c>
      <c r="AX60" s="754">
        <f t="shared" si="12"/>
        <v>0.10413000000000001</v>
      </c>
      <c r="AY60" s="754">
        <f t="shared" si="12"/>
        <v>0.10413000000000001</v>
      </c>
      <c r="AZ60" s="758">
        <f>+AZ48/AZ51</f>
        <v>9.9816990771259079E-2</v>
      </c>
      <c r="BA60" s="754">
        <f>+AV60*(1+BA61)</f>
        <v>0.10621260000000002</v>
      </c>
      <c r="BB60" s="754">
        <f>+AW60*(1+BB61)</f>
        <v>0.10621260000000002</v>
      </c>
      <c r="BC60" s="754">
        <f>+AX60*(1+BC61)</f>
        <v>0.10569195000000001</v>
      </c>
      <c r="BD60" s="754">
        <f>+AY60*(1+BD61)</f>
        <v>0.10569195000000001</v>
      </c>
      <c r="BE60" s="758">
        <f>+BE48/BE51</f>
        <v>0.10594679873536877</v>
      </c>
      <c r="BF60" s="754">
        <f>+BA60*(1+BF61)</f>
        <v>0.10833685200000003</v>
      </c>
      <c r="BG60" s="754">
        <f>+BB60*(1+BG61)</f>
        <v>0.10833685200000003</v>
      </c>
      <c r="BH60" s="754">
        <f>+BC60*(1+BH61)</f>
        <v>0.10780578900000001</v>
      </c>
      <c r="BI60" s="754">
        <f>+BD60*(1+BI61)</f>
        <v>0.10780578900000001</v>
      </c>
      <c r="BJ60" s="758">
        <f>+BJ48/BJ51</f>
        <v>0.10806573471007615</v>
      </c>
      <c r="BK60" s="162"/>
      <c r="BL60" s="162"/>
      <c r="BM60" s="144"/>
    </row>
    <row r="61" spans="1:66">
      <c r="A61" s="763"/>
      <c r="B61" s="737" t="s">
        <v>16</v>
      </c>
      <c r="C61" s="749"/>
      <c r="D61" s="749"/>
      <c r="E61" s="749"/>
      <c r="F61" s="749"/>
      <c r="G61" s="750"/>
      <c r="H61" s="743"/>
      <c r="I61" s="743"/>
      <c r="J61" s="743"/>
      <c r="K61" s="743"/>
      <c r="L61" s="161"/>
      <c r="M61" s="743"/>
      <c r="N61" s="743"/>
      <c r="O61" s="743"/>
      <c r="P61" s="743"/>
      <c r="Q61" s="161"/>
      <c r="R61" s="743"/>
      <c r="S61" s="743"/>
      <c r="T61" s="743"/>
      <c r="U61" s="743"/>
      <c r="V61" s="161"/>
      <c r="W61" s="743"/>
      <c r="X61" s="743"/>
      <c r="Y61" s="743"/>
      <c r="Z61" s="743"/>
      <c r="AA61" s="161"/>
      <c r="AB61" s="743"/>
      <c r="AC61" s="743"/>
      <c r="AD61" s="743"/>
      <c r="AE61" s="743"/>
      <c r="AF61" s="161"/>
      <c r="AG61" s="743"/>
      <c r="AH61" s="743"/>
      <c r="AI61" s="743"/>
      <c r="AJ61" s="743"/>
      <c r="AK61" s="161"/>
      <c r="AL61" s="743"/>
      <c r="AM61" s="743"/>
      <c r="AN61" s="743"/>
      <c r="AO61" s="743"/>
      <c r="AP61" s="161"/>
      <c r="AQ61" s="743"/>
      <c r="AR61" s="743"/>
      <c r="AS61" s="743"/>
      <c r="AT61" s="743"/>
      <c r="AU61" s="161"/>
      <c r="AV61" s="743"/>
      <c r="AW61" s="743"/>
      <c r="AX61" s="743"/>
      <c r="AY61" s="743"/>
      <c r="AZ61" s="177" t="e">
        <f>+AZ60/AU60-1</f>
        <v>#DIV/0!</v>
      </c>
      <c r="BA61" s="208">
        <f>CHOOSE(_Switch,BA62,BA63,BA64)</f>
        <v>0.02</v>
      </c>
      <c r="BB61" s="208">
        <f>CHOOSE(_Switch,BB62,BB63,BB64)</f>
        <v>0.02</v>
      </c>
      <c r="BC61" s="208">
        <f>CHOOSE(_Switch,BC62,BC63,BC64)</f>
        <v>1.4999999999999999E-2</v>
      </c>
      <c r="BD61" s="208">
        <f>CHOOSE(_Switch,BD62,BD63,BD64)</f>
        <v>1.4999999999999999E-2</v>
      </c>
      <c r="BE61" s="177">
        <f>+BE60/AZ60-1</f>
        <v>6.1410466462135549E-2</v>
      </c>
      <c r="BF61" s="208">
        <f>CHOOSE(_Switch,BF62,BF63,BF64)</f>
        <v>0.02</v>
      </c>
      <c r="BG61" s="208">
        <f>CHOOSE(_Switch,BG62,BG63,BG64)</f>
        <v>0.02</v>
      </c>
      <c r="BH61" s="208">
        <f>CHOOSE(_Switch,BH62,BH63,BH64)</f>
        <v>0.02</v>
      </c>
      <c r="BI61" s="208">
        <f>CHOOSE(_Switch,BI62,BI63,BI64)</f>
        <v>0.02</v>
      </c>
      <c r="BJ61" s="177">
        <f>+BJ60/BE60-1</f>
        <v>2.0000000000000018E-2</v>
      </c>
      <c r="BK61" s="162"/>
      <c r="BL61" s="162"/>
      <c r="BM61" s="144"/>
    </row>
    <row r="62" spans="1:66">
      <c r="A62" s="763"/>
      <c r="B62" s="209" t="s">
        <v>93</v>
      </c>
      <c r="C62" s="749"/>
      <c r="D62" s="749"/>
      <c r="E62" s="749"/>
      <c r="F62" s="749"/>
      <c r="G62" s="750"/>
      <c r="H62" s="743"/>
      <c r="I62" s="743"/>
      <c r="J62" s="743"/>
      <c r="K62" s="743"/>
      <c r="L62" s="161"/>
      <c r="M62" s="743"/>
      <c r="N62" s="743"/>
      <c r="O62" s="743"/>
      <c r="P62" s="743"/>
      <c r="Q62" s="161"/>
      <c r="R62" s="743"/>
      <c r="S62" s="743"/>
      <c r="T62" s="743"/>
      <c r="U62" s="743"/>
      <c r="V62" s="161"/>
      <c r="W62" s="743"/>
      <c r="X62" s="743"/>
      <c r="Y62" s="743"/>
      <c r="Z62" s="743"/>
      <c r="AA62" s="161"/>
      <c r="AB62" s="743"/>
      <c r="AC62" s="743"/>
      <c r="AD62" s="743"/>
      <c r="AE62" s="743"/>
      <c r="AF62" s="161"/>
      <c r="AG62" s="743"/>
      <c r="AH62" s="743"/>
      <c r="AI62" s="743"/>
      <c r="AJ62" s="743"/>
      <c r="AK62" s="161"/>
      <c r="AL62" s="743"/>
      <c r="AM62" s="743"/>
      <c r="AN62" s="743"/>
      <c r="AO62" s="743"/>
      <c r="AP62" s="161"/>
      <c r="AQ62" s="743"/>
      <c r="AR62" s="743"/>
      <c r="AS62" s="743"/>
      <c r="AT62" s="743"/>
      <c r="AU62" s="161"/>
      <c r="AV62" s="743"/>
      <c r="AW62" s="743"/>
      <c r="AX62" s="743"/>
      <c r="AY62" s="743"/>
      <c r="AZ62" s="161"/>
      <c r="BA62" s="746">
        <f>+BA63+0.01</f>
        <v>0.03</v>
      </c>
      <c r="BB62" s="746">
        <f>+BB63+0.01</f>
        <v>0.03</v>
      </c>
      <c r="BC62" s="746">
        <f>+BC63+0.01</f>
        <v>2.5000000000000001E-2</v>
      </c>
      <c r="BD62" s="746">
        <f>+BD63+0.01</f>
        <v>2.5000000000000001E-2</v>
      </c>
      <c r="BE62" s="161"/>
      <c r="BF62" s="746">
        <f>+BF63+0.01</f>
        <v>0.03</v>
      </c>
      <c r="BG62" s="746">
        <f>+BG63+0.01</f>
        <v>0.03</v>
      </c>
      <c r="BH62" s="746">
        <f>+BH63+0.01</f>
        <v>0.03</v>
      </c>
      <c r="BI62" s="746">
        <f>+BI63+0.01</f>
        <v>0.03</v>
      </c>
      <c r="BJ62" s="161"/>
      <c r="BK62" s="162"/>
      <c r="BL62" s="162"/>
      <c r="BM62" s="144"/>
    </row>
    <row r="63" spans="1:66">
      <c r="A63" s="763"/>
      <c r="B63" s="209" t="s">
        <v>94</v>
      </c>
      <c r="C63" s="749"/>
      <c r="D63" s="749"/>
      <c r="E63" s="749"/>
      <c r="F63" s="749"/>
      <c r="G63" s="750"/>
      <c r="H63" s="743"/>
      <c r="I63" s="743"/>
      <c r="J63" s="743"/>
      <c r="K63" s="743"/>
      <c r="L63" s="161"/>
      <c r="M63" s="743"/>
      <c r="N63" s="743"/>
      <c r="O63" s="743"/>
      <c r="P63" s="743"/>
      <c r="Q63" s="161"/>
      <c r="R63" s="743"/>
      <c r="S63" s="743"/>
      <c r="T63" s="743"/>
      <c r="U63" s="743"/>
      <c r="V63" s="161"/>
      <c r="W63" s="743"/>
      <c r="X63" s="743"/>
      <c r="Y63" s="743"/>
      <c r="Z63" s="743"/>
      <c r="AA63" s="161"/>
      <c r="AB63" s="743"/>
      <c r="AC63" s="743"/>
      <c r="AD63" s="743"/>
      <c r="AE63" s="743"/>
      <c r="AF63" s="161"/>
      <c r="AG63" s="743"/>
      <c r="AH63" s="743"/>
      <c r="AI63" s="743"/>
      <c r="AJ63" s="743"/>
      <c r="AK63" s="161"/>
      <c r="AL63" s="743"/>
      <c r="AM63" s="743"/>
      <c r="AN63" s="743"/>
      <c r="AO63" s="743"/>
      <c r="AP63" s="161"/>
      <c r="AQ63" s="743"/>
      <c r="AR63" s="743"/>
      <c r="AS63" s="743"/>
      <c r="AT63" s="743"/>
      <c r="AU63" s="161"/>
      <c r="AV63" s="743"/>
      <c r="AW63" s="743"/>
      <c r="AX63" s="743"/>
      <c r="AY63" s="743"/>
      <c r="AZ63" s="161"/>
      <c r="BA63" s="746">
        <v>0.02</v>
      </c>
      <c r="BB63" s="746">
        <f>+BA63</f>
        <v>0.02</v>
      </c>
      <c r="BC63" s="746">
        <v>1.4999999999999999E-2</v>
      </c>
      <c r="BD63" s="746">
        <f>+BC63</f>
        <v>1.4999999999999999E-2</v>
      </c>
      <c r="BE63" s="161"/>
      <c r="BF63" s="746">
        <v>0.02</v>
      </c>
      <c r="BG63" s="746">
        <f>+BF63</f>
        <v>0.02</v>
      </c>
      <c r="BH63" s="746">
        <f>+BG63</f>
        <v>0.02</v>
      </c>
      <c r="BI63" s="746">
        <f>+BH63</f>
        <v>0.02</v>
      </c>
      <c r="BJ63" s="161"/>
      <c r="BK63" s="162"/>
      <c r="BL63" s="162"/>
      <c r="BM63" s="144"/>
    </row>
    <row r="64" spans="1:66">
      <c r="A64" s="763"/>
      <c r="B64" s="209" t="s">
        <v>95</v>
      </c>
      <c r="C64" s="749"/>
      <c r="D64" s="749"/>
      <c r="E64" s="749"/>
      <c r="F64" s="749"/>
      <c r="G64" s="750"/>
      <c r="H64" s="743"/>
      <c r="I64" s="743"/>
      <c r="J64" s="743"/>
      <c r="K64" s="743"/>
      <c r="L64" s="161"/>
      <c r="M64" s="743"/>
      <c r="N64" s="743"/>
      <c r="O64" s="743"/>
      <c r="P64" s="743"/>
      <c r="Q64" s="161"/>
      <c r="R64" s="743"/>
      <c r="S64" s="743"/>
      <c r="T64" s="743"/>
      <c r="U64" s="743"/>
      <c r="V64" s="161"/>
      <c r="W64" s="743"/>
      <c r="X64" s="743"/>
      <c r="Y64" s="743"/>
      <c r="Z64" s="743"/>
      <c r="AA64" s="161"/>
      <c r="AB64" s="743"/>
      <c r="AC64" s="743"/>
      <c r="AD64" s="743"/>
      <c r="AE64" s="743"/>
      <c r="AF64" s="161"/>
      <c r="AG64" s="743"/>
      <c r="AH64" s="743"/>
      <c r="AI64" s="743"/>
      <c r="AJ64" s="743"/>
      <c r="AK64" s="161"/>
      <c r="AL64" s="743"/>
      <c r="AM64" s="743"/>
      <c r="AN64" s="743"/>
      <c r="AO64" s="743"/>
      <c r="AP64" s="161"/>
      <c r="AQ64" s="743"/>
      <c r="AR64" s="743"/>
      <c r="AS64" s="743"/>
      <c r="AT64" s="743"/>
      <c r="AU64" s="161"/>
      <c r="AV64" s="743"/>
      <c r="AW64" s="743"/>
      <c r="AX64" s="743"/>
      <c r="AY64" s="743"/>
      <c r="AZ64" s="161"/>
      <c r="BA64" s="746">
        <f>+BA63-0.005</f>
        <v>1.4999999999999999E-2</v>
      </c>
      <c r="BB64" s="746">
        <f>+BB63-0.005</f>
        <v>1.4999999999999999E-2</v>
      </c>
      <c r="BC64" s="746">
        <f>+BC63-0.005</f>
        <v>9.9999999999999985E-3</v>
      </c>
      <c r="BD64" s="746">
        <f>+BD63-0.005</f>
        <v>9.9999999999999985E-3</v>
      </c>
      <c r="BE64" s="161"/>
      <c r="BF64" s="746">
        <f>+BF63-0.005</f>
        <v>1.4999999999999999E-2</v>
      </c>
      <c r="BG64" s="746">
        <f>+BG63-0.005</f>
        <v>1.4999999999999999E-2</v>
      </c>
      <c r="BH64" s="746">
        <f>+BH63-0.005</f>
        <v>1.4999999999999999E-2</v>
      </c>
      <c r="BI64" s="746">
        <f>+BI63-0.005</f>
        <v>1.4999999999999999E-2</v>
      </c>
      <c r="BJ64" s="161"/>
      <c r="BK64" s="162"/>
      <c r="BL64" s="162"/>
      <c r="BM64" s="144"/>
    </row>
    <row r="65" spans="1:65">
      <c r="A65" s="763"/>
      <c r="B65" s="748"/>
      <c r="C65" s="749"/>
      <c r="D65" s="749"/>
      <c r="E65" s="749"/>
      <c r="F65" s="749"/>
      <c r="G65" s="750"/>
      <c r="H65" s="743"/>
      <c r="I65" s="743"/>
      <c r="J65" s="743"/>
      <c r="K65" s="743"/>
      <c r="L65" s="161"/>
      <c r="M65" s="743"/>
      <c r="N65" s="743"/>
      <c r="O65" s="743"/>
      <c r="P65" s="743"/>
      <c r="Q65" s="161"/>
      <c r="R65" s="743"/>
      <c r="S65" s="743"/>
      <c r="T65" s="743"/>
      <c r="U65" s="743"/>
      <c r="V65" s="161"/>
      <c r="W65" s="743"/>
      <c r="X65" s="743"/>
      <c r="Y65" s="743"/>
      <c r="Z65" s="743"/>
      <c r="AA65" s="161"/>
      <c r="AB65" s="743"/>
      <c r="AC65" s="743"/>
      <c r="AD65" s="743"/>
      <c r="AE65" s="743"/>
      <c r="AF65" s="161"/>
      <c r="AG65" s="743"/>
      <c r="AH65" s="743"/>
      <c r="AI65" s="743"/>
      <c r="AJ65" s="743"/>
      <c r="AK65" s="161"/>
      <c r="AL65" s="743"/>
      <c r="AM65" s="743"/>
      <c r="AN65" s="743"/>
      <c r="AO65" s="743"/>
      <c r="AP65" s="161"/>
      <c r="AQ65" s="743"/>
      <c r="AR65" s="743"/>
      <c r="AS65" s="743"/>
      <c r="AT65" s="743"/>
      <c r="AU65" s="161"/>
      <c r="AV65" s="743"/>
      <c r="AW65" s="743"/>
      <c r="AX65" s="743"/>
      <c r="AY65" s="743"/>
      <c r="AZ65" s="161"/>
      <c r="BA65" s="743"/>
      <c r="BB65" s="743"/>
      <c r="BC65" s="743"/>
      <c r="BD65" s="743"/>
      <c r="BE65" s="161"/>
      <c r="BF65" s="743"/>
      <c r="BG65" s="743"/>
      <c r="BH65" s="743"/>
      <c r="BI65" s="743"/>
      <c r="BJ65" s="161"/>
      <c r="BK65" s="162"/>
      <c r="BL65" s="162"/>
      <c r="BM65" s="144"/>
    </row>
    <row r="66" spans="1:65">
      <c r="A66" s="763"/>
      <c r="B66" s="748"/>
      <c r="C66" s="764"/>
      <c r="D66" s="764"/>
      <c r="E66" s="764"/>
      <c r="F66" s="764"/>
      <c r="G66" s="765"/>
      <c r="H66" s="764"/>
      <c r="I66" s="764"/>
      <c r="J66" s="764"/>
      <c r="K66" s="743"/>
      <c r="L66" s="161"/>
      <c r="M66" s="743"/>
      <c r="N66" s="743"/>
      <c r="O66" s="743"/>
      <c r="P66" s="743"/>
      <c r="Q66" s="161"/>
      <c r="R66" s="743"/>
      <c r="S66" s="743"/>
      <c r="T66" s="743"/>
      <c r="U66" s="743"/>
      <c r="V66" s="161"/>
      <c r="W66" s="743"/>
      <c r="X66" s="743"/>
      <c r="Y66" s="743"/>
      <c r="Z66" s="743"/>
      <c r="AA66" s="161"/>
      <c r="AB66" s="743"/>
      <c r="AC66" s="743"/>
      <c r="AD66" s="743"/>
      <c r="AE66" s="743"/>
      <c r="AF66" s="161"/>
      <c r="AG66" s="743"/>
      <c r="AH66" s="743"/>
      <c r="AI66" s="743"/>
      <c r="AJ66" s="743"/>
      <c r="AK66" s="161"/>
      <c r="AL66" s="743"/>
      <c r="AM66" s="743"/>
      <c r="AN66" s="743"/>
      <c r="AO66" s="743"/>
      <c r="AP66" s="161"/>
      <c r="AQ66" s="743"/>
      <c r="AR66" s="743"/>
      <c r="AS66" s="743"/>
      <c r="AT66" s="743"/>
      <c r="AU66" s="161"/>
      <c r="AV66" s="743"/>
      <c r="AW66" s="743"/>
      <c r="AX66" s="743"/>
      <c r="AY66" s="743"/>
      <c r="AZ66" s="161"/>
      <c r="BA66" s="743"/>
      <c r="BB66" s="743"/>
      <c r="BC66" s="743"/>
      <c r="BD66" s="743"/>
      <c r="BE66" s="161"/>
      <c r="BF66" s="743"/>
      <c r="BG66" s="743"/>
      <c r="BH66" s="743"/>
      <c r="BI66" s="743"/>
      <c r="BJ66" s="161"/>
      <c r="BK66" s="162"/>
      <c r="BL66" s="162"/>
      <c r="BM66" s="144"/>
    </row>
    <row r="67" spans="1:65">
      <c r="A67" s="64"/>
      <c r="B67" s="766" t="s">
        <v>276</v>
      </c>
      <c r="C67" s="767"/>
      <c r="D67" s="767"/>
      <c r="E67" s="767"/>
      <c r="F67" s="767"/>
      <c r="G67" s="267"/>
      <c r="H67" s="767"/>
      <c r="I67" s="767"/>
      <c r="J67" s="767"/>
      <c r="K67" s="767"/>
      <c r="L67" s="267"/>
      <c r="M67" s="767"/>
      <c r="N67" s="767"/>
      <c r="O67" s="767"/>
      <c r="P67" s="767"/>
      <c r="Q67" s="267"/>
      <c r="R67" s="767"/>
      <c r="S67" s="767"/>
      <c r="T67" s="767"/>
      <c r="U67" s="767"/>
      <c r="V67" s="267"/>
      <c r="W67" s="767"/>
      <c r="X67" s="767"/>
      <c r="Y67" s="767"/>
      <c r="Z67" s="767"/>
      <c r="AA67" s="267"/>
      <c r="AB67" s="767"/>
      <c r="AC67" s="767"/>
      <c r="AD67" s="767"/>
      <c r="AE67" s="767"/>
      <c r="AF67" s="267"/>
      <c r="AG67" s="767"/>
      <c r="AH67" s="767"/>
      <c r="AI67" s="767"/>
      <c r="AJ67" s="767"/>
      <c r="AK67" s="267"/>
      <c r="AL67" s="767"/>
      <c r="AM67" s="767"/>
      <c r="AN67" s="767"/>
      <c r="AO67" s="767"/>
      <c r="AP67" s="267"/>
      <c r="AQ67" s="767"/>
      <c r="AR67" s="767"/>
      <c r="AS67" s="767"/>
      <c r="AT67" s="767"/>
      <c r="AU67" s="267"/>
      <c r="AV67" s="767"/>
      <c r="AW67" s="767"/>
      <c r="AX67" s="767"/>
      <c r="AY67" s="767"/>
      <c r="AZ67" s="267"/>
      <c r="BA67" s="767"/>
      <c r="BB67" s="767"/>
      <c r="BC67" s="767"/>
      <c r="BD67" s="767"/>
      <c r="BE67" s="267"/>
      <c r="BF67" s="767"/>
      <c r="BG67" s="767"/>
      <c r="BH67" s="767"/>
      <c r="BI67" s="767"/>
      <c r="BJ67" s="267"/>
      <c r="BK67" s="270"/>
      <c r="BL67" s="270"/>
      <c r="BM67" s="185"/>
    </row>
    <row r="68" spans="1:65">
      <c r="A68" s="128"/>
      <c r="B68" s="735" t="s">
        <v>270</v>
      </c>
      <c r="C68" s="262">
        <v>63.6</v>
      </c>
      <c r="D68" s="262">
        <v>66.8</v>
      </c>
      <c r="E68" s="262">
        <v>68.3</v>
      </c>
      <c r="F68" s="262">
        <v>69.400000000000006</v>
      </c>
      <c r="G68" s="736">
        <f>+SUM(C68:F68)</f>
        <v>268.10000000000002</v>
      </c>
      <c r="H68" s="262">
        <v>68.099999999999994</v>
      </c>
      <c r="I68" s="262">
        <v>66.099999999999994</v>
      </c>
      <c r="J68" s="262">
        <v>75.400000000000006</v>
      </c>
      <c r="K68" s="262">
        <v>76.5</v>
      </c>
      <c r="L68" s="736">
        <f>+SUM(H68:K68)</f>
        <v>286.10000000000002</v>
      </c>
      <c r="M68" s="262">
        <v>73.5</v>
      </c>
      <c r="N68" s="262">
        <v>76.7</v>
      </c>
      <c r="O68" s="262">
        <v>75.900000000000006</v>
      </c>
      <c r="P68" s="262">
        <v>75.2</v>
      </c>
      <c r="Q68" s="736">
        <f>+SUM(M68:P68)</f>
        <v>301.3</v>
      </c>
      <c r="R68" s="262">
        <v>75.129000000000005</v>
      </c>
      <c r="S68" s="262">
        <v>83.438999999999993</v>
      </c>
      <c r="T68" s="262">
        <v>81.460999999999999</v>
      </c>
      <c r="U68" s="262">
        <v>82.796000000000006</v>
      </c>
      <c r="V68" s="736">
        <f>+SUM(R68:U68)</f>
        <v>322.82499999999999</v>
      </c>
      <c r="W68" s="262">
        <v>81.313000000000002</v>
      </c>
      <c r="X68" s="262">
        <v>86.08</v>
      </c>
      <c r="Y68" s="262">
        <v>84.488</v>
      </c>
      <c r="Z68" s="262">
        <v>83.061000000000007</v>
      </c>
      <c r="AA68" s="736">
        <f>+SUM(W68:Z68)</f>
        <v>334.94200000000001</v>
      </c>
      <c r="AB68" s="262">
        <v>83.206000000000003</v>
      </c>
      <c r="AC68" s="262">
        <v>85.765000000000001</v>
      </c>
      <c r="AD68" s="262">
        <v>82.866</v>
      </c>
      <c r="AE68" s="262">
        <v>84.135000000000005</v>
      </c>
      <c r="AF68" s="736">
        <f>+SUM(AB68:AE68)</f>
        <v>335.97199999999998</v>
      </c>
      <c r="AG68" s="262">
        <v>83.783000000000001</v>
      </c>
      <c r="AH68" s="262">
        <v>86.554000000000002</v>
      </c>
      <c r="AI68" s="262">
        <v>85.573999999999998</v>
      </c>
      <c r="AJ68" s="262">
        <v>90.230999999999995</v>
      </c>
      <c r="AK68" s="736">
        <f>+SUM(AG68:AJ68)</f>
        <v>346.142</v>
      </c>
      <c r="AL68" s="262">
        <v>89.963999999999999</v>
      </c>
      <c r="AM68" s="262">
        <v>92.707999999999998</v>
      </c>
      <c r="AN68" s="262">
        <v>86.245999999999995</v>
      </c>
      <c r="AO68" s="262">
        <v>89.963999999999999</v>
      </c>
      <c r="AP68" s="736">
        <f>+SUM(AL68:AO68)</f>
        <v>358.88200000000001</v>
      </c>
      <c r="AQ68" s="262">
        <v>84.218000000000004</v>
      </c>
      <c r="AR68" s="262">
        <v>80.888000000000005</v>
      </c>
      <c r="AS68" s="262">
        <v>85.465000000000003</v>
      </c>
      <c r="AT68" s="262">
        <v>85.387</v>
      </c>
      <c r="AU68" s="736">
        <f>+SUM(AQ68:AT68)</f>
        <v>335.95799999999997</v>
      </c>
      <c r="AV68" s="262">
        <f>+AV71*AV77</f>
        <v>77.354233000000008</v>
      </c>
      <c r="AW68" s="262">
        <f>+AW71*AW77</f>
        <v>79.836455999999998</v>
      </c>
      <c r="AX68" s="262">
        <f>+AX71*AX77</f>
        <v>88.046042999999997</v>
      </c>
      <c r="AY68" s="262">
        <f>+AY71*AY77</f>
        <v>87.965687399999993</v>
      </c>
      <c r="AZ68" s="736">
        <f>+SUM(AV68:AY68)</f>
        <v>333.2024194</v>
      </c>
      <c r="BA68" s="262">
        <f>+BA71*BA77</f>
        <v>79.674859990000016</v>
      </c>
      <c r="BB68" s="262">
        <f>+BB71*BB77</f>
        <v>82.231549680000001</v>
      </c>
      <c r="BC68" s="262">
        <f>+BC71*BC77</f>
        <v>89.780550047100007</v>
      </c>
      <c r="BD68" s="262">
        <f>+BD71*BD77</f>
        <v>89.698611441780002</v>
      </c>
      <c r="BE68" s="736">
        <f>+SUM(BA68:BD68)</f>
        <v>341.38557115888</v>
      </c>
      <c r="BF68" s="262">
        <f>+BF71*BF77</f>
        <v>82.065105789700013</v>
      </c>
      <c r="BG68" s="262">
        <f>+BG71*BG77</f>
        <v>84.698496170400006</v>
      </c>
      <c r="BH68" s="262">
        <f>+BH71*BH77</f>
        <v>92.473966548513005</v>
      </c>
      <c r="BI68" s="262">
        <f>+BI71*BI77</f>
        <v>92.389569785033402</v>
      </c>
      <c r="BJ68" s="736">
        <f>+SUM(BF68:BI68)</f>
        <v>351.6271382936464</v>
      </c>
      <c r="BK68" s="603"/>
      <c r="BL68" s="603"/>
      <c r="BM68" s="128"/>
    </row>
    <row r="69" spans="1:65">
      <c r="A69" s="144"/>
      <c r="B69" s="737" t="s">
        <v>16</v>
      </c>
      <c r="C69" s="156"/>
      <c r="D69" s="156"/>
      <c r="E69" s="156"/>
      <c r="F69" s="156"/>
      <c r="G69" s="177"/>
      <c r="H69" s="304">
        <f>+H68/C68-1</f>
        <v>7.0754716981132004E-2</v>
      </c>
      <c r="I69" s="304">
        <f>+I68/D68-1</f>
        <v>-1.0479041916167664E-2</v>
      </c>
      <c r="J69" s="304">
        <f>+J68/E68-1</f>
        <v>0.10395314787701326</v>
      </c>
      <c r="K69" s="304">
        <f>+K68/F68-1</f>
        <v>0.10230547550432267</v>
      </c>
      <c r="L69" s="155">
        <f>+L68/G68-1</f>
        <v>6.7139127191346404E-2</v>
      </c>
      <c r="M69" s="304">
        <f t="shared" ref="M69:V69" si="13">+M68/H68-1</f>
        <v>7.9295154185022199E-2</v>
      </c>
      <c r="N69" s="304">
        <f t="shared" si="13"/>
        <v>0.16036308623298057</v>
      </c>
      <c r="O69" s="304">
        <f t="shared" si="13"/>
        <v>6.6312997347479641E-3</v>
      </c>
      <c r="P69" s="304">
        <f t="shared" si="13"/>
        <v>-1.6993464052287521E-2</v>
      </c>
      <c r="Q69" s="177">
        <f t="shared" si="13"/>
        <v>5.3128276826284404E-2</v>
      </c>
      <c r="R69" s="304">
        <f>+R68/M68-1</f>
        <v>2.2163265306122559E-2</v>
      </c>
      <c r="S69" s="304">
        <f>+S68/N68-1</f>
        <v>8.7861799217731296E-2</v>
      </c>
      <c r="T69" s="304">
        <f t="shared" si="13"/>
        <v>7.3267457180500539E-2</v>
      </c>
      <c r="U69" s="304">
        <f t="shared" si="13"/>
        <v>0.10101063829787238</v>
      </c>
      <c r="V69" s="177">
        <f t="shared" si="13"/>
        <v>7.1440424825754967E-2</v>
      </c>
      <c r="W69" s="304">
        <f>+W68/R68-1</f>
        <v>8.2311757111102279E-2</v>
      </c>
      <c r="X69" s="304">
        <f t="shared" ref="X69:AZ69" si="14">+X68/S68-1</f>
        <v>3.1651865434628945E-2</v>
      </c>
      <c r="Y69" s="304">
        <f t="shared" si="14"/>
        <v>3.7158885847215162E-2</v>
      </c>
      <c r="Z69" s="304">
        <f t="shared" si="14"/>
        <v>3.2006377119666585E-3</v>
      </c>
      <c r="AA69" s="177">
        <f t="shared" si="14"/>
        <v>3.7534267792147524E-2</v>
      </c>
      <c r="AB69" s="304">
        <f t="shared" si="14"/>
        <v>2.3280410266500962E-2</v>
      </c>
      <c r="AC69" s="304">
        <f t="shared" si="14"/>
        <v>-3.659386617100302E-3</v>
      </c>
      <c r="AD69" s="304">
        <f t="shared" si="14"/>
        <v>-1.9197992614335746E-2</v>
      </c>
      <c r="AE69" s="304">
        <f t="shared" si="14"/>
        <v>1.2930256076859159E-2</v>
      </c>
      <c r="AF69" s="177">
        <f t="shared" si="14"/>
        <v>3.075159281308304E-3</v>
      </c>
      <c r="AG69" s="304">
        <f t="shared" si="14"/>
        <v>6.9345960627840153E-3</v>
      </c>
      <c r="AH69" s="304">
        <f t="shared" si="14"/>
        <v>9.199556928817243E-3</v>
      </c>
      <c r="AI69" s="304">
        <f t="shared" si="14"/>
        <v>3.2679265319914164E-2</v>
      </c>
      <c r="AJ69" s="304">
        <f t="shared" si="14"/>
        <v>7.2454983062934408E-2</v>
      </c>
      <c r="AK69" s="177">
        <f t="shared" si="14"/>
        <v>3.027037967449675E-2</v>
      </c>
      <c r="AL69" s="304">
        <f t="shared" si="14"/>
        <v>7.3773915949536306E-2</v>
      </c>
      <c r="AM69" s="304">
        <f t="shared" si="14"/>
        <v>7.1100122466899229E-2</v>
      </c>
      <c r="AN69" s="304">
        <f t="shared" si="14"/>
        <v>7.8528525019281314E-3</v>
      </c>
      <c r="AO69" s="304">
        <f t="shared" si="14"/>
        <v>-2.9590717159290181E-3</v>
      </c>
      <c r="AP69" s="177">
        <f t="shared" si="14"/>
        <v>3.6805704017426333E-2</v>
      </c>
      <c r="AQ69" s="304">
        <f t="shared" si="14"/>
        <v>-6.3869992441420997E-2</v>
      </c>
      <c r="AR69" s="304">
        <f t="shared" si="14"/>
        <v>-0.12749708762997791</v>
      </c>
      <c r="AS69" s="304">
        <f t="shared" si="14"/>
        <v>-9.0554924286342375E-3</v>
      </c>
      <c r="AT69" s="304">
        <f t="shared" si="14"/>
        <v>-5.0875905917922681E-2</v>
      </c>
      <c r="AU69" s="177">
        <f t="shared" si="14"/>
        <v>-6.3876148706260127E-2</v>
      </c>
      <c r="AV69" s="304">
        <f t="shared" si="14"/>
        <v>-8.1499999999999906E-2</v>
      </c>
      <c r="AW69" s="304">
        <f t="shared" si="14"/>
        <v>-1.3000000000000123E-2</v>
      </c>
      <c r="AX69" s="304">
        <f t="shared" si="14"/>
        <v>3.0200000000000005E-2</v>
      </c>
      <c r="AY69" s="304">
        <f t="shared" si="14"/>
        <v>3.0200000000000005E-2</v>
      </c>
      <c r="AZ69" s="177">
        <f t="shared" si="14"/>
        <v>-8.2021580078461831E-3</v>
      </c>
      <c r="BA69" s="304">
        <f t="shared" ref="BA69:BJ69" si="15">+BA68/AV68-1</f>
        <v>3.0000000000000027E-2</v>
      </c>
      <c r="BB69" s="304">
        <f t="shared" si="15"/>
        <v>3.0000000000000027E-2</v>
      </c>
      <c r="BC69" s="304">
        <f t="shared" si="15"/>
        <v>1.9700000000000051E-2</v>
      </c>
      <c r="BD69" s="304">
        <f t="shared" si="15"/>
        <v>1.9700000000000051E-2</v>
      </c>
      <c r="BE69" s="177">
        <f t="shared" si="15"/>
        <v>2.4559100662040478E-2</v>
      </c>
      <c r="BF69" s="304">
        <f t="shared" si="15"/>
        <v>3.0000000000000027E-2</v>
      </c>
      <c r="BG69" s="304">
        <f t="shared" si="15"/>
        <v>3.0000000000000027E-2</v>
      </c>
      <c r="BH69" s="304">
        <f t="shared" si="15"/>
        <v>3.0000000000000027E-2</v>
      </c>
      <c r="BI69" s="304">
        <f t="shared" si="15"/>
        <v>3.0000000000000027E-2</v>
      </c>
      <c r="BJ69" s="177">
        <f t="shared" si="15"/>
        <v>3.0000000000000027E-2</v>
      </c>
      <c r="BK69" s="760"/>
      <c r="BL69" s="760"/>
      <c r="BM69" s="144"/>
    </row>
    <row r="70" spans="1:65">
      <c r="A70" s="144"/>
      <c r="B70" s="737"/>
      <c r="C70" s="304"/>
      <c r="D70" s="304"/>
      <c r="E70" s="304"/>
      <c r="F70" s="304"/>
      <c r="G70" s="155"/>
      <c r="H70" s="304"/>
      <c r="I70" s="304"/>
      <c r="J70" s="304"/>
      <c r="K70" s="304"/>
      <c r="L70" s="155"/>
      <c r="M70" s="304"/>
      <c r="N70" s="304"/>
      <c r="O70" s="304"/>
      <c r="P70" s="304"/>
      <c r="Q70" s="155"/>
      <c r="R70" s="304"/>
      <c r="S70" s="304"/>
      <c r="T70" s="304"/>
      <c r="U70" s="304"/>
      <c r="V70" s="155"/>
      <c r="W70" s="304"/>
      <c r="X70" s="304"/>
      <c r="Y70" s="304"/>
      <c r="Z70" s="304"/>
      <c r="AA70" s="155"/>
      <c r="AB70" s="304"/>
      <c r="AC70" s="304"/>
      <c r="AD70" s="304"/>
      <c r="AE70" s="304"/>
      <c r="AF70" s="155"/>
      <c r="AG70" s="304"/>
      <c r="AH70" s="304"/>
      <c r="AI70" s="304"/>
      <c r="AJ70" s="304"/>
      <c r="AK70" s="155"/>
      <c r="AL70" s="304"/>
      <c r="AM70" s="304"/>
      <c r="AN70" s="304"/>
      <c r="AO70" s="304"/>
      <c r="AP70" s="155"/>
      <c r="AQ70" s="304"/>
      <c r="AR70" s="304"/>
      <c r="AS70" s="304"/>
      <c r="AT70" s="304"/>
      <c r="AU70" s="155"/>
      <c r="AV70" s="304"/>
      <c r="AW70" s="304"/>
      <c r="AX70" s="304"/>
      <c r="AY70" s="304"/>
      <c r="AZ70" s="155"/>
      <c r="BA70" s="304"/>
      <c r="BB70" s="304"/>
      <c r="BC70" s="304"/>
      <c r="BD70" s="304"/>
      <c r="BE70" s="155"/>
      <c r="BF70" s="304"/>
      <c r="BG70" s="304"/>
      <c r="BH70" s="304"/>
      <c r="BI70" s="304"/>
      <c r="BJ70" s="155"/>
      <c r="BK70" s="162"/>
      <c r="BL70" s="162"/>
      <c r="BM70" s="144"/>
    </row>
    <row r="71" spans="1:65">
      <c r="A71" s="144"/>
      <c r="B71" s="739" t="s">
        <v>271</v>
      </c>
      <c r="C71" s="205">
        <v>606.5</v>
      </c>
      <c r="D71" s="205">
        <v>656.5</v>
      </c>
      <c r="E71" s="205">
        <v>671.5</v>
      </c>
      <c r="F71" s="205">
        <v>694</v>
      </c>
      <c r="G71" s="736">
        <f>+SUM(C71:F71)</f>
        <v>2628.5</v>
      </c>
      <c r="H71" s="205">
        <v>685.5</v>
      </c>
      <c r="I71" s="205">
        <v>750.3</v>
      </c>
      <c r="J71" s="205">
        <v>791.1</v>
      </c>
      <c r="K71" s="205">
        <v>833.7</v>
      </c>
      <c r="L71" s="736">
        <f>+SUM(H71:K71)</f>
        <v>3060.6000000000004</v>
      </c>
      <c r="M71" s="262">
        <v>818.3</v>
      </c>
      <c r="N71" s="262">
        <v>884.1</v>
      </c>
      <c r="O71" s="262">
        <v>825.1</v>
      </c>
      <c r="P71" s="262">
        <v>816.5</v>
      </c>
      <c r="Q71" s="736">
        <f>+SUM(M71:P71)</f>
        <v>3344</v>
      </c>
      <c r="R71" s="262">
        <v>823</v>
      </c>
      <c r="S71" s="262">
        <v>874</v>
      </c>
      <c r="T71" s="262">
        <v>881</v>
      </c>
      <c r="U71" s="262">
        <v>871</v>
      </c>
      <c r="V71" s="736">
        <f>+SUM(R71:U71)</f>
        <v>3449</v>
      </c>
      <c r="W71" s="262">
        <v>851</v>
      </c>
      <c r="X71" s="262">
        <v>922</v>
      </c>
      <c r="Y71" s="262">
        <v>921</v>
      </c>
      <c r="Z71" s="262">
        <v>919</v>
      </c>
      <c r="AA71" s="736">
        <f>+SUM(W71:Z71)</f>
        <v>3613</v>
      </c>
      <c r="AB71" s="262">
        <v>907</v>
      </c>
      <c r="AC71" s="262">
        <v>977</v>
      </c>
      <c r="AD71" s="262">
        <v>962</v>
      </c>
      <c r="AE71" s="262">
        <v>970</v>
      </c>
      <c r="AF71" s="736">
        <f>+SUM(AB71:AE71)</f>
        <v>3816</v>
      </c>
      <c r="AG71" s="262">
        <v>956</v>
      </c>
      <c r="AH71" s="262">
        <v>1031</v>
      </c>
      <c r="AI71" s="262">
        <v>1033</v>
      </c>
      <c r="AJ71" s="262">
        <v>1012</v>
      </c>
      <c r="AK71" s="736">
        <f>+SUM(AG71:AJ71)</f>
        <v>4032</v>
      </c>
      <c r="AL71" s="262">
        <v>973</v>
      </c>
      <c r="AM71" s="262">
        <v>1027</v>
      </c>
      <c r="AN71" s="262">
        <v>1028</v>
      </c>
      <c r="AO71" s="262">
        <v>989</v>
      </c>
      <c r="AP71" s="736">
        <f>+SUM(AL71:AO71)</f>
        <v>4017</v>
      </c>
      <c r="AQ71" s="262">
        <v>934</v>
      </c>
      <c r="AR71" s="262">
        <v>914</v>
      </c>
      <c r="AS71" s="262">
        <v>848</v>
      </c>
      <c r="AT71" s="262">
        <v>846</v>
      </c>
      <c r="AU71" s="736">
        <f>+SUM(AQ71:AT71)</f>
        <v>3542</v>
      </c>
      <c r="AV71" s="262">
        <f>+AQ71*(1+AV72)</f>
        <v>779.89</v>
      </c>
      <c r="AW71" s="262">
        <f>+AR71*(1+AW72)</f>
        <v>859.16</v>
      </c>
      <c r="AX71" s="262">
        <f>+AS71*(1+AX72)</f>
        <v>864.96</v>
      </c>
      <c r="AY71" s="262">
        <f>+AT71*(1+AY72)</f>
        <v>862.92</v>
      </c>
      <c r="AZ71" s="736">
        <f>+SUM(AV71:AY71)</f>
        <v>3366.9300000000003</v>
      </c>
      <c r="BA71" s="262">
        <f>+AV71*(1+BA72)</f>
        <v>803.2867</v>
      </c>
      <c r="BB71" s="262">
        <f>+AW71*(1+BB72)</f>
        <v>884.9348</v>
      </c>
      <c r="BC71" s="262">
        <f>+AX71*(1+BC72)</f>
        <v>890.90880000000004</v>
      </c>
      <c r="BD71" s="262">
        <f>+AY71*(1+BD72)</f>
        <v>888.80759999999998</v>
      </c>
      <c r="BE71" s="736">
        <f>+SUM(BA71:BD71)</f>
        <v>3467.9379000000004</v>
      </c>
      <c r="BF71" s="262">
        <f>+BA71*(1+BF72)</f>
        <v>827.38530100000003</v>
      </c>
      <c r="BG71" s="262">
        <f>+BB71*(1+BG72)</f>
        <v>911.482844</v>
      </c>
      <c r="BH71" s="262">
        <f>+BC71*(1+BH72)</f>
        <v>917.63606400000003</v>
      </c>
      <c r="BI71" s="262">
        <f>+BD71*(1+BI72)</f>
        <v>915.47182799999996</v>
      </c>
      <c r="BJ71" s="736">
        <f>+SUM(BF71:BI71)</f>
        <v>3571.9760369999995</v>
      </c>
      <c r="BK71" s="603"/>
      <c r="BL71" s="603"/>
      <c r="BM71" s="144"/>
    </row>
    <row r="72" spans="1:65">
      <c r="A72" s="144"/>
      <c r="B72" s="737" t="s">
        <v>16</v>
      </c>
      <c r="C72" s="304"/>
      <c r="D72" s="304"/>
      <c r="E72" s="304"/>
      <c r="F72" s="304"/>
      <c r="G72" s="155"/>
      <c r="H72" s="304">
        <f t="shared" ref="H72:AT72" si="16">+H71/C71-1</f>
        <v>0.1302555647155812</v>
      </c>
      <c r="I72" s="304">
        <f t="shared" si="16"/>
        <v>0.1428789032749429</v>
      </c>
      <c r="J72" s="304">
        <f t="shared" si="16"/>
        <v>0.17810871183916599</v>
      </c>
      <c r="K72" s="304">
        <f t="shared" si="16"/>
        <v>0.2012968299711817</v>
      </c>
      <c r="L72" s="155">
        <f t="shared" si="16"/>
        <v>0.1643903366939321</v>
      </c>
      <c r="M72" s="304">
        <f t="shared" si="16"/>
        <v>0.19372720641867236</v>
      </c>
      <c r="N72" s="304">
        <f t="shared" si="16"/>
        <v>0.17832866853258711</v>
      </c>
      <c r="O72" s="304">
        <f t="shared" si="16"/>
        <v>4.2978131715333046E-2</v>
      </c>
      <c r="P72" s="304">
        <f t="shared" si="16"/>
        <v>-2.0630922394146656E-2</v>
      </c>
      <c r="Q72" s="155">
        <f t="shared" si="16"/>
        <v>9.2596222962817665E-2</v>
      </c>
      <c r="R72" s="304">
        <f t="shared" si="16"/>
        <v>5.7436148111940089E-3</v>
      </c>
      <c r="S72" s="304">
        <f t="shared" si="16"/>
        <v>-1.1424047053500752E-2</v>
      </c>
      <c r="T72" s="304">
        <f t="shared" si="16"/>
        <v>6.7749363713489164E-2</v>
      </c>
      <c r="U72" s="304">
        <f t="shared" si="16"/>
        <v>6.674831598285369E-2</v>
      </c>
      <c r="V72" s="155">
        <f t="shared" si="16"/>
        <v>3.1399521531100483E-2</v>
      </c>
      <c r="W72" s="304">
        <f t="shared" si="16"/>
        <v>3.402187120291611E-2</v>
      </c>
      <c r="X72" s="304">
        <f t="shared" si="16"/>
        <v>5.4919908466819267E-2</v>
      </c>
      <c r="Y72" s="304">
        <f t="shared" si="16"/>
        <v>4.5402951191827468E-2</v>
      </c>
      <c r="Z72" s="304">
        <f t="shared" si="16"/>
        <v>5.5109070034443208E-2</v>
      </c>
      <c r="AA72" s="155">
        <f>+AA71/V71-1</f>
        <v>4.7550014496955617E-2</v>
      </c>
      <c r="AB72" s="304">
        <f t="shared" si="16"/>
        <v>6.5804935370152862E-2</v>
      </c>
      <c r="AC72" s="304">
        <f t="shared" si="16"/>
        <v>5.9652928416485951E-2</v>
      </c>
      <c r="AD72" s="304">
        <f t="shared" si="16"/>
        <v>4.4516829533116198E-2</v>
      </c>
      <c r="AE72" s="304">
        <f t="shared" si="16"/>
        <v>5.5495103373231824E-2</v>
      </c>
      <c r="AF72" s="155">
        <f>+AF71/AA71-1</f>
        <v>5.6185995017990598E-2</v>
      </c>
      <c r="AG72" s="304">
        <f t="shared" si="16"/>
        <v>5.4024255788313047E-2</v>
      </c>
      <c r="AH72" s="304">
        <f t="shared" si="16"/>
        <v>5.527123848515858E-2</v>
      </c>
      <c r="AI72" s="304">
        <f t="shared" si="16"/>
        <v>7.3804573804573836E-2</v>
      </c>
      <c r="AJ72" s="304">
        <f t="shared" si="16"/>
        <v>4.3298969072165017E-2</v>
      </c>
      <c r="AK72" s="155">
        <f>+AK71/AF71-1</f>
        <v>5.6603773584905648E-2</v>
      </c>
      <c r="AL72" s="304">
        <f t="shared" si="16"/>
        <v>1.778242677824271E-2</v>
      </c>
      <c r="AM72" s="304">
        <f t="shared" si="16"/>
        <v>-3.8797284190106307E-3</v>
      </c>
      <c r="AN72" s="304">
        <f t="shared" si="16"/>
        <v>-4.8402710551790351E-3</v>
      </c>
      <c r="AO72" s="304">
        <f t="shared" si="16"/>
        <v>-2.2727272727272707E-2</v>
      </c>
      <c r="AP72" s="155">
        <f>+AP71/AK71-1</f>
        <v>-3.7202380952381375E-3</v>
      </c>
      <c r="AQ72" s="304">
        <f t="shared" si="16"/>
        <v>-4.0082219938335051E-2</v>
      </c>
      <c r="AR72" s="304">
        <f t="shared" si="16"/>
        <v>-0.11002921129503407</v>
      </c>
      <c r="AS72" s="304">
        <f t="shared" si="16"/>
        <v>-0.17509727626459148</v>
      </c>
      <c r="AT72" s="304">
        <f t="shared" si="16"/>
        <v>-0.1445904954499494</v>
      </c>
      <c r="AU72" s="155">
        <f>+AU71/AP71-1</f>
        <v>-0.11824744834453571</v>
      </c>
      <c r="AV72" s="208">
        <f>CHOOSE(_Switch,AV73,AV74,AV75)</f>
        <v>-0.16500000000000001</v>
      </c>
      <c r="AW72" s="208">
        <f>CHOOSE(_Switch,AW73,AW74,AW75)</f>
        <v>-0.06</v>
      </c>
      <c r="AX72" s="208">
        <f>CHOOSE(_Switch,AX73,AX74,AX75)</f>
        <v>0.02</v>
      </c>
      <c r="AY72" s="208">
        <f>CHOOSE(_Switch,AY73,AY74,AY75)</f>
        <v>0.02</v>
      </c>
      <c r="AZ72" s="155">
        <f>+AZ71/AU71-1</f>
        <v>-4.9426877470355679E-2</v>
      </c>
      <c r="BA72" s="208">
        <f>CHOOSE(_Switch,BA73,BA74,BA75)</f>
        <v>0.03</v>
      </c>
      <c r="BB72" s="208">
        <f>CHOOSE(_Switch,BB73,BB74,BB75)</f>
        <v>0.03</v>
      </c>
      <c r="BC72" s="208">
        <f>CHOOSE(_Switch,BC73,BC74,BC75)</f>
        <v>0.03</v>
      </c>
      <c r="BD72" s="208">
        <f>CHOOSE(_Switch,BD73,BD74,BD75)</f>
        <v>0.03</v>
      </c>
      <c r="BE72" s="155">
        <f>+BE71/AZ71-1</f>
        <v>3.0000000000000027E-2</v>
      </c>
      <c r="BF72" s="208">
        <f>CHOOSE(_Switch,BF73,BF74,BF75)</f>
        <v>0.03</v>
      </c>
      <c r="BG72" s="208">
        <f>CHOOSE(_Switch,BG73,BG74,BG75)</f>
        <v>0.03</v>
      </c>
      <c r="BH72" s="208">
        <f>CHOOSE(_Switch,BH73,BH74,BH75)</f>
        <v>0.03</v>
      </c>
      <c r="BI72" s="208">
        <f>CHOOSE(_Switch,BI73,BI74,BI75)</f>
        <v>0.03</v>
      </c>
      <c r="BJ72" s="155">
        <f>+BJ71/BE71-1</f>
        <v>2.9999999999999805E-2</v>
      </c>
      <c r="BK72" s="162"/>
      <c r="BL72" s="162"/>
      <c r="BM72" s="144"/>
    </row>
    <row r="73" spans="1:65" outlineLevel="1">
      <c r="A73" s="144"/>
      <c r="B73" s="209" t="s">
        <v>93</v>
      </c>
      <c r="C73" s="743"/>
      <c r="D73" s="743"/>
      <c r="E73" s="743"/>
      <c r="F73" s="743"/>
      <c r="G73" s="161"/>
      <c r="H73" s="743"/>
      <c r="I73" s="743"/>
      <c r="J73" s="743"/>
      <c r="K73" s="743"/>
      <c r="L73" s="161"/>
      <c r="M73" s="743"/>
      <c r="N73" s="743"/>
      <c r="O73" s="743"/>
      <c r="P73" s="743"/>
      <c r="Q73" s="161"/>
      <c r="R73" s="743"/>
      <c r="S73" s="743"/>
      <c r="T73" s="743"/>
      <c r="U73" s="743"/>
      <c r="V73" s="161"/>
      <c r="W73" s="743"/>
      <c r="X73" s="738"/>
      <c r="Y73" s="738"/>
      <c r="Z73" s="738"/>
      <c r="AA73" s="161"/>
      <c r="AB73" s="738"/>
      <c r="AC73" s="208"/>
      <c r="AD73" s="208"/>
      <c r="AE73" s="745"/>
      <c r="AF73" s="161"/>
      <c r="AG73" s="738"/>
      <c r="AH73" s="738"/>
      <c r="AI73" s="738"/>
      <c r="AJ73" s="738"/>
      <c r="AK73" s="161"/>
      <c r="AL73" s="745"/>
      <c r="AM73" s="745"/>
      <c r="AN73" s="745"/>
      <c r="AO73" s="745"/>
      <c r="AP73" s="161"/>
      <c r="AQ73" s="745"/>
      <c r="AR73" s="745"/>
      <c r="AS73" s="745"/>
      <c r="AT73" s="745"/>
      <c r="AU73" s="161"/>
      <c r="AV73" s="746">
        <f>+AV74+0.01</f>
        <v>-0.155</v>
      </c>
      <c r="AW73" s="746">
        <f>+AW74+0.01</f>
        <v>-4.9999999999999996E-2</v>
      </c>
      <c r="AX73" s="746">
        <f>+AX74+0.01</f>
        <v>0.03</v>
      </c>
      <c r="AY73" s="746">
        <f>+AY74+0.01</f>
        <v>0.03</v>
      </c>
      <c r="AZ73" s="161"/>
      <c r="BA73" s="746">
        <f>+BA74+0.01</f>
        <v>0.04</v>
      </c>
      <c r="BB73" s="746">
        <f>+BB74+0.01</f>
        <v>0.04</v>
      </c>
      <c r="BC73" s="746">
        <f>+BC74+0.01</f>
        <v>0.04</v>
      </c>
      <c r="BD73" s="746">
        <f>+BD74+0.01</f>
        <v>0.04</v>
      </c>
      <c r="BE73" s="161"/>
      <c r="BF73" s="746">
        <f>+BF74+0.01</f>
        <v>0.04</v>
      </c>
      <c r="BG73" s="746">
        <f>+BG74+0.01</f>
        <v>0.04</v>
      </c>
      <c r="BH73" s="746">
        <f>+BH74+0.01</f>
        <v>0.04</v>
      </c>
      <c r="BI73" s="746">
        <f>+BI74+0.01</f>
        <v>0.04</v>
      </c>
      <c r="BJ73" s="161"/>
      <c r="BK73" s="162"/>
      <c r="BL73" s="162"/>
      <c r="BM73" s="144"/>
    </row>
    <row r="74" spans="1:65" outlineLevel="1">
      <c r="A74" s="144"/>
      <c r="B74" s="209" t="s">
        <v>94</v>
      </c>
      <c r="C74" s="743"/>
      <c r="D74" s="743"/>
      <c r="E74" s="743"/>
      <c r="F74" s="743"/>
      <c r="G74" s="161"/>
      <c r="H74" s="743"/>
      <c r="I74" s="743"/>
      <c r="J74" s="743"/>
      <c r="K74" s="743"/>
      <c r="L74" s="161"/>
      <c r="M74" s="743"/>
      <c r="N74" s="743"/>
      <c r="O74" s="743"/>
      <c r="P74" s="743"/>
      <c r="Q74" s="161"/>
      <c r="R74" s="743"/>
      <c r="S74" s="743"/>
      <c r="T74" s="743"/>
      <c r="U74" s="743"/>
      <c r="V74" s="161"/>
      <c r="W74" s="743"/>
      <c r="X74" s="738"/>
      <c r="Y74" s="738"/>
      <c r="Z74" s="738"/>
      <c r="AA74" s="161"/>
      <c r="AB74" s="738"/>
      <c r="AC74" s="208"/>
      <c r="AD74" s="208"/>
      <c r="AE74" s="745"/>
      <c r="AF74" s="161"/>
      <c r="AG74" s="738"/>
      <c r="AH74" s="738"/>
      <c r="AI74" s="738"/>
      <c r="AJ74" s="738"/>
      <c r="AK74" s="161"/>
      <c r="AL74" s="745"/>
      <c r="AM74" s="745"/>
      <c r="AN74" s="745"/>
      <c r="AO74" s="745"/>
      <c r="AP74" s="161"/>
      <c r="AQ74" s="745"/>
      <c r="AR74" s="745"/>
      <c r="AS74" s="745"/>
      <c r="AT74" s="745"/>
      <c r="AU74" s="161"/>
      <c r="AV74" s="746">
        <v>-0.16500000000000001</v>
      </c>
      <c r="AW74" s="746">
        <v>-0.06</v>
      </c>
      <c r="AX74" s="746">
        <v>0.02</v>
      </c>
      <c r="AY74" s="746">
        <f>+AX74</f>
        <v>0.02</v>
      </c>
      <c r="AZ74" s="161"/>
      <c r="BA74" s="746">
        <v>0.03</v>
      </c>
      <c r="BB74" s="746">
        <f>+BA74</f>
        <v>0.03</v>
      </c>
      <c r="BC74" s="746">
        <f>+BB74</f>
        <v>0.03</v>
      </c>
      <c r="BD74" s="746">
        <f>+BC74</f>
        <v>0.03</v>
      </c>
      <c r="BE74" s="161"/>
      <c r="BF74" s="746">
        <v>0.03</v>
      </c>
      <c r="BG74" s="746">
        <f>+BF74</f>
        <v>0.03</v>
      </c>
      <c r="BH74" s="746">
        <f>+BG74</f>
        <v>0.03</v>
      </c>
      <c r="BI74" s="746">
        <f>+BH74</f>
        <v>0.03</v>
      </c>
      <c r="BJ74" s="161"/>
      <c r="BK74" s="162"/>
      <c r="BL74" s="162"/>
      <c r="BM74" s="144"/>
    </row>
    <row r="75" spans="1:65" outlineLevel="1">
      <c r="A75" s="144"/>
      <c r="B75" s="209" t="s">
        <v>95</v>
      </c>
      <c r="C75" s="743"/>
      <c r="D75" s="743"/>
      <c r="E75" s="743"/>
      <c r="F75" s="743"/>
      <c r="G75" s="161"/>
      <c r="H75" s="743"/>
      <c r="I75" s="743"/>
      <c r="J75" s="743"/>
      <c r="K75" s="743"/>
      <c r="L75" s="161"/>
      <c r="M75" s="743"/>
      <c r="N75" s="743"/>
      <c r="O75" s="743"/>
      <c r="P75" s="743"/>
      <c r="Q75" s="161"/>
      <c r="R75" s="743"/>
      <c r="S75" s="743"/>
      <c r="T75" s="743"/>
      <c r="U75" s="743"/>
      <c r="V75" s="161"/>
      <c r="W75" s="743"/>
      <c r="X75" s="738"/>
      <c r="Y75" s="738"/>
      <c r="Z75" s="738"/>
      <c r="AA75" s="161"/>
      <c r="AB75" s="738"/>
      <c r="AC75" s="208"/>
      <c r="AD75" s="208"/>
      <c r="AE75" s="745"/>
      <c r="AF75" s="161"/>
      <c r="AG75" s="738"/>
      <c r="AH75" s="738"/>
      <c r="AI75" s="738"/>
      <c r="AJ75" s="738"/>
      <c r="AK75" s="161"/>
      <c r="AL75" s="745"/>
      <c r="AM75" s="745"/>
      <c r="AN75" s="745"/>
      <c r="AO75" s="745"/>
      <c r="AP75" s="161"/>
      <c r="AQ75" s="745"/>
      <c r="AR75" s="745"/>
      <c r="AS75" s="745"/>
      <c r="AT75" s="745"/>
      <c r="AU75" s="161"/>
      <c r="AV75" s="746">
        <f>+AV74-0.01</f>
        <v>-0.17500000000000002</v>
      </c>
      <c r="AW75" s="746">
        <f>+AW74-0.01</f>
        <v>-6.9999999999999993E-2</v>
      </c>
      <c r="AX75" s="746">
        <f>+AX74-0.01</f>
        <v>0.01</v>
      </c>
      <c r="AY75" s="746">
        <f>+AY74-0.01</f>
        <v>0.01</v>
      </c>
      <c r="AZ75" s="161"/>
      <c r="BA75" s="746">
        <f>+BA74-0.01</f>
        <v>1.9999999999999997E-2</v>
      </c>
      <c r="BB75" s="746">
        <f>+BB74-0.01</f>
        <v>1.9999999999999997E-2</v>
      </c>
      <c r="BC75" s="746">
        <f>+BC74-0.01</f>
        <v>1.9999999999999997E-2</v>
      </c>
      <c r="BD75" s="746">
        <f>+BD74-0.01</f>
        <v>1.9999999999999997E-2</v>
      </c>
      <c r="BE75" s="161"/>
      <c r="BF75" s="746">
        <f>+BF74-0.01</f>
        <v>1.9999999999999997E-2</v>
      </c>
      <c r="BG75" s="746">
        <f>+BG74-0.01</f>
        <v>1.9999999999999997E-2</v>
      </c>
      <c r="BH75" s="746">
        <f>+BH74-0.01</f>
        <v>1.9999999999999997E-2</v>
      </c>
      <c r="BI75" s="746">
        <f>+BI74-0.01</f>
        <v>1.9999999999999997E-2</v>
      </c>
      <c r="BJ75" s="161"/>
      <c r="BK75" s="162"/>
      <c r="BL75" s="162"/>
      <c r="BM75" s="144"/>
    </row>
    <row r="76" spans="1:65">
      <c r="A76" s="144"/>
      <c r="B76" s="748"/>
      <c r="C76" s="743"/>
      <c r="D76" s="743"/>
      <c r="E76" s="743"/>
      <c r="F76" s="743"/>
      <c r="G76" s="161"/>
      <c r="H76" s="743"/>
      <c r="I76" s="743"/>
      <c r="J76" s="743"/>
      <c r="K76" s="743"/>
      <c r="L76" s="161"/>
      <c r="M76" s="743"/>
      <c r="N76" s="743"/>
      <c r="O76" s="743"/>
      <c r="P76" s="743"/>
      <c r="Q76" s="161"/>
      <c r="R76" s="749"/>
      <c r="S76" s="749"/>
      <c r="T76" s="749"/>
      <c r="U76" s="749"/>
      <c r="V76" s="161"/>
      <c r="W76" s="749"/>
      <c r="X76" s="749"/>
      <c r="Y76" s="749"/>
      <c r="Z76" s="749"/>
      <c r="AA76" s="161"/>
      <c r="AB76" s="749"/>
      <c r="AC76" s="749"/>
      <c r="AD76" s="749"/>
      <c r="AE76" s="749"/>
      <c r="AF76" s="161"/>
      <c r="AG76" s="768"/>
      <c r="AH76" s="749"/>
      <c r="AI76" s="749"/>
      <c r="AJ76" s="749"/>
      <c r="AK76" s="161"/>
      <c r="AL76" s="749"/>
      <c r="AM76" s="749"/>
      <c r="AN76" s="749"/>
      <c r="AO76" s="749"/>
      <c r="AP76" s="161"/>
      <c r="AQ76" s="749"/>
      <c r="AR76" s="749"/>
      <c r="AS76" s="749"/>
      <c r="AT76" s="749"/>
      <c r="AU76" s="161"/>
      <c r="AV76" s="749"/>
      <c r="AW76" s="749"/>
      <c r="AX76" s="749"/>
      <c r="AY76" s="749"/>
      <c r="AZ76" s="161"/>
      <c r="BA76" s="749"/>
      <c r="BB76" s="749"/>
      <c r="BC76" s="749"/>
      <c r="BD76" s="749"/>
      <c r="BE76" s="161"/>
      <c r="BF76" s="749"/>
      <c r="BG76" s="749"/>
      <c r="BH76" s="749"/>
      <c r="BI76" s="749"/>
      <c r="BJ76" s="161"/>
      <c r="BK76" s="162"/>
      <c r="BL76" s="162"/>
      <c r="BM76" s="144"/>
    </row>
    <row r="77" spans="1:65">
      <c r="A77" s="144"/>
      <c r="B77" s="739" t="s">
        <v>275</v>
      </c>
      <c r="C77" s="754">
        <f t="shared" ref="C77:AH77" si="17">+C68/C71</f>
        <v>0.10486397361912614</v>
      </c>
      <c r="D77" s="754">
        <f t="shared" si="17"/>
        <v>0.10175171363290175</v>
      </c>
      <c r="E77" s="754">
        <f t="shared" si="17"/>
        <v>0.10171258376768429</v>
      </c>
      <c r="F77" s="754">
        <f t="shared" si="17"/>
        <v>0.1</v>
      </c>
      <c r="G77" s="758">
        <f t="shared" si="17"/>
        <v>0.10199733688415447</v>
      </c>
      <c r="H77" s="754">
        <f t="shared" si="17"/>
        <v>9.9343544857768043E-2</v>
      </c>
      <c r="I77" s="754">
        <f t="shared" si="17"/>
        <v>8.8098094095695051E-2</v>
      </c>
      <c r="J77" s="754">
        <f t="shared" si="17"/>
        <v>9.5310327392238658E-2</v>
      </c>
      <c r="K77" s="754">
        <f t="shared" si="17"/>
        <v>9.1759625764663538E-2</v>
      </c>
      <c r="L77" s="758">
        <f t="shared" si="17"/>
        <v>9.3478402927530541E-2</v>
      </c>
      <c r="M77" s="754">
        <f t="shared" si="17"/>
        <v>8.9820359281437126E-2</v>
      </c>
      <c r="N77" s="754">
        <f t="shared" si="17"/>
        <v>8.6754891980545187E-2</v>
      </c>
      <c r="O77" s="754">
        <f t="shared" si="17"/>
        <v>9.1988849836383474E-2</v>
      </c>
      <c r="P77" s="754">
        <f t="shared" si="17"/>
        <v>9.210042865890998E-2</v>
      </c>
      <c r="Q77" s="758">
        <f t="shared" si="17"/>
        <v>9.0101674641148335E-2</v>
      </c>
      <c r="R77" s="754">
        <f t="shared" si="17"/>
        <v>9.1286755771567446E-2</v>
      </c>
      <c r="S77" s="754">
        <f t="shared" si="17"/>
        <v>9.5467963386727681E-2</v>
      </c>
      <c r="T77" s="754">
        <f t="shared" si="17"/>
        <v>9.2464245175936433E-2</v>
      </c>
      <c r="U77" s="754">
        <f t="shared" si="17"/>
        <v>9.5058553386911604E-2</v>
      </c>
      <c r="V77" s="758">
        <f t="shared" si="17"/>
        <v>9.3599594085242099E-2</v>
      </c>
      <c r="W77" s="754">
        <f t="shared" si="17"/>
        <v>9.554994124559342E-2</v>
      </c>
      <c r="X77" s="754">
        <f t="shared" si="17"/>
        <v>9.3362255965292837E-2</v>
      </c>
      <c r="Y77" s="754">
        <f t="shared" si="17"/>
        <v>9.1735070575461458E-2</v>
      </c>
      <c r="Z77" s="754">
        <f t="shared" si="17"/>
        <v>9.0381936887921663E-2</v>
      </c>
      <c r="AA77" s="758">
        <f t="shared" si="17"/>
        <v>9.2704677553279824E-2</v>
      </c>
      <c r="AB77" s="754">
        <f t="shared" si="17"/>
        <v>9.1737596471885341E-2</v>
      </c>
      <c r="AC77" s="754">
        <f t="shared" si="17"/>
        <v>8.778403275332651E-2</v>
      </c>
      <c r="AD77" s="754">
        <f t="shared" si="17"/>
        <v>8.6139293139293138E-2</v>
      </c>
      <c r="AE77" s="754">
        <f t="shared" si="17"/>
        <v>8.6737113402061861E-2</v>
      </c>
      <c r="AF77" s="758">
        <f t="shared" si="17"/>
        <v>8.8042976939203349E-2</v>
      </c>
      <c r="AG77" s="754">
        <f t="shared" si="17"/>
        <v>8.7639121338912135E-2</v>
      </c>
      <c r="AH77" s="754">
        <f t="shared" si="17"/>
        <v>8.3951503394762372E-2</v>
      </c>
      <c r="AI77" s="754">
        <f t="shared" ref="AI77:AN77" si="18">+AI68/AI71</f>
        <v>8.2840271055179091E-2</v>
      </c>
      <c r="AJ77" s="754">
        <f t="shared" si="18"/>
        <v>8.9161067193675878E-2</v>
      </c>
      <c r="AK77" s="758">
        <f t="shared" si="18"/>
        <v>8.5848710317460317E-2</v>
      </c>
      <c r="AL77" s="754">
        <f t="shared" si="18"/>
        <v>9.2460431654676253E-2</v>
      </c>
      <c r="AM77" s="754">
        <f t="shared" si="18"/>
        <v>9.0270691333982467E-2</v>
      </c>
      <c r="AN77" s="754">
        <f t="shared" si="18"/>
        <v>8.3896887159533071E-2</v>
      </c>
      <c r="AO77" s="754">
        <f t="shared" ref="AO77:AU77" si="19">+AO68/AO71</f>
        <v>9.0964610717896868E-2</v>
      </c>
      <c r="AP77" s="758">
        <f t="shared" si="19"/>
        <v>8.9340801593228783E-2</v>
      </c>
      <c r="AQ77" s="754">
        <f t="shared" si="19"/>
        <v>9.0169164882226982E-2</v>
      </c>
      <c r="AR77" s="754">
        <f t="shared" si="19"/>
        <v>8.8498905908096281E-2</v>
      </c>
      <c r="AS77" s="754">
        <f t="shared" si="19"/>
        <v>0.10078419811320755</v>
      </c>
      <c r="AT77" s="754">
        <f t="shared" si="19"/>
        <v>0.10093026004728133</v>
      </c>
      <c r="AU77" s="758">
        <f t="shared" si="19"/>
        <v>9.4849802371541489E-2</v>
      </c>
      <c r="AV77" s="754">
        <f>+AQ77*(1+AV78)</f>
        <v>9.9186081370449694E-2</v>
      </c>
      <c r="AW77" s="754">
        <f>+AR77*(1+AW78)</f>
        <v>9.2923851203501093E-2</v>
      </c>
      <c r="AX77" s="754">
        <f>+AS77*(1+AX78)</f>
        <v>0.10179204009433962</v>
      </c>
      <c r="AY77" s="754">
        <f>+AT77*(1+AY78)</f>
        <v>0.10193956264775414</v>
      </c>
      <c r="AZ77" s="758">
        <f>+AZ68/AZ71</f>
        <v>9.8963274971561627E-2</v>
      </c>
      <c r="BA77" s="754">
        <f>+AV77*(1+BA78)</f>
        <v>9.9186081370449694E-2</v>
      </c>
      <c r="BB77" s="754">
        <f>+AW77*(1+BB78)</f>
        <v>9.2923851203501093E-2</v>
      </c>
      <c r="BC77" s="754">
        <f>+AX77*(1+BC78)</f>
        <v>0.10077411969339622</v>
      </c>
      <c r="BD77" s="754">
        <f>+AY77*(1+BD78)</f>
        <v>0.1009201670212766</v>
      </c>
      <c r="BE77" s="758">
        <f>+BE68/BE71</f>
        <v>9.8440508741197461E-2</v>
      </c>
      <c r="BF77" s="754">
        <f>+BA77*(1+BF78)</f>
        <v>9.9186081370449694E-2</v>
      </c>
      <c r="BG77" s="754">
        <f>+BB77*(1+BG78)</f>
        <v>9.2923851203501093E-2</v>
      </c>
      <c r="BH77" s="754">
        <f>+BC77*(1+BH78)</f>
        <v>0.10077411969339622</v>
      </c>
      <c r="BI77" s="754">
        <f>+BD77*(1+BI78)</f>
        <v>0.1009201670212766</v>
      </c>
      <c r="BJ77" s="758">
        <f>+BJ68/BJ71</f>
        <v>9.8440508741197488E-2</v>
      </c>
      <c r="BK77" s="759"/>
      <c r="BL77" s="759"/>
      <c r="BM77" s="144"/>
    </row>
    <row r="78" spans="1:65">
      <c r="A78" s="144"/>
      <c r="B78" s="737" t="s">
        <v>16</v>
      </c>
      <c r="C78" s="304"/>
      <c r="D78" s="304"/>
      <c r="E78" s="304"/>
      <c r="F78" s="304"/>
      <c r="G78" s="155"/>
      <c r="H78" s="304">
        <f t="shared" ref="H78:AT78" si="20">+H77/C77-1</f>
        <v>-5.2643711379932179E-2</v>
      </c>
      <c r="I78" s="304">
        <f t="shared" si="20"/>
        <v>-0.13418564709844605</v>
      </c>
      <c r="J78" s="304">
        <f t="shared" si="20"/>
        <v>-6.2944585008956611E-2</v>
      </c>
      <c r="K78" s="304">
        <f t="shared" si="20"/>
        <v>-8.2403742353364673E-2</v>
      </c>
      <c r="L78" s="177">
        <f t="shared" si="20"/>
        <v>-8.3521141010764577E-2</v>
      </c>
      <c r="M78" s="304">
        <f t="shared" si="20"/>
        <v>-9.586114115381561E-2</v>
      </c>
      <c r="N78" s="304">
        <f t="shared" si="20"/>
        <v>-1.5246664856232162E-2</v>
      </c>
      <c r="O78" s="304">
        <f t="shared" si="20"/>
        <v>-3.4849083480597343E-2</v>
      </c>
      <c r="P78" s="304">
        <f t="shared" si="20"/>
        <v>3.714083306317173E-3</v>
      </c>
      <c r="Q78" s="177">
        <f t="shared" si="20"/>
        <v>-3.6123084911923731E-2</v>
      </c>
      <c r="R78" s="304">
        <f t="shared" si="20"/>
        <v>1.6325880923450997E-2</v>
      </c>
      <c r="S78" s="304">
        <f t="shared" si="20"/>
        <v>0.10043319987230692</v>
      </c>
      <c r="T78" s="304">
        <f t="shared" si="20"/>
        <v>5.1679669916355753E-3</v>
      </c>
      <c r="U78" s="304">
        <f t="shared" si="20"/>
        <v>3.2118468622517549E-2</v>
      </c>
      <c r="V78" s="177">
        <f t="shared" si="20"/>
        <v>3.8821913777130845E-2</v>
      </c>
      <c r="W78" s="304">
        <f t="shared" si="20"/>
        <v>4.6701029497575819E-2</v>
      </c>
      <c r="X78" s="304">
        <f t="shared" si="20"/>
        <v>-2.2056691551121776E-2</v>
      </c>
      <c r="Y78" s="304">
        <f t="shared" si="20"/>
        <v>-7.8860169040210204E-3</v>
      </c>
      <c r="Z78" s="304">
        <f t="shared" si="20"/>
        <v>-4.9197219317602792E-2</v>
      </c>
      <c r="AA78" s="177">
        <f>+AA77/V77-1</f>
        <v>-9.5611155230787004E-3</v>
      </c>
      <c r="AB78" s="304">
        <f t="shared" si="20"/>
        <v>-3.9898975593393171E-2</v>
      </c>
      <c r="AC78" s="304">
        <f t="shared" si="20"/>
        <v>-5.9748162191367915E-2</v>
      </c>
      <c r="AD78" s="304">
        <f t="shared" si="20"/>
        <v>-6.0999325569442098E-2</v>
      </c>
      <c r="AE78" s="304">
        <f t="shared" si="20"/>
        <v>-4.0326901716872587E-2</v>
      </c>
      <c r="AF78" s="177">
        <f>+AF77/AA77-1</f>
        <v>-5.028549515635039E-2</v>
      </c>
      <c r="AG78" s="304">
        <f t="shared" si="20"/>
        <v>-4.4676068379764677E-2</v>
      </c>
      <c r="AH78" s="304">
        <f t="shared" si="20"/>
        <v>-4.3658615791023925E-2</v>
      </c>
      <c r="AI78" s="304">
        <f t="shared" si="20"/>
        <v>-3.829868999249042E-2</v>
      </c>
      <c r="AJ78" s="304">
        <f t="shared" si="20"/>
        <v>2.7945981789571528E-2</v>
      </c>
      <c r="AK78" s="177">
        <f>+AK77/AF77-1</f>
        <v>-2.4922676379494191E-2</v>
      </c>
      <c r="AL78" s="304">
        <f t="shared" si="20"/>
        <v>5.5013220604066326E-2</v>
      </c>
      <c r="AM78" s="304">
        <f t="shared" si="20"/>
        <v>7.5271885358688451E-2</v>
      </c>
      <c r="AN78" s="304">
        <f t="shared" si="20"/>
        <v>1.275486053938879E-2</v>
      </c>
      <c r="AO78" s="304">
        <f t="shared" si="20"/>
        <v>2.0227926616258829E-2</v>
      </c>
      <c r="AP78" s="177">
        <f>+AP77/AK77-1</f>
        <v>4.0677271246767122E-2</v>
      </c>
      <c r="AQ78" s="304">
        <f t="shared" si="20"/>
        <v>-2.4781052082979205E-2</v>
      </c>
      <c r="AR78" s="304">
        <f t="shared" si="20"/>
        <v>-1.9627471549220288E-2</v>
      </c>
      <c r="AS78" s="304">
        <f t="shared" si="20"/>
        <v>0.20128650210302346</v>
      </c>
      <c r="AT78" s="304">
        <f t="shared" si="20"/>
        <v>0.10955523528034794</v>
      </c>
      <c r="AU78" s="177">
        <f>+AU77/AP77-1</f>
        <v>6.1662764157807137E-2</v>
      </c>
      <c r="AV78" s="208">
        <f>CHOOSE(_Switch,AV79,AV80,AV81)</f>
        <v>0.1</v>
      </c>
      <c r="AW78" s="208">
        <f>CHOOSE(_Switch,AW79,AW80,AW81)</f>
        <v>0.05</v>
      </c>
      <c r="AX78" s="208">
        <f>CHOOSE(_Switch,AX79,AX80,AX81)</f>
        <v>0.01</v>
      </c>
      <c r="AY78" s="208">
        <f>CHOOSE(_Switch,AY79,AY80,AY81)</f>
        <v>0.01</v>
      </c>
      <c r="AZ78" s="177">
        <f>+AZ77/AU77-1</f>
        <v>4.3368278026632234E-2</v>
      </c>
      <c r="BA78" s="208">
        <f>CHOOSE(_Switch,BA79,BA80,BA81)</f>
        <v>0</v>
      </c>
      <c r="BB78" s="208">
        <f>CHOOSE(_Switch,BB79,BB80,BB81)</f>
        <v>0</v>
      </c>
      <c r="BC78" s="208">
        <f>CHOOSE(_Switch,BC79,BC80,BC81)</f>
        <v>-0.01</v>
      </c>
      <c r="BD78" s="208">
        <f>CHOOSE(_Switch,BD79,BD80,BD81)</f>
        <v>-0.01</v>
      </c>
      <c r="BE78" s="177">
        <f>+BE77/AZ77-1</f>
        <v>-5.2824265417084071E-3</v>
      </c>
      <c r="BF78" s="208">
        <f>CHOOSE(_Switch,BF79,BF80,BF81)</f>
        <v>0</v>
      </c>
      <c r="BG78" s="208">
        <f>CHOOSE(_Switch,BG79,BG80,BG81)</f>
        <v>0</v>
      </c>
      <c r="BH78" s="208">
        <f>CHOOSE(_Switch,BH79,BH80,BH81)</f>
        <v>0</v>
      </c>
      <c r="BI78" s="208">
        <f>CHOOSE(_Switch,BI79,BI80,BI81)</f>
        <v>0</v>
      </c>
      <c r="BJ78" s="177">
        <f>+BJ77/BE77-1</f>
        <v>0</v>
      </c>
      <c r="BK78" s="760"/>
      <c r="BL78" s="760"/>
      <c r="BM78" s="144"/>
    </row>
    <row r="79" spans="1:65" outlineLevel="1">
      <c r="A79" s="144"/>
      <c r="B79" s="209" t="s">
        <v>93</v>
      </c>
      <c r="C79" s="743"/>
      <c r="D79" s="743"/>
      <c r="E79" s="743"/>
      <c r="F79" s="743"/>
      <c r="G79" s="161"/>
      <c r="H79" s="743"/>
      <c r="I79" s="743"/>
      <c r="J79" s="743"/>
      <c r="K79" s="743"/>
      <c r="L79" s="161"/>
      <c r="M79" s="743"/>
      <c r="N79" s="743"/>
      <c r="O79" s="743"/>
      <c r="P79" s="743"/>
      <c r="Q79" s="761"/>
      <c r="R79" s="743"/>
      <c r="S79" s="743"/>
      <c r="T79" s="743"/>
      <c r="U79" s="743"/>
      <c r="V79" s="761"/>
      <c r="W79" s="743"/>
      <c r="X79" s="738"/>
      <c r="Y79" s="738"/>
      <c r="Z79" s="738"/>
      <c r="AA79" s="761"/>
      <c r="AB79" s="738"/>
      <c r="AC79" s="208"/>
      <c r="AD79" s="208"/>
      <c r="AE79" s="745"/>
      <c r="AF79" s="761"/>
      <c r="AG79" s="738"/>
      <c r="AH79" s="738"/>
      <c r="AI79" s="738"/>
      <c r="AJ79" s="738"/>
      <c r="AK79" s="761"/>
      <c r="AL79" s="738"/>
      <c r="AM79" s="738"/>
      <c r="AN79" s="738"/>
      <c r="AO79" s="738"/>
      <c r="AP79" s="761"/>
      <c r="AQ79" s="745"/>
      <c r="AR79" s="745"/>
      <c r="AS79" s="738"/>
      <c r="AT79" s="738"/>
      <c r="AU79" s="761"/>
      <c r="AV79" s="746">
        <f>+AV80+0.002</f>
        <v>0.10200000000000001</v>
      </c>
      <c r="AW79" s="746">
        <f>+AW80+0.002</f>
        <v>5.2000000000000005E-2</v>
      </c>
      <c r="AX79" s="746">
        <f>+AX80+0.002</f>
        <v>1.2E-2</v>
      </c>
      <c r="AY79" s="746">
        <f>+AY80+0.002</f>
        <v>1.2E-2</v>
      </c>
      <c r="AZ79" s="761"/>
      <c r="BA79" s="746">
        <f>+BA80+0.002</f>
        <v>2E-3</v>
      </c>
      <c r="BB79" s="746">
        <f>+BB80+0.002</f>
        <v>2E-3</v>
      </c>
      <c r="BC79" s="746">
        <f>+BC80+0.002</f>
        <v>-8.0000000000000002E-3</v>
      </c>
      <c r="BD79" s="746">
        <f>+BD80+0.002</f>
        <v>-8.0000000000000002E-3</v>
      </c>
      <c r="BE79" s="761"/>
      <c r="BF79" s="746">
        <f>+BF80+0.002</f>
        <v>2E-3</v>
      </c>
      <c r="BG79" s="746">
        <f>+BG80+0.002</f>
        <v>2E-3</v>
      </c>
      <c r="BH79" s="746">
        <f>+BH80+0.002</f>
        <v>2E-3</v>
      </c>
      <c r="BI79" s="746">
        <f>+BI80+0.002</f>
        <v>2E-3</v>
      </c>
      <c r="BJ79" s="761"/>
      <c r="BK79" s="760"/>
      <c r="BL79" s="760"/>
      <c r="BM79" s="144"/>
    </row>
    <row r="80" spans="1:65" outlineLevel="1">
      <c r="A80" s="144"/>
      <c r="B80" s="209" t="s">
        <v>94</v>
      </c>
      <c r="C80" s="743"/>
      <c r="D80" s="743"/>
      <c r="E80" s="743"/>
      <c r="F80" s="743"/>
      <c r="G80" s="161"/>
      <c r="H80" s="743"/>
      <c r="I80" s="743"/>
      <c r="J80" s="743"/>
      <c r="K80" s="743"/>
      <c r="L80" s="161"/>
      <c r="M80" s="743"/>
      <c r="N80" s="743"/>
      <c r="O80" s="743"/>
      <c r="P80" s="743"/>
      <c r="Q80" s="761"/>
      <c r="R80" s="743"/>
      <c r="S80" s="743"/>
      <c r="T80" s="743"/>
      <c r="U80" s="743"/>
      <c r="V80" s="761"/>
      <c r="W80" s="743"/>
      <c r="X80" s="738"/>
      <c r="Y80" s="738"/>
      <c r="Z80" s="738"/>
      <c r="AA80" s="761"/>
      <c r="AB80" s="738"/>
      <c r="AC80" s="208"/>
      <c r="AD80" s="208"/>
      <c r="AE80" s="745"/>
      <c r="AF80" s="761"/>
      <c r="AG80" s="738"/>
      <c r="AH80" s="738"/>
      <c r="AI80" s="745"/>
      <c r="AJ80" s="745"/>
      <c r="AK80" s="761"/>
      <c r="AL80" s="738"/>
      <c r="AM80" s="738"/>
      <c r="AN80" s="738"/>
      <c r="AO80" s="738"/>
      <c r="AP80" s="761"/>
      <c r="AQ80" s="745"/>
      <c r="AR80" s="745"/>
      <c r="AS80" s="738"/>
      <c r="AT80" s="738"/>
      <c r="AU80" s="761">
        <v>0.01</v>
      </c>
      <c r="AV80" s="746">
        <v>0.1</v>
      </c>
      <c r="AW80" s="746">
        <v>0.05</v>
      </c>
      <c r="AX80" s="746">
        <v>0.01</v>
      </c>
      <c r="AY80" s="746">
        <f>+AX80</f>
        <v>0.01</v>
      </c>
      <c r="AZ80" s="761"/>
      <c r="BA80" s="746">
        <v>0</v>
      </c>
      <c r="BB80" s="746">
        <f>+BA80</f>
        <v>0</v>
      </c>
      <c r="BC80" s="746">
        <v>-0.01</v>
      </c>
      <c r="BD80" s="746">
        <f>+BC80</f>
        <v>-0.01</v>
      </c>
      <c r="BE80" s="761"/>
      <c r="BF80" s="746">
        <v>0</v>
      </c>
      <c r="BG80" s="746">
        <f>+BF80</f>
        <v>0</v>
      </c>
      <c r="BH80" s="746">
        <f>+BG80</f>
        <v>0</v>
      </c>
      <c r="BI80" s="746">
        <f>+BH80</f>
        <v>0</v>
      </c>
      <c r="BJ80" s="761"/>
      <c r="BK80" s="760"/>
      <c r="BL80" s="760"/>
      <c r="BM80" s="144"/>
    </row>
    <row r="81" spans="1:65" outlineLevel="1">
      <c r="A81" s="144"/>
      <c r="B81" s="209" t="s">
        <v>95</v>
      </c>
      <c r="C81" s="743"/>
      <c r="D81" s="743"/>
      <c r="E81" s="743"/>
      <c r="F81" s="743"/>
      <c r="G81" s="161"/>
      <c r="H81" s="743"/>
      <c r="I81" s="743"/>
      <c r="J81" s="743"/>
      <c r="K81" s="743"/>
      <c r="L81" s="161"/>
      <c r="M81" s="743"/>
      <c r="N81" s="743"/>
      <c r="O81" s="743"/>
      <c r="P81" s="743"/>
      <c r="Q81" s="761"/>
      <c r="R81" s="743"/>
      <c r="S81" s="743"/>
      <c r="T81" s="743"/>
      <c r="U81" s="743"/>
      <c r="V81" s="761"/>
      <c r="W81" s="743"/>
      <c r="X81" s="738"/>
      <c r="Y81" s="738"/>
      <c r="Z81" s="738"/>
      <c r="AA81" s="761"/>
      <c r="AB81" s="738"/>
      <c r="AC81" s="208"/>
      <c r="AD81" s="208"/>
      <c r="AE81" s="745"/>
      <c r="AF81" s="761"/>
      <c r="AG81" s="738"/>
      <c r="AH81" s="738"/>
      <c r="AI81" s="745"/>
      <c r="AJ81" s="745"/>
      <c r="AK81" s="761"/>
      <c r="AL81" s="738"/>
      <c r="AM81" s="738"/>
      <c r="AN81" s="738"/>
      <c r="AO81" s="738"/>
      <c r="AP81" s="761"/>
      <c r="AQ81" s="745"/>
      <c r="AR81" s="745"/>
      <c r="AS81" s="738"/>
      <c r="AT81" s="738"/>
      <c r="AU81" s="761"/>
      <c r="AV81" s="746">
        <f>+AV80-0.01</f>
        <v>9.0000000000000011E-2</v>
      </c>
      <c r="AW81" s="746">
        <f>+AW80-0.01</f>
        <v>0.04</v>
      </c>
      <c r="AX81" s="746">
        <f>+AX80-0.01</f>
        <v>0</v>
      </c>
      <c r="AY81" s="746">
        <f>+AY80-0.01</f>
        <v>0</v>
      </c>
      <c r="AZ81" s="761"/>
      <c r="BA81" s="746">
        <f>+BA80-0.01</f>
        <v>-0.01</v>
      </c>
      <c r="BB81" s="746">
        <f>+BB80-0.01</f>
        <v>-0.01</v>
      </c>
      <c r="BC81" s="746">
        <f>+BC80-0.01</f>
        <v>-0.02</v>
      </c>
      <c r="BD81" s="746">
        <f>+BD80-0.01</f>
        <v>-0.02</v>
      </c>
      <c r="BE81" s="761"/>
      <c r="BF81" s="746">
        <f>+BF80-0.01</f>
        <v>-0.01</v>
      </c>
      <c r="BG81" s="746">
        <f>+BG80-0.01</f>
        <v>-0.01</v>
      </c>
      <c r="BH81" s="746">
        <f>+BH80-0.01</f>
        <v>-0.01</v>
      </c>
      <c r="BI81" s="746">
        <f>+BI80-0.01</f>
        <v>-0.01</v>
      </c>
      <c r="BJ81" s="761"/>
      <c r="BK81" s="760"/>
      <c r="BL81" s="760"/>
      <c r="BM81" s="144"/>
    </row>
    <row r="82" spans="1:65">
      <c r="A82" s="144"/>
      <c r="B82" s="748"/>
      <c r="C82" s="743"/>
      <c r="D82" s="743"/>
      <c r="E82" s="743"/>
      <c r="F82" s="743"/>
      <c r="G82" s="161"/>
      <c r="H82" s="743"/>
      <c r="I82" s="743"/>
      <c r="J82" s="743"/>
      <c r="K82" s="743"/>
      <c r="L82" s="161"/>
      <c r="M82" s="743"/>
      <c r="N82" s="743"/>
      <c r="O82" s="743"/>
      <c r="P82" s="743"/>
      <c r="Q82" s="161"/>
      <c r="R82" s="743"/>
      <c r="S82" s="743"/>
      <c r="T82" s="743"/>
      <c r="U82" s="743"/>
      <c r="V82" s="161"/>
      <c r="W82" s="743"/>
      <c r="X82" s="743"/>
      <c r="Y82" s="743"/>
      <c r="Z82" s="743"/>
      <c r="AA82" s="161"/>
      <c r="AB82" s="743"/>
      <c r="AC82" s="743"/>
      <c r="AD82" s="743"/>
      <c r="AE82" s="743"/>
      <c r="AF82" s="161"/>
      <c r="AG82" s="743"/>
      <c r="AH82" s="743"/>
      <c r="AI82" s="743"/>
      <c r="AJ82" s="743"/>
      <c r="AK82" s="161"/>
      <c r="AL82" s="743"/>
      <c r="AM82" s="743"/>
      <c r="AN82" s="743"/>
      <c r="AO82" s="743"/>
      <c r="AP82" s="161"/>
      <c r="AQ82" s="743"/>
      <c r="AR82" s="743"/>
      <c r="AS82" s="743"/>
      <c r="AT82" s="743"/>
      <c r="AU82" s="161"/>
      <c r="AV82" s="743"/>
      <c r="AW82" s="743"/>
      <c r="AX82" s="743"/>
      <c r="AY82" s="743"/>
      <c r="AZ82" s="161"/>
      <c r="BA82" s="743"/>
      <c r="BB82" s="743"/>
      <c r="BC82" s="743"/>
      <c r="BD82" s="743"/>
      <c r="BE82" s="161"/>
      <c r="BF82" s="743"/>
      <c r="BG82" s="743"/>
      <c r="BH82" s="743"/>
      <c r="BI82" s="743"/>
      <c r="BJ82" s="161"/>
      <c r="BK82" s="162"/>
      <c r="BL82" s="262"/>
      <c r="BM82" s="763"/>
    </row>
    <row r="83" spans="1:65" ht="15.75">
      <c r="A83" s="128"/>
      <c r="B83" s="769" t="s">
        <v>277</v>
      </c>
      <c r="C83" s="770"/>
      <c r="D83" s="770"/>
      <c r="E83" s="770"/>
      <c r="F83" s="770"/>
      <c r="G83" s="771"/>
      <c r="H83" s="770"/>
      <c r="I83" s="770"/>
      <c r="J83" s="770"/>
      <c r="K83" s="770"/>
      <c r="L83" s="771"/>
      <c r="M83" s="770"/>
      <c r="N83" s="770"/>
      <c r="O83" s="770"/>
      <c r="P83" s="770"/>
      <c r="Q83" s="771"/>
      <c r="R83" s="770"/>
      <c r="S83" s="770"/>
      <c r="T83" s="770"/>
      <c r="U83" s="770"/>
      <c r="V83" s="771"/>
      <c r="W83" s="770"/>
      <c r="X83" s="770"/>
      <c r="Y83" s="770"/>
      <c r="Z83" s="770"/>
      <c r="AA83" s="771"/>
      <c r="AB83" s="770"/>
      <c r="AC83" s="770"/>
      <c r="AD83" s="770"/>
      <c r="AE83" s="770"/>
      <c r="AF83" s="771"/>
      <c r="AG83" s="770"/>
      <c r="AH83" s="770"/>
      <c r="AI83" s="770"/>
      <c r="AJ83" s="770"/>
      <c r="AK83" s="771"/>
      <c r="AL83" s="770"/>
      <c r="AM83" s="770"/>
      <c r="AN83" s="770"/>
      <c r="AO83" s="770"/>
      <c r="AP83" s="771"/>
      <c r="AQ83" s="770"/>
      <c r="AR83" s="770"/>
      <c r="AS83" s="770"/>
      <c r="AT83" s="770"/>
      <c r="AU83" s="771"/>
      <c r="AV83" s="770"/>
      <c r="AW83" s="770"/>
      <c r="AX83" s="770"/>
      <c r="AY83" s="770"/>
      <c r="AZ83" s="771"/>
      <c r="BA83" s="770"/>
      <c r="BB83" s="770"/>
      <c r="BC83" s="770"/>
      <c r="BD83" s="770"/>
      <c r="BE83" s="771"/>
      <c r="BF83" s="770"/>
      <c r="BG83" s="770"/>
      <c r="BH83" s="770"/>
      <c r="BI83" s="770"/>
      <c r="BJ83" s="771"/>
      <c r="BK83" s="162"/>
      <c r="BL83" s="262"/>
      <c r="BM83" s="128"/>
    </row>
    <row r="84" spans="1:65">
      <c r="A84" s="128"/>
      <c r="B84" s="735" t="s">
        <v>270</v>
      </c>
      <c r="C84" s="262">
        <f t="shared" ref="C84:AU84" si="21">+C8+C68</f>
        <v>157.5</v>
      </c>
      <c r="D84" s="262">
        <f t="shared" si="21"/>
        <v>179.2</v>
      </c>
      <c r="E84" s="262">
        <f t="shared" si="21"/>
        <v>183.89999999999998</v>
      </c>
      <c r="F84" s="262">
        <f t="shared" si="21"/>
        <v>185.8</v>
      </c>
      <c r="G84" s="596">
        <f t="shared" si="21"/>
        <v>706.4</v>
      </c>
      <c r="H84" s="262">
        <f t="shared" si="21"/>
        <v>175.8</v>
      </c>
      <c r="I84" s="262">
        <f t="shared" si="21"/>
        <v>188.1</v>
      </c>
      <c r="J84" s="262">
        <f t="shared" si="21"/>
        <v>200.4</v>
      </c>
      <c r="K84" s="262">
        <f t="shared" si="21"/>
        <v>208.3</v>
      </c>
      <c r="L84" s="596">
        <f t="shared" si="21"/>
        <v>772.6</v>
      </c>
      <c r="M84" s="262">
        <f t="shared" si="21"/>
        <v>189.3</v>
      </c>
      <c r="N84" s="262">
        <f t="shared" si="21"/>
        <v>216.89999999999998</v>
      </c>
      <c r="O84" s="262">
        <f t="shared" si="21"/>
        <v>216.9</v>
      </c>
      <c r="P84" s="262">
        <f t="shared" si="21"/>
        <v>242.7</v>
      </c>
      <c r="Q84" s="596">
        <f t="shared" si="21"/>
        <v>865.8</v>
      </c>
      <c r="R84" s="262">
        <f t="shared" si="21"/>
        <v>232.58100000000002</v>
      </c>
      <c r="S84" s="262">
        <f t="shared" si="21"/>
        <v>260.37799999999999</v>
      </c>
      <c r="T84" s="262">
        <f t="shared" si="21"/>
        <v>258.49700000000001</v>
      </c>
      <c r="U84" s="262">
        <f t="shared" si="21"/>
        <v>271.18599999999998</v>
      </c>
      <c r="V84" s="596">
        <f t="shared" si="21"/>
        <v>1022.6420000000001</v>
      </c>
      <c r="W84" s="262">
        <f t="shared" si="21"/>
        <v>272.90100000000001</v>
      </c>
      <c r="X84" s="262">
        <f t="shared" si="21"/>
        <v>296.90699999999998</v>
      </c>
      <c r="Y84" s="262">
        <f t="shared" si="21"/>
        <v>294.20600000000002</v>
      </c>
      <c r="Z84" s="262">
        <f t="shared" si="21"/>
        <v>308.62200000000001</v>
      </c>
      <c r="AA84" s="596">
        <f t="shared" si="21"/>
        <v>1172.636</v>
      </c>
      <c r="AB84" s="262">
        <f t="shared" si="21"/>
        <v>288.53199999999998</v>
      </c>
      <c r="AC84" s="262">
        <f t="shared" si="21"/>
        <v>331.339</v>
      </c>
      <c r="AD84" s="262">
        <f t="shared" si="21"/>
        <v>380.517</v>
      </c>
      <c r="AE84" s="262">
        <f t="shared" si="21"/>
        <v>402.15</v>
      </c>
      <c r="AF84" s="596">
        <f t="shared" si="21"/>
        <v>1402.5379999999998</v>
      </c>
      <c r="AG84" s="262">
        <f t="shared" si="21"/>
        <v>374.46500000000003</v>
      </c>
      <c r="AH84" s="262">
        <f t="shared" si="21"/>
        <v>423.64599999999996</v>
      </c>
      <c r="AI84" s="262">
        <f t="shared" si="21"/>
        <v>430.45</v>
      </c>
      <c r="AJ84" s="262">
        <f t="shared" si="21"/>
        <v>453.17500000000001</v>
      </c>
      <c r="AK84" s="596">
        <f t="shared" si="21"/>
        <v>1681.7360000000001</v>
      </c>
      <c r="AL84" s="262">
        <f t="shared" si="21"/>
        <v>431.21</v>
      </c>
      <c r="AM84" s="262">
        <f t="shared" si="21"/>
        <v>480.48099999999999</v>
      </c>
      <c r="AN84" s="262">
        <f t="shared" si="21"/>
        <v>490.65799999999996</v>
      </c>
      <c r="AO84" s="262">
        <f t="shared" si="21"/>
        <v>502.41199999999998</v>
      </c>
      <c r="AP84" s="596">
        <f t="shared" si="21"/>
        <v>1904.761</v>
      </c>
      <c r="AQ84" s="262">
        <f t="shared" si="21"/>
        <v>470.11</v>
      </c>
      <c r="AR84" s="262">
        <f t="shared" si="21"/>
        <v>530.03099999999995</v>
      </c>
      <c r="AS84" s="262">
        <f t="shared" si="21"/>
        <v>554.23199999999997</v>
      </c>
      <c r="AT84" s="262">
        <f t="shared" si="21"/>
        <v>568.93900000000008</v>
      </c>
      <c r="AU84" s="596">
        <f t="shared" si="21"/>
        <v>2123.3119999999999</v>
      </c>
      <c r="AV84" s="262">
        <f>+AV8+AV68+AV28+AV48</f>
        <v>834.18369240073662</v>
      </c>
      <c r="AW84" s="262">
        <f t="shared" ref="AW84:BE84" si="22">+AW8+AW68+AW28+AW48</f>
        <v>974.04075877311811</v>
      </c>
      <c r="AX84" s="262">
        <f t="shared" si="22"/>
        <v>1019.6747410615835</v>
      </c>
      <c r="AY84" s="262">
        <f t="shared" si="22"/>
        <v>1050.9686447799286</v>
      </c>
      <c r="AZ84" s="596">
        <f t="shared" si="22"/>
        <v>3878.8678370153671</v>
      </c>
      <c r="BA84" s="262">
        <f>+BA8+BA68+BA28+BA48</f>
        <v>986.28138857865451</v>
      </c>
      <c r="BB84" s="262">
        <f t="shared" si="22"/>
        <v>1062.5588687708921</v>
      </c>
      <c r="BC84" s="262">
        <f t="shared" si="22"/>
        <v>1111.5949561767081</v>
      </c>
      <c r="BD84" s="262">
        <f t="shared" si="22"/>
        <v>1146.5627353644629</v>
      </c>
      <c r="BE84" s="596">
        <f t="shared" si="22"/>
        <v>4306.9979488907175</v>
      </c>
      <c r="BF84" s="262">
        <f>+BF8+BF68+BF28+BF48</f>
        <v>1078.3335646736259</v>
      </c>
      <c r="BG84" s="262">
        <f>+BG8+BG68+BG28+BG48</f>
        <v>1160.9091022111227</v>
      </c>
      <c r="BH84" s="262">
        <f>+BH8+BH68+BH28+BH48</f>
        <v>1213.2059658113858</v>
      </c>
      <c r="BI84" s="262">
        <f>+BI8+BI68+BI28+BI48</f>
        <v>1252.4004406569991</v>
      </c>
      <c r="BJ84" s="596">
        <f>+BJ8+BJ68+BJ28+BJ48</f>
        <v>4704.8490733531335</v>
      </c>
      <c r="BK84" s="598"/>
      <c r="BL84" s="656"/>
      <c r="BM84" s="128"/>
    </row>
    <row r="85" spans="1:65">
      <c r="A85" s="128"/>
      <c r="B85" s="737" t="s">
        <v>16</v>
      </c>
      <c r="C85" s="304"/>
      <c r="D85" s="304"/>
      <c r="E85" s="304"/>
      <c r="F85" s="304"/>
      <c r="G85" s="155"/>
      <c r="H85" s="304">
        <f t="shared" ref="H85:AZ85" si="23">+H84/C84-1</f>
        <v>0.11619047619047618</v>
      </c>
      <c r="I85" s="304">
        <f t="shared" si="23"/>
        <v>4.9665178571428603E-2</v>
      </c>
      <c r="J85" s="304">
        <f t="shared" si="23"/>
        <v>8.9722675367047477E-2</v>
      </c>
      <c r="K85" s="304">
        <f t="shared" si="23"/>
        <v>0.12109795479009677</v>
      </c>
      <c r="L85" s="155">
        <f t="shared" si="23"/>
        <v>9.3714609286523309E-2</v>
      </c>
      <c r="M85" s="304">
        <f t="shared" si="23"/>
        <v>7.6791808873720058E-2</v>
      </c>
      <c r="N85" s="304">
        <f t="shared" si="23"/>
        <v>0.15311004784688986</v>
      </c>
      <c r="O85" s="304">
        <f t="shared" si="23"/>
        <v>8.2335329341317376E-2</v>
      </c>
      <c r="P85" s="304">
        <f t="shared" si="23"/>
        <v>0.16514642342774821</v>
      </c>
      <c r="Q85" s="155">
        <f t="shared" si="23"/>
        <v>0.12063163344550865</v>
      </c>
      <c r="R85" s="304">
        <f t="shared" si="23"/>
        <v>0.22863708399366089</v>
      </c>
      <c r="S85" s="304">
        <f t="shared" si="23"/>
        <v>0.20045182111572157</v>
      </c>
      <c r="T85" s="304">
        <f t="shared" si="23"/>
        <v>0.19177962194559717</v>
      </c>
      <c r="U85" s="304">
        <f t="shared" si="23"/>
        <v>0.11737124021425616</v>
      </c>
      <c r="V85" s="155">
        <f t="shared" si="23"/>
        <v>0.18115269115269128</v>
      </c>
      <c r="W85" s="304">
        <f t="shared" si="23"/>
        <v>0.17335895881434848</v>
      </c>
      <c r="X85" s="304">
        <f t="shared" si="23"/>
        <v>0.14029219058445808</v>
      </c>
      <c r="Y85" s="304">
        <f t="shared" si="23"/>
        <v>0.13814086817255133</v>
      </c>
      <c r="Z85" s="304">
        <f t="shared" si="23"/>
        <v>0.13804547432389591</v>
      </c>
      <c r="AA85" s="155">
        <f t="shared" si="23"/>
        <v>0.14667302927124037</v>
      </c>
      <c r="AB85" s="304">
        <f t="shared" si="23"/>
        <v>5.7277181102304286E-2</v>
      </c>
      <c r="AC85" s="304">
        <f t="shared" si="23"/>
        <v>0.11596897344959878</v>
      </c>
      <c r="AD85" s="304">
        <f t="shared" si="23"/>
        <v>0.29336927187072992</v>
      </c>
      <c r="AE85" s="304">
        <f t="shared" si="23"/>
        <v>0.3030503334175787</v>
      </c>
      <c r="AF85" s="155">
        <f t="shared" si="23"/>
        <v>0.1960557240268932</v>
      </c>
      <c r="AG85" s="304">
        <f t="shared" si="23"/>
        <v>0.2978283171364009</v>
      </c>
      <c r="AH85" s="304">
        <f t="shared" si="23"/>
        <v>0.27858779075206952</v>
      </c>
      <c r="AI85" s="304">
        <f t="shared" si="23"/>
        <v>0.13122409774070531</v>
      </c>
      <c r="AJ85" s="304">
        <f t="shared" si="23"/>
        <v>0.12688051721994298</v>
      </c>
      <c r="AK85" s="155">
        <f t="shared" si="23"/>
        <v>0.1990662641582619</v>
      </c>
      <c r="AL85" s="304">
        <f t="shared" si="23"/>
        <v>0.15153619163339682</v>
      </c>
      <c r="AM85" s="304">
        <f t="shared" si="23"/>
        <v>0.13415681960882453</v>
      </c>
      <c r="AN85" s="304">
        <f t="shared" si="23"/>
        <v>0.13987222673945854</v>
      </c>
      <c r="AO85" s="304">
        <f t="shared" si="23"/>
        <v>0.1086489766646439</v>
      </c>
      <c r="AP85" s="155">
        <f t="shared" si="23"/>
        <v>0.13261593971943264</v>
      </c>
      <c r="AQ85" s="304">
        <f t="shared" si="23"/>
        <v>9.0211265972496069E-2</v>
      </c>
      <c r="AR85" s="304">
        <f t="shared" si="23"/>
        <v>0.10312582599520059</v>
      </c>
      <c r="AS85" s="304">
        <f t="shared" si="23"/>
        <v>0.12956886466744666</v>
      </c>
      <c r="AT85" s="304">
        <f t="shared" si="23"/>
        <v>0.13241522893561486</v>
      </c>
      <c r="AU85" s="155">
        <f t="shared" si="23"/>
        <v>0.11473932950118138</v>
      </c>
      <c r="AV85" s="304">
        <f t="shared" si="23"/>
        <v>0.7744436246851516</v>
      </c>
      <c r="AW85" s="304">
        <f t="shared" si="23"/>
        <v>0.83770526398100897</v>
      </c>
      <c r="AX85" s="304">
        <f t="shared" si="23"/>
        <v>0.83979766787479537</v>
      </c>
      <c r="AY85" s="304">
        <f t="shared" si="23"/>
        <v>0.84724310476154452</v>
      </c>
      <c r="AZ85" s="155">
        <f t="shared" si="23"/>
        <v>0.82680069486508212</v>
      </c>
      <c r="BA85" s="304">
        <f t="shared" ref="BA85:BJ85" si="24">+BA84/AV84-1</f>
        <v>0.18233117904785301</v>
      </c>
      <c r="BB85" s="304">
        <f t="shared" si="24"/>
        <v>9.0877213505181853E-2</v>
      </c>
      <c r="BC85" s="304">
        <f t="shared" si="24"/>
        <v>9.014660402338337E-2</v>
      </c>
      <c r="BD85" s="304">
        <f t="shared" si="24"/>
        <v>9.0958080490166848E-2</v>
      </c>
      <c r="BE85" s="155">
        <f t="shared" si="24"/>
        <v>0.1103750191717745</v>
      </c>
      <c r="BF85" s="304">
        <f t="shared" si="24"/>
        <v>9.3332569346795902E-2</v>
      </c>
      <c r="BG85" s="304">
        <f t="shared" si="24"/>
        <v>9.2559797231749119E-2</v>
      </c>
      <c r="BH85" s="304">
        <f t="shared" si="24"/>
        <v>9.1410103176579049E-2</v>
      </c>
      <c r="BI85" s="304">
        <f t="shared" si="24"/>
        <v>9.2308691036337542E-2</v>
      </c>
      <c r="BJ85" s="155">
        <f t="shared" si="24"/>
        <v>9.2373186424405951E-2</v>
      </c>
      <c r="BK85" s="162"/>
      <c r="BL85" s="262">
        <f>+BE84-65*1.06</f>
        <v>4238.0979488907178</v>
      </c>
      <c r="BM85" s="772"/>
    </row>
    <row r="86" spans="1:65">
      <c r="A86" s="128"/>
      <c r="B86" s="737"/>
      <c r="C86" s="304"/>
      <c r="D86" s="304"/>
      <c r="E86" s="304"/>
      <c r="F86" s="304"/>
      <c r="G86" s="155"/>
      <c r="H86" s="304"/>
      <c r="I86" s="304"/>
      <c r="J86" s="304"/>
      <c r="K86" s="304"/>
      <c r="L86" s="155"/>
      <c r="M86" s="304"/>
      <c r="N86" s="304"/>
      <c r="O86" s="304"/>
      <c r="P86" s="304"/>
      <c r="Q86" s="155"/>
      <c r="R86" s="304"/>
      <c r="S86" s="304"/>
      <c r="T86" s="304"/>
      <c r="U86" s="304"/>
      <c r="V86" s="155"/>
      <c r="W86" s="304"/>
      <c r="X86" s="304"/>
      <c r="Y86" s="304"/>
      <c r="Z86" s="304"/>
      <c r="AA86" s="155"/>
      <c r="AB86" s="304"/>
      <c r="AC86" s="304"/>
      <c r="AD86" s="304"/>
      <c r="AE86" s="304"/>
      <c r="AF86" s="155"/>
      <c r="AG86" s="304"/>
      <c r="AH86" s="304"/>
      <c r="AI86" s="304"/>
      <c r="AJ86" s="304"/>
      <c r="AK86" s="155"/>
      <c r="AL86" s="304"/>
      <c r="AM86" s="304"/>
      <c r="AN86" s="304"/>
      <c r="AO86" s="304"/>
      <c r="AP86" s="155"/>
      <c r="AQ86" s="304"/>
      <c r="AR86" s="304"/>
      <c r="AS86" s="304"/>
      <c r="AT86" s="304"/>
      <c r="AU86" s="155"/>
      <c r="AV86" s="304"/>
      <c r="AW86" s="304"/>
      <c r="AX86" s="304"/>
      <c r="AY86" s="304"/>
      <c r="AZ86" s="155"/>
      <c r="BA86" s="304"/>
      <c r="BB86" s="304"/>
      <c r="BC86" s="304"/>
      <c r="BD86" s="304"/>
      <c r="BE86" s="155"/>
      <c r="BF86" s="304"/>
      <c r="BG86" s="304"/>
      <c r="BH86" s="304"/>
      <c r="BI86" s="304"/>
      <c r="BJ86" s="155"/>
      <c r="BK86" s="162"/>
      <c r="BL86" s="162">
        <f>+BL85/AZ84-1</f>
        <v>9.2612104090600722E-2</v>
      </c>
      <c r="BM86" s="128"/>
    </row>
    <row r="87" spans="1:65">
      <c r="A87" s="128"/>
      <c r="B87" s="739" t="s">
        <v>271</v>
      </c>
      <c r="C87" s="262">
        <f t="shared" ref="C87:AH87" si="25">+C11+C71</f>
        <v>2332.5</v>
      </c>
      <c r="D87" s="262">
        <f t="shared" si="25"/>
        <v>2534</v>
      </c>
      <c r="E87" s="262">
        <f t="shared" si="25"/>
        <v>2576</v>
      </c>
      <c r="F87" s="262">
        <f t="shared" si="25"/>
        <v>2771.2</v>
      </c>
      <c r="G87" s="596">
        <f t="shared" si="25"/>
        <v>10213.700000000001</v>
      </c>
      <c r="H87" s="262">
        <f t="shared" si="25"/>
        <v>2639.5</v>
      </c>
      <c r="I87" s="262">
        <f t="shared" si="25"/>
        <v>2838.5</v>
      </c>
      <c r="J87" s="262">
        <f t="shared" si="25"/>
        <v>2904.2999999999997</v>
      </c>
      <c r="K87" s="262">
        <f t="shared" si="25"/>
        <v>3165.1000000000004</v>
      </c>
      <c r="L87" s="596">
        <f t="shared" si="25"/>
        <v>11547.4</v>
      </c>
      <c r="M87" s="722">
        <f t="shared" si="25"/>
        <v>3002.7</v>
      </c>
      <c r="N87" s="722">
        <f t="shared" si="25"/>
        <v>3221.9</v>
      </c>
      <c r="O87" s="722">
        <f t="shared" si="25"/>
        <v>3220.9</v>
      </c>
      <c r="P87" s="722">
        <f t="shared" si="25"/>
        <v>3489.5</v>
      </c>
      <c r="Q87" s="773">
        <f t="shared" si="25"/>
        <v>12935</v>
      </c>
      <c r="R87" s="722">
        <f t="shared" si="25"/>
        <v>3367</v>
      </c>
      <c r="S87" s="722">
        <f t="shared" si="25"/>
        <v>3895</v>
      </c>
      <c r="T87" s="722">
        <f t="shared" si="25"/>
        <v>3928</v>
      </c>
      <c r="U87" s="722">
        <f t="shared" si="25"/>
        <v>4171</v>
      </c>
      <c r="V87" s="773">
        <f t="shared" si="25"/>
        <v>15361</v>
      </c>
      <c r="W87" s="722">
        <f t="shared" si="25"/>
        <v>3974</v>
      </c>
      <c r="X87" s="722">
        <f t="shared" si="25"/>
        <v>4195</v>
      </c>
      <c r="Y87" s="722">
        <f t="shared" si="25"/>
        <v>4266</v>
      </c>
      <c r="Z87" s="722">
        <f t="shared" si="25"/>
        <v>4511</v>
      </c>
      <c r="AA87" s="773">
        <f t="shared" si="25"/>
        <v>16946</v>
      </c>
      <c r="AB87" s="722">
        <f t="shared" si="25"/>
        <v>4217</v>
      </c>
      <c r="AC87" s="722">
        <f t="shared" si="25"/>
        <v>4843</v>
      </c>
      <c r="AD87" s="722">
        <f t="shared" si="25"/>
        <v>5360</v>
      </c>
      <c r="AE87" s="722">
        <f t="shared" si="25"/>
        <v>5657</v>
      </c>
      <c r="AF87" s="773">
        <f t="shared" si="25"/>
        <v>20077</v>
      </c>
      <c r="AG87" s="722">
        <f t="shared" si="25"/>
        <v>5363</v>
      </c>
      <c r="AH87" s="722">
        <f t="shared" si="25"/>
        <v>5768</v>
      </c>
      <c r="AI87" s="722">
        <f t="shared" ref="AI87:BJ87" si="26">+AI11+AI71</f>
        <v>5776</v>
      </c>
      <c r="AJ87" s="722">
        <f t="shared" si="26"/>
        <v>6084</v>
      </c>
      <c r="AK87" s="773">
        <f t="shared" si="26"/>
        <v>22991</v>
      </c>
      <c r="AL87" s="722">
        <f t="shared" si="26"/>
        <v>5820</v>
      </c>
      <c r="AM87" s="722">
        <f t="shared" si="26"/>
        <v>6183</v>
      </c>
      <c r="AN87" s="722">
        <f t="shared" si="26"/>
        <v>6269</v>
      </c>
      <c r="AO87" s="722">
        <f t="shared" si="26"/>
        <v>6700</v>
      </c>
      <c r="AP87" s="773">
        <f t="shared" si="26"/>
        <v>24972</v>
      </c>
      <c r="AQ87" s="722">
        <f t="shared" si="26"/>
        <v>6275</v>
      </c>
      <c r="AR87" s="722">
        <f t="shared" si="26"/>
        <v>6587</v>
      </c>
      <c r="AS87" s="722">
        <f t="shared" si="26"/>
        <v>6550</v>
      </c>
      <c r="AT87" s="722">
        <f t="shared" si="26"/>
        <v>6877</v>
      </c>
      <c r="AU87" s="773">
        <f t="shared" si="26"/>
        <v>26289</v>
      </c>
      <c r="AV87" s="722">
        <f t="shared" si="26"/>
        <v>7539.336666666667</v>
      </c>
      <c r="AW87" s="722">
        <f t="shared" si="26"/>
        <v>8071.8999999999987</v>
      </c>
      <c r="AX87" s="722">
        <f t="shared" si="26"/>
        <v>8081.7699999999995</v>
      </c>
      <c r="AY87" s="722">
        <f t="shared" si="26"/>
        <v>8454.1549999999988</v>
      </c>
      <c r="AZ87" s="773">
        <f t="shared" si="26"/>
        <v>32147.161666666667</v>
      </c>
      <c r="BA87" s="722">
        <f t="shared" si="26"/>
        <v>8280.1557666666668</v>
      </c>
      <c r="BB87" s="722">
        <f t="shared" si="26"/>
        <v>8674.6939999999995</v>
      </c>
      <c r="BC87" s="722">
        <f t="shared" si="26"/>
        <v>8685.0635999999995</v>
      </c>
      <c r="BD87" s="722">
        <f t="shared" si="26"/>
        <v>9087.3414000000012</v>
      </c>
      <c r="BE87" s="773">
        <f t="shared" si="26"/>
        <v>34727.254766666665</v>
      </c>
      <c r="BF87" s="722">
        <f t="shared" si="26"/>
        <v>8865.0195476666668</v>
      </c>
      <c r="BG87" s="722">
        <f t="shared" si="26"/>
        <v>9285.4739839999984</v>
      </c>
      <c r="BH87" s="722">
        <f t="shared" si="26"/>
        <v>9296.3524739999993</v>
      </c>
      <c r="BI87" s="722">
        <f t="shared" si="26"/>
        <v>9728.8956630000012</v>
      </c>
      <c r="BJ87" s="773">
        <f t="shared" si="26"/>
        <v>37175.741668666669</v>
      </c>
      <c r="BK87" s="774"/>
      <c r="BL87" s="774"/>
      <c r="BM87" s="128"/>
    </row>
    <row r="88" spans="1:65">
      <c r="A88" s="128"/>
      <c r="B88" s="737" t="s">
        <v>16</v>
      </c>
      <c r="C88" s="762"/>
      <c r="D88" s="762"/>
      <c r="E88" s="762"/>
      <c r="F88" s="762"/>
      <c r="G88" s="155"/>
      <c r="H88" s="304">
        <f t="shared" ref="H88:AZ88" si="27">+H87/C87-1</f>
        <v>0.13161843515541261</v>
      </c>
      <c r="I88" s="304">
        <f t="shared" si="27"/>
        <v>0.12016574585635365</v>
      </c>
      <c r="J88" s="304">
        <f t="shared" si="27"/>
        <v>0.1274456521739129</v>
      </c>
      <c r="K88" s="304">
        <f t="shared" si="27"/>
        <v>0.14214058891454995</v>
      </c>
      <c r="L88" s="155">
        <f t="shared" si="27"/>
        <v>0.1305795157484555</v>
      </c>
      <c r="M88" s="304">
        <f t="shared" si="27"/>
        <v>0.13760181852623599</v>
      </c>
      <c r="N88" s="304">
        <f t="shared" si="27"/>
        <v>0.13507134049674119</v>
      </c>
      <c r="O88" s="304">
        <f t="shared" si="27"/>
        <v>0.10901077712357554</v>
      </c>
      <c r="P88" s="304">
        <f t="shared" si="27"/>
        <v>0.10249281223342055</v>
      </c>
      <c r="Q88" s="155">
        <f t="shared" si="27"/>
        <v>0.12016557839860065</v>
      </c>
      <c r="R88" s="304">
        <f t="shared" si="27"/>
        <v>0.12132414160588811</v>
      </c>
      <c r="S88" s="304">
        <f t="shared" si="27"/>
        <v>0.20891399484776052</v>
      </c>
      <c r="T88" s="304">
        <f t="shared" si="27"/>
        <v>0.21953491260206781</v>
      </c>
      <c r="U88" s="304">
        <f t="shared" si="27"/>
        <v>0.19530018627310497</v>
      </c>
      <c r="V88" s="155">
        <f t="shared" si="27"/>
        <v>0.18755315036722076</v>
      </c>
      <c r="W88" s="304">
        <f t="shared" si="27"/>
        <v>0.18027918027918033</v>
      </c>
      <c r="X88" s="304">
        <f t="shared" si="27"/>
        <v>7.7021822849807409E-2</v>
      </c>
      <c r="Y88" s="304">
        <f t="shared" si="27"/>
        <v>8.6048879837067105E-2</v>
      </c>
      <c r="Z88" s="304">
        <f t="shared" si="27"/>
        <v>8.1515224166866407E-2</v>
      </c>
      <c r="AA88" s="155">
        <f t="shared" si="27"/>
        <v>0.10318338649827474</v>
      </c>
      <c r="AB88" s="304">
        <f t="shared" si="27"/>
        <v>6.114745848012082E-2</v>
      </c>
      <c r="AC88" s="304">
        <f t="shared" si="27"/>
        <v>0.15446960667461274</v>
      </c>
      <c r="AD88" s="304">
        <f t="shared" si="27"/>
        <v>0.25644631973745891</v>
      </c>
      <c r="AE88" s="304">
        <f t="shared" si="27"/>
        <v>0.2540456661494126</v>
      </c>
      <c r="AF88" s="155">
        <f t="shared" si="27"/>
        <v>0.18476336598607346</v>
      </c>
      <c r="AG88" s="304">
        <f t="shared" si="27"/>
        <v>0.27175717334598049</v>
      </c>
      <c r="AH88" s="304">
        <f t="shared" si="27"/>
        <v>0.19099731571340084</v>
      </c>
      <c r="AI88" s="304">
        <f t="shared" si="27"/>
        <v>7.7611940298507376E-2</v>
      </c>
      <c r="AJ88" s="304">
        <f t="shared" si="27"/>
        <v>7.5481704083436352E-2</v>
      </c>
      <c r="AK88" s="155">
        <f t="shared" si="27"/>
        <v>0.14514120635553129</v>
      </c>
      <c r="AL88" s="304">
        <f t="shared" si="27"/>
        <v>8.5213499906768631E-2</v>
      </c>
      <c r="AM88" s="304">
        <f t="shared" si="27"/>
        <v>7.1948682385575502E-2</v>
      </c>
      <c r="AN88" s="304">
        <f t="shared" si="27"/>
        <v>8.5353185595567815E-2</v>
      </c>
      <c r="AO88" s="304">
        <f t="shared" si="27"/>
        <v>0.10124917817225509</v>
      </c>
      <c r="AP88" s="155">
        <f t="shared" si="27"/>
        <v>8.6164151189595861E-2</v>
      </c>
      <c r="AQ88" s="304">
        <f t="shared" si="27"/>
        <v>7.8178694158075546E-2</v>
      </c>
      <c r="AR88" s="304">
        <f t="shared" si="27"/>
        <v>6.5340449619925689E-2</v>
      </c>
      <c r="AS88" s="304">
        <f t="shared" si="27"/>
        <v>4.4823735843037227E-2</v>
      </c>
      <c r="AT88" s="304">
        <f t="shared" si="27"/>
        <v>2.6417910447761095E-2</v>
      </c>
      <c r="AU88" s="155">
        <f t="shared" si="27"/>
        <v>5.2739067755886548E-2</v>
      </c>
      <c r="AV88" s="304">
        <f t="shared" si="27"/>
        <v>0.20148791500664021</v>
      </c>
      <c r="AW88" s="304">
        <f t="shared" si="27"/>
        <v>0.22542887505693021</v>
      </c>
      <c r="AX88" s="304">
        <f t="shared" si="27"/>
        <v>0.23385801526717542</v>
      </c>
      <c r="AY88" s="304">
        <f t="shared" si="27"/>
        <v>0.22933764722989669</v>
      </c>
      <c r="AZ88" s="155">
        <f t="shared" si="27"/>
        <v>0.22283699139056901</v>
      </c>
      <c r="BA88" s="304">
        <f t="shared" ref="BA88:BJ88" si="28">+BA87/AV87-1</f>
        <v>9.8260514519181719E-2</v>
      </c>
      <c r="BB88" s="304">
        <f t="shared" si="28"/>
        <v>7.4678080749266185E-2</v>
      </c>
      <c r="BC88" s="304">
        <f t="shared" si="28"/>
        <v>7.4648697005730291E-2</v>
      </c>
      <c r="BD88" s="304">
        <f t="shared" si="28"/>
        <v>7.4896473982320133E-2</v>
      </c>
      <c r="BE88" s="155">
        <f t="shared" si="28"/>
        <v>8.025881496951226E-2</v>
      </c>
      <c r="BF88" s="304">
        <f t="shared" si="28"/>
        <v>7.0634393540575546E-2</v>
      </c>
      <c r="BG88" s="304">
        <f t="shared" si="28"/>
        <v>7.0409398187417205E-2</v>
      </c>
      <c r="BH88" s="304">
        <f t="shared" si="28"/>
        <v>7.0383926031353461E-2</v>
      </c>
      <c r="BI88" s="304">
        <f t="shared" si="28"/>
        <v>7.0598675097647279E-2</v>
      </c>
      <c r="BJ88" s="155">
        <f t="shared" si="28"/>
        <v>7.0506203800198231E-2</v>
      </c>
      <c r="BK88" s="162"/>
      <c r="BL88" s="162"/>
      <c r="BM88" s="772"/>
    </row>
    <row r="89" spans="1:65">
      <c r="A89" s="128"/>
      <c r="B89" s="737"/>
      <c r="C89" s="762"/>
      <c r="D89" s="762"/>
      <c r="E89" s="762"/>
      <c r="F89" s="762"/>
      <c r="G89" s="736"/>
      <c r="H89" s="762"/>
      <c r="I89" s="762"/>
      <c r="J89" s="762"/>
      <c r="K89" s="762"/>
      <c r="L89" s="736"/>
      <c r="M89" s="762"/>
      <c r="N89" s="762"/>
      <c r="O89" s="762"/>
      <c r="P89" s="762"/>
      <c r="Q89" s="736"/>
      <c r="R89" s="762"/>
      <c r="S89" s="762"/>
      <c r="T89" s="762"/>
      <c r="U89" s="762"/>
      <c r="V89" s="736"/>
      <c r="W89" s="762"/>
      <c r="X89" s="762"/>
      <c r="Y89" s="762"/>
      <c r="Z89" s="762"/>
      <c r="AA89" s="736"/>
      <c r="AB89" s="762"/>
      <c r="AC89" s="762"/>
      <c r="AD89" s="762"/>
      <c r="AE89" s="762"/>
      <c r="AF89" s="736"/>
      <c r="AG89" s="762"/>
      <c r="AH89" s="762"/>
      <c r="AI89" s="762"/>
      <c r="AJ89" s="762"/>
      <c r="AK89" s="736"/>
      <c r="AL89" s="762"/>
      <c r="AM89" s="762"/>
      <c r="AN89" s="762"/>
      <c r="AO89" s="762"/>
      <c r="AP89" s="736"/>
      <c r="AQ89" s="762"/>
      <c r="AR89" s="762"/>
      <c r="AS89" s="762"/>
      <c r="AT89" s="762"/>
      <c r="AU89" s="736"/>
      <c r="AV89" s="762"/>
      <c r="AW89" s="762"/>
      <c r="AX89" s="762"/>
      <c r="AY89" s="762"/>
      <c r="AZ89" s="736"/>
      <c r="BA89" s="762"/>
      <c r="BB89" s="762"/>
      <c r="BC89" s="762"/>
      <c r="BD89" s="762"/>
      <c r="BE89" s="736"/>
      <c r="BF89" s="762"/>
      <c r="BG89" s="762"/>
      <c r="BH89" s="762"/>
      <c r="BI89" s="762"/>
      <c r="BJ89" s="736"/>
      <c r="BK89" s="603"/>
      <c r="BL89" s="603"/>
      <c r="BM89" s="128"/>
    </row>
    <row r="90" spans="1:65">
      <c r="A90" s="128"/>
      <c r="B90" s="737" t="s">
        <v>278</v>
      </c>
      <c r="C90" s="762"/>
      <c r="D90" s="762"/>
      <c r="E90" s="762"/>
      <c r="F90" s="762"/>
      <c r="G90" s="736"/>
      <c r="H90" s="762"/>
      <c r="I90" s="762"/>
      <c r="J90" s="762"/>
      <c r="K90" s="762"/>
      <c r="L90" s="736"/>
      <c r="M90" s="762"/>
      <c r="N90" s="762"/>
      <c r="O90" s="762"/>
      <c r="P90" s="762"/>
      <c r="Q90" s="775">
        <f>7.5/12.9</f>
        <v>0.58139534883720934</v>
      </c>
      <c r="R90" s="776">
        <f>1-R91</f>
        <v>0.52400000000000002</v>
      </c>
      <c r="S90" s="776">
        <f>1-S91</f>
        <v>0.52600000000000002</v>
      </c>
      <c r="T90" s="762"/>
      <c r="U90" s="762"/>
      <c r="V90" s="736"/>
      <c r="W90" s="762"/>
      <c r="X90" s="762"/>
      <c r="Y90" s="762"/>
      <c r="Z90" s="762"/>
      <c r="AA90" s="736"/>
      <c r="AB90" s="762"/>
      <c r="AC90" s="762"/>
      <c r="AD90" s="762"/>
      <c r="AE90" s="762"/>
      <c r="AF90" s="736"/>
      <c r="AG90" s="762"/>
      <c r="AH90" s="762"/>
      <c r="AI90" s="762"/>
      <c r="AJ90" s="762"/>
      <c r="AK90" s="736"/>
      <c r="AL90" s="762"/>
      <c r="AM90" s="762"/>
      <c r="AN90" s="762"/>
      <c r="AO90" s="762"/>
      <c r="AP90" s="736"/>
      <c r="AQ90" s="762"/>
      <c r="AR90" s="762"/>
      <c r="AS90" s="762"/>
      <c r="AT90" s="762"/>
      <c r="AU90" s="736"/>
      <c r="AV90" s="762"/>
      <c r="AW90" s="762"/>
      <c r="AX90" s="762"/>
      <c r="AY90" s="762"/>
      <c r="AZ90" s="736"/>
      <c r="BA90" s="762"/>
      <c r="BB90" s="762"/>
      <c r="BC90" s="762"/>
      <c r="BD90" s="762"/>
      <c r="BE90" s="736"/>
      <c r="BF90" s="762"/>
      <c r="BG90" s="762"/>
      <c r="BH90" s="762"/>
      <c r="BI90" s="762"/>
      <c r="BJ90" s="736"/>
      <c r="BK90" s="603"/>
      <c r="BL90" s="603"/>
      <c r="BM90" s="128"/>
    </row>
    <row r="91" spans="1:65">
      <c r="A91" s="128"/>
      <c r="B91" s="737" t="s">
        <v>279</v>
      </c>
      <c r="C91" s="762"/>
      <c r="D91" s="762"/>
      <c r="E91" s="762"/>
      <c r="F91" s="762"/>
      <c r="G91" s="736"/>
      <c r="H91" s="762"/>
      <c r="I91" s="762"/>
      <c r="J91" s="762"/>
      <c r="K91" s="762"/>
      <c r="L91" s="736"/>
      <c r="M91" s="762"/>
      <c r="N91" s="762"/>
      <c r="O91" s="762"/>
      <c r="P91" s="762"/>
      <c r="Q91" s="775">
        <f>1-Q90</f>
        <v>0.41860465116279066</v>
      </c>
      <c r="R91" s="776">
        <v>0.47599999999999998</v>
      </c>
      <c r="S91" s="776">
        <v>0.47399999999999998</v>
      </c>
      <c r="T91" s="762"/>
      <c r="U91" s="762"/>
      <c r="V91" s="736"/>
      <c r="W91" s="762"/>
      <c r="X91" s="762"/>
      <c r="Y91" s="762"/>
      <c r="Z91" s="762"/>
      <c r="AA91" s="736"/>
      <c r="AB91" s="762"/>
      <c r="AC91" s="762"/>
      <c r="AD91" s="762"/>
      <c r="AE91" s="762"/>
      <c r="AF91" s="736"/>
      <c r="AG91" s="762"/>
      <c r="AH91" s="762"/>
      <c r="AI91" s="762"/>
      <c r="AJ91" s="762"/>
      <c r="AK91" s="736"/>
      <c r="AL91" s="762"/>
      <c r="AM91" s="762"/>
      <c r="AN91" s="762"/>
      <c r="AO91" s="762"/>
      <c r="AP91" s="736"/>
      <c r="AQ91" s="762"/>
      <c r="AR91" s="762"/>
      <c r="AS91" s="762"/>
      <c r="AT91" s="762"/>
      <c r="AU91" s="736"/>
      <c r="AV91" s="762"/>
      <c r="AW91" s="762"/>
      <c r="AX91" s="762"/>
      <c r="AY91" s="762"/>
      <c r="AZ91" s="736"/>
      <c r="BA91" s="762"/>
      <c r="BB91" s="762"/>
      <c r="BC91" s="762"/>
      <c r="BD91" s="762"/>
      <c r="BE91" s="736"/>
      <c r="BF91" s="762"/>
      <c r="BG91" s="762"/>
      <c r="BH91" s="762"/>
      <c r="BI91" s="762"/>
      <c r="BJ91" s="736"/>
      <c r="BK91" s="603"/>
      <c r="BL91" s="603"/>
      <c r="BM91" s="128"/>
    </row>
    <row r="92" spans="1:65">
      <c r="A92" s="128"/>
      <c r="B92" s="737"/>
      <c r="C92" s="762"/>
      <c r="D92" s="762"/>
      <c r="E92" s="762"/>
      <c r="F92" s="762"/>
      <c r="G92" s="736"/>
      <c r="H92" s="762"/>
      <c r="I92" s="762"/>
      <c r="J92" s="762"/>
      <c r="K92" s="762"/>
      <c r="L92" s="736"/>
      <c r="M92" s="762"/>
      <c r="N92" s="762"/>
      <c r="O92" s="762"/>
      <c r="P92" s="762"/>
      <c r="Q92" s="736"/>
      <c r="R92" s="762"/>
      <c r="S92" s="762"/>
      <c r="T92" s="762"/>
      <c r="U92" s="762"/>
      <c r="V92" s="736"/>
      <c r="W92" s="762"/>
      <c r="X92" s="762"/>
      <c r="Y92" s="762"/>
      <c r="Z92" s="762"/>
      <c r="AA92" s="736"/>
      <c r="AB92" s="762"/>
      <c r="AC92" s="762"/>
      <c r="AD92" s="762"/>
      <c r="AE92" s="762"/>
      <c r="AF92" s="736"/>
      <c r="AG92" s="762"/>
      <c r="AH92" s="762"/>
      <c r="AI92" s="762"/>
      <c r="AJ92" s="762"/>
      <c r="AK92" s="736"/>
      <c r="AL92" s="762"/>
      <c r="AM92" s="762"/>
      <c r="AN92" s="762"/>
      <c r="AO92" s="762"/>
      <c r="AP92" s="736"/>
      <c r="AQ92" s="762"/>
      <c r="AR92" s="762"/>
      <c r="AS92" s="762"/>
      <c r="AT92" s="762"/>
      <c r="AU92" s="736"/>
      <c r="AV92" s="762"/>
      <c r="AW92" s="762"/>
      <c r="AX92" s="762"/>
      <c r="AY92" s="762"/>
      <c r="AZ92" s="736"/>
      <c r="BA92" s="762"/>
      <c r="BB92" s="762"/>
      <c r="BC92" s="762"/>
      <c r="BD92" s="762"/>
      <c r="BE92" s="736"/>
      <c r="BF92" s="762"/>
      <c r="BG92" s="762"/>
      <c r="BH92" s="762"/>
      <c r="BI92" s="762"/>
      <c r="BJ92" s="736"/>
      <c r="BK92" s="603"/>
      <c r="BL92" s="603"/>
      <c r="BM92" s="128"/>
    </row>
    <row r="93" spans="1:65">
      <c r="A93" s="128"/>
      <c r="B93" s="739" t="s">
        <v>275</v>
      </c>
      <c r="C93" s="754">
        <f t="shared" ref="C93:AZ93" si="29">+C84/C87</f>
        <v>6.7524115755627015E-2</v>
      </c>
      <c r="D93" s="754">
        <f t="shared" si="29"/>
        <v>7.0718232044198887E-2</v>
      </c>
      <c r="E93" s="754">
        <f t="shared" si="29"/>
        <v>7.1389751552795019E-2</v>
      </c>
      <c r="F93" s="754">
        <f t="shared" si="29"/>
        <v>6.7046766743648969E-2</v>
      </c>
      <c r="G93" s="777">
        <f t="shared" si="29"/>
        <v>6.9162007891361593E-2</v>
      </c>
      <c r="H93" s="754">
        <f t="shared" si="29"/>
        <v>6.6603523394582309E-2</v>
      </c>
      <c r="I93" s="754">
        <f t="shared" si="29"/>
        <v>6.6267394750748637E-2</v>
      </c>
      <c r="J93" s="754">
        <f t="shared" si="29"/>
        <v>6.9001136246255562E-2</v>
      </c>
      <c r="K93" s="754">
        <f t="shared" si="29"/>
        <v>6.5811506745442477E-2</v>
      </c>
      <c r="L93" s="777">
        <f t="shared" si="29"/>
        <v>6.6906836170912934E-2</v>
      </c>
      <c r="M93" s="754">
        <f t="shared" si="29"/>
        <v>6.3043261065041475E-2</v>
      </c>
      <c r="N93" s="754">
        <f t="shared" si="29"/>
        <v>6.7320525155963859E-2</v>
      </c>
      <c r="O93" s="754">
        <f t="shared" si="29"/>
        <v>6.7341426309416627E-2</v>
      </c>
      <c r="P93" s="754">
        <f t="shared" si="29"/>
        <v>6.9551511677890809E-2</v>
      </c>
      <c r="Q93" s="777">
        <f t="shared" si="29"/>
        <v>6.6934673366834174E-2</v>
      </c>
      <c r="R93" s="754">
        <f t="shared" si="29"/>
        <v>6.9076626076626083E-2</v>
      </c>
      <c r="S93" s="754">
        <f t="shared" si="29"/>
        <v>6.6849293966623868E-2</v>
      </c>
      <c r="T93" s="754">
        <f t="shared" si="29"/>
        <v>6.580880855397149E-2</v>
      </c>
      <c r="U93" s="754">
        <f t="shared" si="29"/>
        <v>6.5017022296811305E-2</v>
      </c>
      <c r="V93" s="777">
        <f t="shared" si="29"/>
        <v>6.6573920968686931E-2</v>
      </c>
      <c r="W93" s="754">
        <f>+W84/W87</f>
        <v>6.8671615500754915E-2</v>
      </c>
      <c r="X93" s="754">
        <f t="shared" si="29"/>
        <v>7.0776400476758039E-2</v>
      </c>
      <c r="Y93" s="754">
        <f t="shared" si="29"/>
        <v>6.8965307079231139E-2</v>
      </c>
      <c r="Z93" s="754">
        <f t="shared" si="29"/>
        <v>6.8415428951452015E-2</v>
      </c>
      <c r="AA93" s="777">
        <f t="shared" si="29"/>
        <v>6.9198394901451674E-2</v>
      </c>
      <c r="AB93" s="754">
        <f t="shared" si="29"/>
        <v>6.8421152478064975E-2</v>
      </c>
      <c r="AC93" s="754">
        <f t="shared" si="29"/>
        <v>6.8416064422878384E-2</v>
      </c>
      <c r="AD93" s="754">
        <f t="shared" si="29"/>
        <v>7.0991977611940302E-2</v>
      </c>
      <c r="AE93" s="754">
        <f t="shared" si="29"/>
        <v>7.1088916386777445E-2</v>
      </c>
      <c r="AF93" s="777">
        <f t="shared" si="29"/>
        <v>6.9857946904417975E-2</v>
      </c>
      <c r="AG93" s="754">
        <f t="shared" si="29"/>
        <v>6.9823792653365663E-2</v>
      </c>
      <c r="AH93" s="754">
        <f t="shared" si="29"/>
        <v>7.3447642163661578E-2</v>
      </c>
      <c r="AI93" s="754">
        <f t="shared" si="29"/>
        <v>7.4523891966759001E-2</v>
      </c>
      <c r="AJ93" s="754">
        <f t="shared" si="29"/>
        <v>7.4486357659434579E-2</v>
      </c>
      <c r="AK93" s="777">
        <f t="shared" si="29"/>
        <v>7.3147579487625597E-2</v>
      </c>
      <c r="AL93" s="754">
        <f t="shared" si="29"/>
        <v>7.409106529209622E-2</v>
      </c>
      <c r="AM93" s="754">
        <f t="shared" si="29"/>
        <v>7.7710011321365027E-2</v>
      </c>
      <c r="AN93" s="754">
        <f t="shared" si="29"/>
        <v>7.8267347264316472E-2</v>
      </c>
      <c r="AO93" s="754">
        <f t="shared" si="29"/>
        <v>7.4986865671641784E-2</v>
      </c>
      <c r="AP93" s="777">
        <f t="shared" si="29"/>
        <v>7.6275868973250033E-2</v>
      </c>
      <c r="AQ93" s="754">
        <f t="shared" si="29"/>
        <v>7.4917928286852592E-2</v>
      </c>
      <c r="AR93" s="754">
        <f t="shared" si="29"/>
        <v>8.0466221345073627E-2</v>
      </c>
      <c r="AS93" s="754">
        <f t="shared" si="29"/>
        <v>8.461557251908397E-2</v>
      </c>
      <c r="AT93" s="754">
        <f t="shared" si="29"/>
        <v>8.2730696524647387E-2</v>
      </c>
      <c r="AU93" s="777">
        <f t="shared" si="29"/>
        <v>8.0768077903305563E-2</v>
      </c>
      <c r="AV93" s="754">
        <f t="shared" si="29"/>
        <v>0.11064417591124108</v>
      </c>
      <c r="AW93" s="754">
        <f t="shared" si="29"/>
        <v>0.12067056811569993</v>
      </c>
      <c r="AX93" s="754">
        <f t="shared" si="29"/>
        <v>0.1261697302771031</v>
      </c>
      <c r="AY93" s="754">
        <f t="shared" si="29"/>
        <v>0.12431386043666443</v>
      </c>
      <c r="AZ93" s="777">
        <f t="shared" si="29"/>
        <v>0.12065972969045531</v>
      </c>
      <c r="BA93" s="754">
        <f t="shared" ref="BA93:BJ93" si="30">+BA84/BA87</f>
        <v>0.11911386891405072</v>
      </c>
      <c r="BB93" s="754">
        <f t="shared" si="30"/>
        <v>0.1224894928594475</v>
      </c>
      <c r="BC93" s="754">
        <f t="shared" si="30"/>
        <v>0.12798927070340718</v>
      </c>
      <c r="BD93" s="754">
        <f t="shared" si="30"/>
        <v>0.12617141635775483</v>
      </c>
      <c r="BE93" s="777">
        <f t="shared" si="30"/>
        <v>0.12402356528984365</v>
      </c>
      <c r="BF93" s="754">
        <f t="shared" si="30"/>
        <v>0.12163916378023674</v>
      </c>
      <c r="BG93" s="754">
        <f t="shared" si="30"/>
        <v>0.12502421569555958</v>
      </c>
      <c r="BH93" s="754">
        <f t="shared" si="30"/>
        <v>0.1305034387631574</v>
      </c>
      <c r="BI93" s="754">
        <f t="shared" si="30"/>
        <v>0.12872996936538314</v>
      </c>
      <c r="BJ93" s="777">
        <f t="shared" si="30"/>
        <v>0.12655696597221044</v>
      </c>
      <c r="BK93" s="162"/>
      <c r="BL93" s="162"/>
      <c r="BM93" s="128"/>
    </row>
    <row r="94" spans="1:65">
      <c r="A94" s="128"/>
      <c r="B94" s="778" t="s">
        <v>16</v>
      </c>
      <c r="C94" s="779"/>
      <c r="D94" s="779"/>
      <c r="E94" s="779"/>
      <c r="F94" s="779"/>
      <c r="G94" s="780"/>
      <c r="H94" s="781">
        <f t="shared" ref="H94:AZ94" si="31">+H93/C93-1</f>
        <v>-1.3633534489757348E-2</v>
      </c>
      <c r="I94" s="781">
        <f t="shared" si="31"/>
        <v>-6.2937621102694963E-2</v>
      </c>
      <c r="J94" s="781">
        <f t="shared" si="31"/>
        <v>-3.3458798421129088E-2</v>
      </c>
      <c r="K94" s="781">
        <f t="shared" si="31"/>
        <v>-1.8423856334929156E-2</v>
      </c>
      <c r="L94" s="780">
        <f t="shared" si="31"/>
        <v>-3.2607088619969526E-2</v>
      </c>
      <c r="M94" s="781">
        <f t="shared" si="31"/>
        <v>-5.3454564384658898E-2</v>
      </c>
      <c r="N94" s="781">
        <f t="shared" si="31"/>
        <v>1.5892135328035017E-2</v>
      </c>
      <c r="O94" s="781">
        <f t="shared" si="31"/>
        <v>-2.4053371105595356E-2</v>
      </c>
      <c r="P94" s="781">
        <f t="shared" si="31"/>
        <v>5.6829042782967853E-2</v>
      </c>
      <c r="Q94" s="780">
        <f t="shared" si="31"/>
        <v>4.1605906831598816E-4</v>
      </c>
      <c r="R94" s="781">
        <f t="shared" si="31"/>
        <v>9.5701981617987819E-2</v>
      </c>
      <c r="S94" s="781">
        <f t="shared" si="31"/>
        <v>-6.9998145179092086E-3</v>
      </c>
      <c r="T94" s="781">
        <f t="shared" si="31"/>
        <v>-2.2758914377654427E-2</v>
      </c>
      <c r="U94" s="781">
        <f t="shared" si="31"/>
        <v>-6.5196129770403455E-2</v>
      </c>
      <c r="V94" s="451">
        <f t="shared" si="31"/>
        <v>-5.3896191615091515E-3</v>
      </c>
      <c r="W94" s="781">
        <f t="shared" si="31"/>
        <v>-5.8632072652461398E-3</v>
      </c>
      <c r="X94" s="781">
        <f t="shared" si="31"/>
        <v>5.8745669207738827E-2</v>
      </c>
      <c r="Y94" s="781">
        <f t="shared" si="31"/>
        <v>4.7964681242799401E-2</v>
      </c>
      <c r="Z94" s="781">
        <f t="shared" si="31"/>
        <v>5.2269490890040071E-2</v>
      </c>
      <c r="AA94" s="451">
        <f t="shared" si="31"/>
        <v>3.9421952238612556E-2</v>
      </c>
      <c r="AB94" s="781">
        <f t="shared" si="31"/>
        <v>-3.6472568886513068E-3</v>
      </c>
      <c r="AC94" s="781">
        <f t="shared" si="31"/>
        <v>-3.3349196031165151E-2</v>
      </c>
      <c r="AD94" s="781">
        <f t="shared" si="31"/>
        <v>2.9386812276219088E-2</v>
      </c>
      <c r="AE94" s="781">
        <f t="shared" si="31"/>
        <v>3.9077258979441032E-2</v>
      </c>
      <c r="AF94" s="451">
        <f t="shared" si="31"/>
        <v>9.5313193883412861E-3</v>
      </c>
      <c r="AG94" s="781">
        <f t="shared" si="31"/>
        <v>2.0500095723327005E-2</v>
      </c>
      <c r="AH94" s="781">
        <f t="shared" si="31"/>
        <v>7.3543805584652011E-2</v>
      </c>
      <c r="AI94" s="781">
        <f t="shared" si="31"/>
        <v>4.975089402530819E-2</v>
      </c>
      <c r="AJ94" s="781">
        <f t="shared" si="31"/>
        <v>4.779143423951604E-2</v>
      </c>
      <c r="AK94" s="451">
        <f t="shared" si="31"/>
        <v>4.709031297052868E-2</v>
      </c>
      <c r="AL94" s="781">
        <f t="shared" si="31"/>
        <v>6.1114878991392896E-2</v>
      </c>
      <c r="AM94" s="781">
        <f t="shared" si="31"/>
        <v>5.8032756833850563E-2</v>
      </c>
      <c r="AN94" s="781">
        <f t="shared" si="31"/>
        <v>5.0231612960139227E-2</v>
      </c>
      <c r="AO94" s="781">
        <f t="shared" si="31"/>
        <v>6.7194588101033847E-3</v>
      </c>
      <c r="AP94" s="451">
        <f t="shared" si="31"/>
        <v>4.2766821643820174E-2</v>
      </c>
      <c r="AQ94" s="781">
        <f t="shared" si="31"/>
        <v>1.1160090511542098E-2</v>
      </c>
      <c r="AR94" s="781">
        <f t="shared" si="31"/>
        <v>3.5467888587873864E-2</v>
      </c>
      <c r="AS94" s="781">
        <f t="shared" si="31"/>
        <v>8.1109498106904265E-2</v>
      </c>
      <c r="AT94" s="781">
        <f t="shared" si="31"/>
        <v>0.10326916298802091</v>
      </c>
      <c r="AU94" s="451">
        <f t="shared" si="31"/>
        <v>5.8894234710468618E-2</v>
      </c>
      <c r="AV94" s="781">
        <f t="shared" si="31"/>
        <v>0.47687180413740982</v>
      </c>
      <c r="AW94" s="781">
        <f t="shared" si="31"/>
        <v>0.49964253445197637</v>
      </c>
      <c r="AX94" s="781">
        <f t="shared" si="31"/>
        <v>0.49109350112412353</v>
      </c>
      <c r="AY94" s="781">
        <f t="shared" si="31"/>
        <v>0.50263282746118843</v>
      </c>
      <c r="AZ94" s="451">
        <f t="shared" si="31"/>
        <v>0.49390369094715236</v>
      </c>
      <c r="BA94" s="781">
        <f t="shared" ref="BA94:BJ94" si="32">+BA93/AV93-1</f>
        <v>7.6548927524247024E-2</v>
      </c>
      <c r="BB94" s="781">
        <f t="shared" si="32"/>
        <v>1.5073474602386616E-2</v>
      </c>
      <c r="BC94" s="781">
        <f t="shared" si="32"/>
        <v>1.442137050073633E-2</v>
      </c>
      <c r="BD94" s="781">
        <f t="shared" si="32"/>
        <v>1.4942468318219326E-2</v>
      </c>
      <c r="BE94" s="451">
        <f t="shared" si="32"/>
        <v>2.7878693313983405E-2</v>
      </c>
      <c r="BF94" s="781">
        <f t="shared" si="32"/>
        <v>2.1200678722040456E-2</v>
      </c>
      <c r="BG94" s="781">
        <f t="shared" si="32"/>
        <v>2.0693389914027804E-2</v>
      </c>
      <c r="BH94" s="781">
        <f t="shared" si="32"/>
        <v>1.9643584543710402E-2</v>
      </c>
      <c r="BI94" s="781">
        <f t="shared" si="32"/>
        <v>2.0278388572365857E-2</v>
      </c>
      <c r="BJ94" s="451">
        <f t="shared" si="32"/>
        <v>2.042676870678739E-2</v>
      </c>
      <c r="BK94" s="162"/>
      <c r="BL94" s="162"/>
      <c r="BM94" s="772"/>
    </row>
    <row r="95" spans="1:65" ht="6" customHeight="1">
      <c r="A95" s="185"/>
      <c r="B95" s="185"/>
      <c r="C95" s="185"/>
      <c r="D95" s="185"/>
      <c r="E95" s="185"/>
      <c r="F95" s="185"/>
      <c r="G95" s="19"/>
      <c r="H95" s="185"/>
      <c r="I95" s="185"/>
      <c r="J95" s="185"/>
      <c r="K95" s="185"/>
      <c r="L95" s="782"/>
      <c r="M95" s="185"/>
      <c r="N95" s="185"/>
      <c r="O95" s="185"/>
      <c r="P95" s="185"/>
      <c r="Q95" s="782"/>
      <c r="R95" s="185"/>
      <c r="S95" s="185"/>
      <c r="T95" s="185"/>
      <c r="U95" s="185"/>
      <c r="V95" s="782"/>
      <c r="W95" s="185"/>
      <c r="X95" s="185"/>
      <c r="Y95" s="185"/>
      <c r="Z95" s="185"/>
      <c r="AA95" s="782"/>
      <c r="AB95" s="185"/>
      <c r="AC95" s="185"/>
      <c r="AD95" s="185"/>
      <c r="AE95" s="185"/>
      <c r="AF95" s="782"/>
      <c r="AG95" s="185"/>
      <c r="AH95" s="185"/>
      <c r="AI95" s="185"/>
      <c r="AJ95" s="185"/>
      <c r="AK95" s="782"/>
      <c r="AL95" s="185"/>
      <c r="AM95" s="185"/>
      <c r="AN95" s="185"/>
      <c r="AO95" s="185"/>
      <c r="AP95" s="782"/>
      <c r="AQ95" s="185"/>
      <c r="AR95" s="185"/>
      <c r="AS95" s="185"/>
      <c r="AT95" s="185"/>
      <c r="AU95" s="782"/>
      <c r="AV95" s="185"/>
      <c r="AW95" s="185"/>
      <c r="AX95" s="185"/>
      <c r="AY95" s="185"/>
      <c r="AZ95" s="782"/>
      <c r="BA95" s="185"/>
      <c r="BB95" s="185"/>
      <c r="BC95" s="185"/>
      <c r="BD95" s="185"/>
      <c r="BE95" s="782"/>
      <c r="BF95" s="185"/>
      <c r="BG95" s="185"/>
      <c r="BH95" s="185"/>
      <c r="BI95" s="185"/>
      <c r="BJ95" s="782"/>
      <c r="BK95" s="782"/>
      <c r="BL95" s="782"/>
      <c r="BM95" s="185"/>
    </row>
    <row r="96" spans="1:65" ht="15.75">
      <c r="A96" s="128"/>
      <c r="B96" s="783" t="s">
        <v>280</v>
      </c>
      <c r="C96" s="784"/>
      <c r="D96" s="784"/>
      <c r="E96" s="784"/>
      <c r="F96" s="784"/>
      <c r="G96" s="623"/>
      <c r="H96" s="784"/>
      <c r="I96" s="784"/>
      <c r="J96" s="784"/>
      <c r="K96" s="784"/>
      <c r="L96" s="623"/>
      <c r="M96" s="784"/>
      <c r="N96" s="784"/>
      <c r="O96" s="784"/>
      <c r="P96" s="784"/>
      <c r="Q96" s="623"/>
      <c r="R96" s="784"/>
      <c r="S96" s="784"/>
      <c r="T96" s="784"/>
      <c r="U96" s="784"/>
      <c r="V96" s="623"/>
      <c r="W96" s="784"/>
      <c r="X96" s="784"/>
      <c r="Y96" s="784"/>
      <c r="Z96" s="784"/>
      <c r="AA96" s="623"/>
      <c r="AB96" s="784"/>
      <c r="AC96" s="784"/>
      <c r="AD96" s="784"/>
      <c r="AE96" s="784"/>
      <c r="AF96" s="623"/>
      <c r="AG96" s="784"/>
      <c r="AH96" s="784"/>
      <c r="AI96" s="784"/>
      <c r="AJ96" s="784"/>
      <c r="AK96" s="623"/>
      <c r="AL96" s="784"/>
      <c r="AM96" s="784"/>
      <c r="AN96" s="784"/>
      <c r="AO96" s="784"/>
      <c r="AP96" s="623"/>
      <c r="AQ96" s="784"/>
      <c r="AR96" s="784"/>
      <c r="AS96" s="784"/>
      <c r="AT96" s="784"/>
      <c r="AU96" s="623"/>
      <c r="AV96" s="784"/>
      <c r="AW96" s="784"/>
      <c r="AX96" s="784"/>
      <c r="AY96" s="784"/>
      <c r="AZ96" s="623"/>
      <c r="BA96" s="784"/>
      <c r="BB96" s="784"/>
      <c r="BC96" s="784"/>
      <c r="BD96" s="784"/>
      <c r="BE96" s="623"/>
      <c r="BF96" s="784"/>
      <c r="BG96" s="784"/>
      <c r="BH96" s="784"/>
      <c r="BI96" s="784"/>
      <c r="BJ96" s="623"/>
      <c r="BK96" s="19"/>
      <c r="BL96" s="19"/>
      <c r="BM96" s="128"/>
    </row>
    <row r="97" spans="1:65">
      <c r="A97" s="128"/>
      <c r="B97" s="582" t="s">
        <v>281</v>
      </c>
      <c r="C97" s="785">
        <f t="shared" ref="C97:AH97" si="33">+C8/C84</f>
        <v>0.59619047619047627</v>
      </c>
      <c r="D97" s="785">
        <f t="shared" si="33"/>
        <v>0.6272321428571429</v>
      </c>
      <c r="E97" s="785">
        <f t="shared" si="33"/>
        <v>0.62860250135943452</v>
      </c>
      <c r="F97" s="785">
        <f t="shared" si="33"/>
        <v>0.62648008611410122</v>
      </c>
      <c r="G97" s="786">
        <f t="shared" si="33"/>
        <v>0.62046998867497161</v>
      </c>
      <c r="H97" s="785">
        <f t="shared" si="33"/>
        <v>0.61262798634812288</v>
      </c>
      <c r="I97" s="785">
        <f t="shared" si="33"/>
        <v>0.64859117490696439</v>
      </c>
      <c r="J97" s="785">
        <f t="shared" si="33"/>
        <v>0.62375249500997998</v>
      </c>
      <c r="K97" s="785">
        <f t="shared" si="33"/>
        <v>0.63274123859817577</v>
      </c>
      <c r="L97" s="786">
        <f t="shared" si="33"/>
        <v>0.62969194926223138</v>
      </c>
      <c r="M97" s="785">
        <f t="shared" si="33"/>
        <v>0.6117274167987321</v>
      </c>
      <c r="N97" s="785">
        <f t="shared" si="33"/>
        <v>0.64638082065467961</v>
      </c>
      <c r="O97" s="785">
        <f t="shared" si="33"/>
        <v>0.65006915629322271</v>
      </c>
      <c r="P97" s="785">
        <f t="shared" si="33"/>
        <v>0.69015245158632055</v>
      </c>
      <c r="Q97" s="786">
        <f t="shared" si="33"/>
        <v>0.65199815199815203</v>
      </c>
      <c r="R97" s="785">
        <f t="shared" si="33"/>
        <v>0.67697705315567469</v>
      </c>
      <c r="S97" s="785">
        <f t="shared" si="33"/>
        <v>0.67954665908794143</v>
      </c>
      <c r="T97" s="785">
        <f t="shared" si="33"/>
        <v>0.68486674893712496</v>
      </c>
      <c r="U97" s="785">
        <f t="shared" si="33"/>
        <v>0.69468925387003755</v>
      </c>
      <c r="V97" s="786">
        <f t="shared" si="33"/>
        <v>0.68432256840614802</v>
      </c>
      <c r="W97" s="785">
        <f t="shared" si="33"/>
        <v>0.70204213249493397</v>
      </c>
      <c r="X97" s="785">
        <f t="shared" si="33"/>
        <v>0.71007756637600328</v>
      </c>
      <c r="Y97" s="785">
        <f t="shared" si="33"/>
        <v>0.71282706674914853</v>
      </c>
      <c r="Z97" s="785">
        <f t="shared" si="33"/>
        <v>0.73086494157901893</v>
      </c>
      <c r="AA97" s="786">
        <f t="shared" si="33"/>
        <v>0.71436831207638174</v>
      </c>
      <c r="AB97" s="785">
        <f t="shared" si="33"/>
        <v>0.7116229742281619</v>
      </c>
      <c r="AC97" s="785">
        <f t="shared" si="33"/>
        <v>0.74115633837248263</v>
      </c>
      <c r="AD97" s="785">
        <f t="shared" si="33"/>
        <v>0.78222786366969155</v>
      </c>
      <c r="AE97" s="785">
        <f t="shared" si="33"/>
        <v>0.79078701976874299</v>
      </c>
      <c r="AF97" s="786">
        <f t="shared" si="33"/>
        <v>0.76045426220180845</v>
      </c>
      <c r="AG97" s="785">
        <f t="shared" si="33"/>
        <v>0.77625946350126174</v>
      </c>
      <c r="AH97" s="785">
        <f t="shared" si="33"/>
        <v>0.79569263016764002</v>
      </c>
      <c r="AI97" s="785">
        <f t="shared" ref="AI97:BJ97" si="34">+AI8/AI84</f>
        <v>0.80119874549889647</v>
      </c>
      <c r="AJ97" s="785">
        <f t="shared" si="34"/>
        <v>0.80089148783582498</v>
      </c>
      <c r="AK97" s="786">
        <f t="shared" si="34"/>
        <v>0.79417578026515456</v>
      </c>
      <c r="AL97" s="785">
        <f t="shared" si="34"/>
        <v>0.79136847475707894</v>
      </c>
      <c r="AM97" s="785">
        <f t="shared" si="34"/>
        <v>0.80705168362536717</v>
      </c>
      <c r="AN97" s="785">
        <f t="shared" si="34"/>
        <v>0.82422379743120466</v>
      </c>
      <c r="AO97" s="785">
        <f t="shared" si="34"/>
        <v>0.82093580567343138</v>
      </c>
      <c r="AP97" s="786">
        <f t="shared" si="34"/>
        <v>0.81158686050375872</v>
      </c>
      <c r="AQ97" s="785">
        <f t="shared" si="34"/>
        <v>0.82085469358235308</v>
      </c>
      <c r="AR97" s="785">
        <f t="shared" si="34"/>
        <v>0.84739005831734371</v>
      </c>
      <c r="AS97" s="785">
        <f t="shared" si="34"/>
        <v>0.84579562349341075</v>
      </c>
      <c r="AT97" s="785">
        <f t="shared" si="34"/>
        <v>0.84991888409829519</v>
      </c>
      <c r="AU97" s="786">
        <f t="shared" si="34"/>
        <v>0.84177643229068544</v>
      </c>
      <c r="AV97" s="785">
        <f t="shared" si="34"/>
        <v>0.60740834305032876</v>
      </c>
      <c r="AW97" s="785">
        <f t="shared" si="34"/>
        <v>0.61264837985298004</v>
      </c>
      <c r="AX97" s="785">
        <f t="shared" si="34"/>
        <v>0.60803659548936351</v>
      </c>
      <c r="AY97" s="785">
        <f t="shared" si="34"/>
        <v>0.6051915041319943</v>
      </c>
      <c r="AZ97" s="786">
        <f t="shared" si="34"/>
        <v>0.60828870157661397</v>
      </c>
      <c r="BA97" s="785">
        <f t="shared" si="34"/>
        <v>0.58531204958007477</v>
      </c>
      <c r="BB97" s="785">
        <f t="shared" si="34"/>
        <v>0.61563771401633238</v>
      </c>
      <c r="BC97" s="785">
        <f t="shared" si="34"/>
        <v>0.61141291778141749</v>
      </c>
      <c r="BD97" s="785">
        <f t="shared" si="34"/>
        <v>0.60809937493787303</v>
      </c>
      <c r="BE97" s="786">
        <f t="shared" si="34"/>
        <v>0.60559613057410899</v>
      </c>
      <c r="BF97" s="785">
        <f t="shared" si="34"/>
        <v>0.58269149006091436</v>
      </c>
      <c r="BG97" s="785">
        <f t="shared" si="34"/>
        <v>0.61331487397528361</v>
      </c>
      <c r="BH97" s="785">
        <f t="shared" si="34"/>
        <v>0.60974765192369018</v>
      </c>
      <c r="BI97" s="785">
        <f t="shared" si="34"/>
        <v>0.60594424345463971</v>
      </c>
      <c r="BJ97" s="786">
        <f t="shared" si="34"/>
        <v>0.60341424209552508</v>
      </c>
      <c r="BK97" s="787"/>
      <c r="BL97" s="787"/>
      <c r="BM97" s="128"/>
    </row>
    <row r="98" spans="1:65">
      <c r="A98" s="128"/>
      <c r="B98" s="582" t="s">
        <v>282</v>
      </c>
      <c r="C98" s="785">
        <f t="shared" ref="C98:AZ98" si="35">+C68/C84</f>
        <v>0.40380952380952384</v>
      </c>
      <c r="D98" s="785">
        <f t="shared" si="35"/>
        <v>0.37276785714285715</v>
      </c>
      <c r="E98" s="785">
        <f t="shared" si="35"/>
        <v>0.37139749864056554</v>
      </c>
      <c r="F98" s="785">
        <f t="shared" si="35"/>
        <v>0.37351991388589884</v>
      </c>
      <c r="G98" s="786">
        <f t="shared" si="35"/>
        <v>0.37953001132502834</v>
      </c>
      <c r="H98" s="785">
        <f t="shared" si="35"/>
        <v>0.38737201365187707</v>
      </c>
      <c r="I98" s="785">
        <f t="shared" si="35"/>
        <v>0.35140882509303561</v>
      </c>
      <c r="J98" s="785">
        <f t="shared" si="35"/>
        <v>0.37624750499001997</v>
      </c>
      <c r="K98" s="785">
        <f t="shared" si="35"/>
        <v>0.36725876140182429</v>
      </c>
      <c r="L98" s="786">
        <f t="shared" si="35"/>
        <v>0.37030805073776857</v>
      </c>
      <c r="M98" s="785">
        <f t="shared" si="35"/>
        <v>0.38827258320126778</v>
      </c>
      <c r="N98" s="785">
        <f t="shared" si="35"/>
        <v>0.3536191793453205</v>
      </c>
      <c r="O98" s="785">
        <f t="shared" si="35"/>
        <v>0.34993084370677735</v>
      </c>
      <c r="P98" s="785">
        <f t="shared" si="35"/>
        <v>0.30984754841367945</v>
      </c>
      <c r="Q98" s="786">
        <f t="shared" si="35"/>
        <v>0.34800184800184802</v>
      </c>
      <c r="R98" s="785">
        <f t="shared" si="35"/>
        <v>0.3230229468443252</v>
      </c>
      <c r="S98" s="785">
        <f t="shared" si="35"/>
        <v>0.32045334091205863</v>
      </c>
      <c r="T98" s="785">
        <f t="shared" si="35"/>
        <v>0.31513325106287499</v>
      </c>
      <c r="U98" s="785">
        <f t="shared" si="35"/>
        <v>0.30531074612996251</v>
      </c>
      <c r="V98" s="786">
        <f t="shared" si="35"/>
        <v>0.31567743159385198</v>
      </c>
      <c r="W98" s="785">
        <f t="shared" si="35"/>
        <v>0.29795786750506592</v>
      </c>
      <c r="X98" s="785">
        <f t="shared" si="35"/>
        <v>0.28992243362399678</v>
      </c>
      <c r="Y98" s="785">
        <f t="shared" si="35"/>
        <v>0.28717293325085141</v>
      </c>
      <c r="Z98" s="785">
        <f t="shared" si="35"/>
        <v>0.26913505842098101</v>
      </c>
      <c r="AA98" s="786">
        <f t="shared" si="35"/>
        <v>0.28563168792361826</v>
      </c>
      <c r="AB98" s="785">
        <f t="shared" si="35"/>
        <v>0.28837702577183816</v>
      </c>
      <c r="AC98" s="785">
        <f t="shared" si="35"/>
        <v>0.25884366162751743</v>
      </c>
      <c r="AD98" s="785">
        <f t="shared" si="35"/>
        <v>0.21777213633030851</v>
      </c>
      <c r="AE98" s="785">
        <f t="shared" si="35"/>
        <v>0.20921298023125701</v>
      </c>
      <c r="AF98" s="786">
        <f t="shared" si="35"/>
        <v>0.23954573779819158</v>
      </c>
      <c r="AG98" s="785">
        <f t="shared" si="35"/>
        <v>0.22374053649873818</v>
      </c>
      <c r="AH98" s="785">
        <f t="shared" si="35"/>
        <v>0.20430736983236006</v>
      </c>
      <c r="AI98" s="785">
        <f t="shared" si="35"/>
        <v>0.1988012545011035</v>
      </c>
      <c r="AJ98" s="785">
        <f t="shared" si="35"/>
        <v>0.19910851216417497</v>
      </c>
      <c r="AK98" s="786">
        <f t="shared" si="35"/>
        <v>0.20582421973484541</v>
      </c>
      <c r="AL98" s="785">
        <f t="shared" si="35"/>
        <v>0.20863152524292108</v>
      </c>
      <c r="AM98" s="785">
        <f t="shared" si="35"/>
        <v>0.19294831637463292</v>
      </c>
      <c r="AN98" s="785">
        <f t="shared" si="35"/>
        <v>0.17577620256879536</v>
      </c>
      <c r="AO98" s="785">
        <f t="shared" si="35"/>
        <v>0.17906419432656864</v>
      </c>
      <c r="AP98" s="786">
        <f t="shared" si="35"/>
        <v>0.18841313949624128</v>
      </c>
      <c r="AQ98" s="785">
        <f t="shared" si="35"/>
        <v>0.17914530641764695</v>
      </c>
      <c r="AR98" s="785">
        <f>+AR68/AR84</f>
        <v>0.15260994168265632</v>
      </c>
      <c r="AS98" s="785">
        <f t="shared" si="35"/>
        <v>0.1542043765065893</v>
      </c>
      <c r="AT98" s="785">
        <f t="shared" si="35"/>
        <v>0.15008111590170473</v>
      </c>
      <c r="AU98" s="786">
        <f t="shared" si="35"/>
        <v>0.15822356770931451</v>
      </c>
      <c r="AV98" s="785">
        <f t="shared" si="35"/>
        <v>9.2730454580547614E-2</v>
      </c>
      <c r="AW98" s="785">
        <f t="shared" si="35"/>
        <v>8.1964184025071371E-2</v>
      </c>
      <c r="AX98" s="785">
        <f t="shared" si="35"/>
        <v>8.6347184503496918E-2</v>
      </c>
      <c r="AY98" s="785">
        <f t="shared" si="35"/>
        <v>8.3699630656840274E-2</v>
      </c>
      <c r="AZ98" s="786">
        <f t="shared" si="35"/>
        <v>8.5901977948386582E-2</v>
      </c>
      <c r="BA98" s="785">
        <f t="shared" ref="BA98:BJ98" si="36">+BA68/BA84</f>
        <v>8.0783091836317322E-2</v>
      </c>
      <c r="BB98" s="785">
        <f t="shared" si="36"/>
        <v>7.7390111829870475E-2</v>
      </c>
      <c r="BC98" s="785">
        <f t="shared" si="36"/>
        <v>8.0767324058303627E-2</v>
      </c>
      <c r="BD98" s="785">
        <f t="shared" si="36"/>
        <v>7.8232624064192277E-2</v>
      </c>
      <c r="BE98" s="786">
        <f t="shared" si="36"/>
        <v>7.926299831343199E-2</v>
      </c>
      <c r="BF98" s="785">
        <f t="shared" si="36"/>
        <v>7.6103636646549414E-2</v>
      </c>
      <c r="BG98" s="785">
        <f t="shared" si="36"/>
        <v>7.2958766546906403E-2</v>
      </c>
      <c r="BH98" s="785">
        <f t="shared" si="36"/>
        <v>7.6222808949564388E-2</v>
      </c>
      <c r="BI98" s="785">
        <f t="shared" si="36"/>
        <v>7.3769991438654064E-2</v>
      </c>
      <c r="BJ98" s="786">
        <f t="shared" si="36"/>
        <v>7.4737177072301417E-2</v>
      </c>
      <c r="BK98" s="787"/>
      <c r="BL98" s="787"/>
      <c r="BM98" s="128"/>
    </row>
    <row r="99" spans="1:65" ht="15.75">
      <c r="A99" s="128"/>
      <c r="B99" s="788" t="s">
        <v>283</v>
      </c>
      <c r="C99" s="762"/>
      <c r="D99" s="762"/>
      <c r="E99" s="762"/>
      <c r="F99" s="762"/>
      <c r="G99" s="789"/>
      <c r="H99" s="762"/>
      <c r="I99" s="762"/>
      <c r="J99" s="762"/>
      <c r="K99" s="762"/>
      <c r="L99" s="789"/>
      <c r="M99" s="762"/>
      <c r="N99" s="762"/>
      <c r="O99" s="762"/>
      <c r="P99" s="762"/>
      <c r="Q99" s="789"/>
      <c r="R99" s="762"/>
      <c r="S99" s="762"/>
      <c r="T99" s="762"/>
      <c r="U99" s="762"/>
      <c r="V99" s="789"/>
      <c r="W99" s="762"/>
      <c r="X99" s="762"/>
      <c r="Y99" s="762"/>
      <c r="Z99" s="762"/>
      <c r="AA99" s="789"/>
      <c r="AB99" s="762"/>
      <c r="AC99" s="762"/>
      <c r="AD99" s="762"/>
      <c r="AE99" s="762"/>
      <c r="AF99" s="789"/>
      <c r="AG99" s="762"/>
      <c r="AH99" s="762"/>
      <c r="AI99" s="762"/>
      <c r="AJ99" s="762"/>
      <c r="AK99" s="789"/>
      <c r="AL99" s="762"/>
      <c r="AM99" s="762"/>
      <c r="AN99" s="762"/>
      <c r="AO99" s="762"/>
      <c r="AP99" s="789"/>
      <c r="AQ99" s="762"/>
      <c r="AR99" s="762"/>
      <c r="AS99" s="762"/>
      <c r="AT99" s="762"/>
      <c r="AU99" s="789"/>
      <c r="AV99" s="762"/>
      <c r="AW99" s="762"/>
      <c r="AX99" s="762"/>
      <c r="AY99" s="762"/>
      <c r="AZ99" s="789"/>
      <c r="BA99" s="762"/>
      <c r="BB99" s="762"/>
      <c r="BC99" s="762"/>
      <c r="BD99" s="762"/>
      <c r="BE99" s="789"/>
      <c r="BF99" s="762"/>
      <c r="BG99" s="762"/>
      <c r="BH99" s="762"/>
      <c r="BI99" s="762"/>
      <c r="BJ99" s="789"/>
      <c r="BK99" s="790"/>
      <c r="BL99" s="790"/>
      <c r="BM99" s="128"/>
    </row>
    <row r="100" spans="1:65">
      <c r="A100" s="128"/>
      <c r="B100" s="582" t="s">
        <v>284</v>
      </c>
      <c r="C100" s="785">
        <f t="shared" ref="C100:AH100" si="37">C11/C87</f>
        <v>0.73997856377277604</v>
      </c>
      <c r="D100" s="785">
        <f t="shared" si="37"/>
        <v>0.74092344119968434</v>
      </c>
      <c r="E100" s="785">
        <f t="shared" si="37"/>
        <v>0.73932453416149069</v>
      </c>
      <c r="F100" s="785">
        <f t="shared" si="37"/>
        <v>0.74956697459584298</v>
      </c>
      <c r="G100" s="786">
        <f t="shared" si="37"/>
        <v>0.74264957850729896</v>
      </c>
      <c r="H100" s="785">
        <f t="shared" si="37"/>
        <v>0.74029172191702974</v>
      </c>
      <c r="I100" s="785">
        <f t="shared" si="37"/>
        <v>0.73567024837061823</v>
      </c>
      <c r="J100" s="785">
        <f t="shared" si="37"/>
        <v>0.7276107840099163</v>
      </c>
      <c r="K100" s="785">
        <f t="shared" si="37"/>
        <v>0.73659600012637827</v>
      </c>
      <c r="L100" s="786">
        <f t="shared" si="37"/>
        <v>0.73495332282591752</v>
      </c>
      <c r="M100" s="785">
        <f t="shared" si="37"/>
        <v>0.7274786025910015</v>
      </c>
      <c r="N100" s="785">
        <f t="shared" si="37"/>
        <v>0.72559669760079459</v>
      </c>
      <c r="O100" s="785">
        <f t="shared" si="37"/>
        <v>0.7438293644633488</v>
      </c>
      <c r="P100" s="785">
        <f t="shared" si="37"/>
        <v>0.76601232268233266</v>
      </c>
      <c r="Q100" s="786">
        <f t="shared" si="37"/>
        <v>0.74147661383842289</v>
      </c>
      <c r="R100" s="785">
        <f t="shared" si="37"/>
        <v>0.75556875556875558</v>
      </c>
      <c r="S100" s="785">
        <f t="shared" si="37"/>
        <v>0.775609756097561</v>
      </c>
      <c r="T100" s="785">
        <f t="shared" si="37"/>
        <v>0.77571283095723009</v>
      </c>
      <c r="U100" s="785">
        <f t="shared" si="37"/>
        <v>0.79117717573723323</v>
      </c>
      <c r="V100" s="786">
        <f t="shared" si="37"/>
        <v>0.7754703469826183</v>
      </c>
      <c r="W100" s="785">
        <f t="shared" si="37"/>
        <v>0.78585807750377457</v>
      </c>
      <c r="X100" s="785">
        <f t="shared" si="37"/>
        <v>0.78021454112038136</v>
      </c>
      <c r="Y100" s="785">
        <f t="shared" si="37"/>
        <v>0.78410689170182846</v>
      </c>
      <c r="Z100" s="785">
        <f t="shared" si="37"/>
        <v>0.79627577033917096</v>
      </c>
      <c r="AA100" s="786">
        <f t="shared" si="37"/>
        <v>0.78679334356190256</v>
      </c>
      <c r="AB100" s="785">
        <f t="shared" si="37"/>
        <v>0.78491818828551108</v>
      </c>
      <c r="AC100" s="785">
        <f t="shared" si="37"/>
        <v>0.79826553788973775</v>
      </c>
      <c r="AD100" s="785">
        <f t="shared" si="37"/>
        <v>0.82052238805970146</v>
      </c>
      <c r="AE100" s="785">
        <f t="shared" si="37"/>
        <v>0.82853102351069474</v>
      </c>
      <c r="AF100" s="786">
        <f t="shared" si="37"/>
        <v>0.80993176271355283</v>
      </c>
      <c r="AG100" s="785">
        <f t="shared" si="37"/>
        <v>0.82174156255826958</v>
      </c>
      <c r="AH100" s="785">
        <f t="shared" si="37"/>
        <v>0.82125520110957007</v>
      </c>
      <c r="AI100" s="785">
        <f t="shared" ref="AI100:BJ100" si="38">AI11/AI87</f>
        <v>0.82115650969529086</v>
      </c>
      <c r="AJ100" s="785">
        <f t="shared" si="38"/>
        <v>0.8336620644312952</v>
      </c>
      <c r="AK100" s="786">
        <f t="shared" si="38"/>
        <v>0.82462702796746556</v>
      </c>
      <c r="AL100" s="785">
        <f t="shared" si="38"/>
        <v>0.8328178694158076</v>
      </c>
      <c r="AM100" s="785">
        <f t="shared" si="38"/>
        <v>0.8338994015849911</v>
      </c>
      <c r="AN100" s="785">
        <f t="shared" si="38"/>
        <v>0.8360185037486042</v>
      </c>
      <c r="AO100" s="785">
        <f t="shared" si="38"/>
        <v>0.85238805970149256</v>
      </c>
      <c r="AP100" s="786">
        <f t="shared" si="38"/>
        <v>0.83913983661701108</v>
      </c>
      <c r="AQ100" s="785">
        <f t="shared" si="38"/>
        <v>0.85115537848605582</v>
      </c>
      <c r="AR100" s="785">
        <f t="shared" si="38"/>
        <v>0.86124183998785486</v>
      </c>
      <c r="AS100" s="785">
        <f t="shared" si="38"/>
        <v>0.87053435114503819</v>
      </c>
      <c r="AT100" s="785">
        <f t="shared" si="38"/>
        <v>0.87698124182056125</v>
      </c>
      <c r="AU100" s="786">
        <f t="shared" si="38"/>
        <v>0.86526684164479439</v>
      </c>
      <c r="AV100" s="785">
        <f t="shared" si="38"/>
        <v>0.89655721259297338</v>
      </c>
      <c r="AW100" s="785">
        <f t="shared" si="38"/>
        <v>0.8935616149853195</v>
      </c>
      <c r="AX100" s="785">
        <f t="shared" si="38"/>
        <v>0.89297394011460363</v>
      </c>
      <c r="AY100" s="785">
        <f t="shared" si="38"/>
        <v>0.8979294796463988</v>
      </c>
      <c r="AZ100" s="786">
        <f t="shared" si="38"/>
        <v>0.89526509261030152</v>
      </c>
      <c r="BA100" s="785">
        <f t="shared" si="38"/>
        <v>0.90298652312390282</v>
      </c>
      <c r="BB100" s="785">
        <f t="shared" si="38"/>
        <v>0.89798662638705185</v>
      </c>
      <c r="BC100" s="785">
        <f t="shared" si="38"/>
        <v>0.89742057847452039</v>
      </c>
      <c r="BD100" s="785">
        <f t="shared" si="38"/>
        <v>0.9021927799477194</v>
      </c>
      <c r="BE100" s="786">
        <f t="shared" si="38"/>
        <v>0.90013786222662395</v>
      </c>
      <c r="BF100" s="785">
        <f t="shared" si="38"/>
        <v>0.90666853055978047</v>
      </c>
      <c r="BG100" s="785">
        <f t="shared" si="38"/>
        <v>0.90183776880204547</v>
      </c>
      <c r="BH100" s="785">
        <f t="shared" si="38"/>
        <v>0.90129074101197848</v>
      </c>
      <c r="BI100" s="785">
        <f t="shared" si="38"/>
        <v>0.90590177346832546</v>
      </c>
      <c r="BJ100" s="786">
        <f t="shared" si="38"/>
        <v>0.90391648218250298</v>
      </c>
      <c r="BK100" s="787"/>
      <c r="BL100" s="787"/>
      <c r="BM100" s="128"/>
    </row>
    <row r="101" spans="1:65">
      <c r="A101" s="128"/>
      <c r="B101" s="791" t="s">
        <v>285</v>
      </c>
      <c r="C101" s="792">
        <f t="shared" ref="C101:AZ101" si="39">+C71/C87</f>
        <v>0.26002143622722401</v>
      </c>
      <c r="D101" s="792">
        <f t="shared" si="39"/>
        <v>0.25907655880031571</v>
      </c>
      <c r="E101" s="792">
        <f t="shared" si="39"/>
        <v>0.26067546583850931</v>
      </c>
      <c r="F101" s="792">
        <f t="shared" si="39"/>
        <v>0.25043302540415707</v>
      </c>
      <c r="G101" s="793">
        <f t="shared" si="39"/>
        <v>0.25735042149270099</v>
      </c>
      <c r="H101" s="792">
        <f t="shared" si="39"/>
        <v>0.25970827808297026</v>
      </c>
      <c r="I101" s="792">
        <f t="shared" si="39"/>
        <v>0.26432975162938172</v>
      </c>
      <c r="J101" s="792">
        <f t="shared" si="39"/>
        <v>0.2723892159900837</v>
      </c>
      <c r="K101" s="792">
        <f t="shared" si="39"/>
        <v>0.26340399987362167</v>
      </c>
      <c r="L101" s="793">
        <f t="shared" si="39"/>
        <v>0.26504667717408253</v>
      </c>
      <c r="M101" s="792">
        <f t="shared" si="39"/>
        <v>0.27252139740899856</v>
      </c>
      <c r="N101" s="792">
        <f t="shared" si="39"/>
        <v>0.27440330239920546</v>
      </c>
      <c r="O101" s="792">
        <f t="shared" si="39"/>
        <v>0.25617063553665126</v>
      </c>
      <c r="P101" s="792">
        <f t="shared" si="39"/>
        <v>0.23398767731766729</v>
      </c>
      <c r="Q101" s="793">
        <f t="shared" si="39"/>
        <v>0.25852338616157711</v>
      </c>
      <c r="R101" s="792">
        <f t="shared" si="39"/>
        <v>0.24443124443124442</v>
      </c>
      <c r="S101" s="792">
        <f t="shared" si="39"/>
        <v>0.22439024390243903</v>
      </c>
      <c r="T101" s="792">
        <f t="shared" si="39"/>
        <v>0.22428716904276985</v>
      </c>
      <c r="U101" s="792">
        <f t="shared" si="39"/>
        <v>0.20882282426276672</v>
      </c>
      <c r="V101" s="793">
        <f t="shared" si="39"/>
        <v>0.22452965301738168</v>
      </c>
      <c r="W101" s="792">
        <f t="shared" si="39"/>
        <v>0.21414192249622546</v>
      </c>
      <c r="X101" s="792">
        <f t="shared" si="39"/>
        <v>0.21978545887961859</v>
      </c>
      <c r="Y101" s="792">
        <f t="shared" si="39"/>
        <v>0.2158931082981716</v>
      </c>
      <c r="Z101" s="792">
        <f t="shared" si="39"/>
        <v>0.20372422966082909</v>
      </c>
      <c r="AA101" s="793">
        <f t="shared" si="39"/>
        <v>0.2132066564380975</v>
      </c>
      <c r="AB101" s="792">
        <f t="shared" si="39"/>
        <v>0.21508181171448898</v>
      </c>
      <c r="AC101" s="792">
        <f t="shared" si="39"/>
        <v>0.20173446211026225</v>
      </c>
      <c r="AD101" s="792">
        <f t="shared" si="39"/>
        <v>0.17947761194029851</v>
      </c>
      <c r="AE101" s="792">
        <f t="shared" si="39"/>
        <v>0.17146897648930529</v>
      </c>
      <c r="AF101" s="793">
        <f t="shared" si="39"/>
        <v>0.19006823728644717</v>
      </c>
      <c r="AG101" s="792">
        <f t="shared" si="39"/>
        <v>0.17825843744173037</v>
      </c>
      <c r="AH101" s="792">
        <f t="shared" si="39"/>
        <v>0.17874479889042996</v>
      </c>
      <c r="AI101" s="792">
        <f t="shared" si="39"/>
        <v>0.17884349030470914</v>
      </c>
      <c r="AJ101" s="792">
        <f t="shared" si="39"/>
        <v>0.1663379355687048</v>
      </c>
      <c r="AK101" s="793">
        <f t="shared" si="39"/>
        <v>0.17537297203253446</v>
      </c>
      <c r="AL101" s="792">
        <f t="shared" si="39"/>
        <v>0.16718213058419243</v>
      </c>
      <c r="AM101" s="792">
        <f t="shared" si="39"/>
        <v>0.1661005984150089</v>
      </c>
      <c r="AN101" s="792">
        <f t="shared" si="39"/>
        <v>0.16398149625139577</v>
      </c>
      <c r="AO101" s="792">
        <f t="shared" si="39"/>
        <v>0.14761194029850747</v>
      </c>
      <c r="AP101" s="793">
        <f t="shared" si="39"/>
        <v>0.16086016338298895</v>
      </c>
      <c r="AQ101" s="792">
        <f t="shared" si="39"/>
        <v>0.14884462151394423</v>
      </c>
      <c r="AR101" s="792">
        <f>+AR71/AR87</f>
        <v>0.13875816001214514</v>
      </c>
      <c r="AS101" s="792">
        <f t="shared" si="39"/>
        <v>0.12946564885496184</v>
      </c>
      <c r="AT101" s="792">
        <f t="shared" si="39"/>
        <v>0.12301875817943871</v>
      </c>
      <c r="AU101" s="793">
        <f t="shared" si="39"/>
        <v>0.13473315835520561</v>
      </c>
      <c r="AV101" s="792">
        <f t="shared" si="39"/>
        <v>0.10344278740702652</v>
      </c>
      <c r="AW101" s="792">
        <f t="shared" si="39"/>
        <v>0.10643838501468057</v>
      </c>
      <c r="AX101" s="792">
        <f t="shared" si="39"/>
        <v>0.1070260598853964</v>
      </c>
      <c r="AY101" s="792">
        <f t="shared" si="39"/>
        <v>0.10207052035360129</v>
      </c>
      <c r="AZ101" s="793">
        <f t="shared" si="39"/>
        <v>0.10473490738969854</v>
      </c>
      <c r="BA101" s="792">
        <f t="shared" ref="BA101:BJ101" si="40">+BA71/BA87</f>
        <v>9.7013476876097252E-2</v>
      </c>
      <c r="BB101" s="792">
        <f t="shared" si="40"/>
        <v>0.1020133736129482</v>
      </c>
      <c r="BC101" s="792">
        <f t="shared" si="40"/>
        <v>0.10257942152547969</v>
      </c>
      <c r="BD101" s="792">
        <f t="shared" si="40"/>
        <v>9.7807220052280625E-2</v>
      </c>
      <c r="BE101" s="793">
        <f t="shared" si="40"/>
        <v>9.9862137773376158E-2</v>
      </c>
      <c r="BF101" s="792">
        <f t="shared" si="40"/>
        <v>9.33314694402195E-2</v>
      </c>
      <c r="BG101" s="792">
        <f t="shared" si="40"/>
        <v>9.8162231197954558E-2</v>
      </c>
      <c r="BH101" s="792">
        <f t="shared" si="40"/>
        <v>9.8709258988021464E-2</v>
      </c>
      <c r="BI101" s="792">
        <f t="shared" si="40"/>
        <v>9.4098226531674531E-2</v>
      </c>
      <c r="BJ101" s="793">
        <f t="shared" si="40"/>
        <v>9.6083517817496994E-2</v>
      </c>
      <c r="BK101" s="787"/>
      <c r="BL101" s="787"/>
      <c r="BM101" s="128"/>
    </row>
    <row r="102" spans="1:65">
      <c r="A102" s="128"/>
      <c r="B102" s="128"/>
      <c r="C102" s="128"/>
      <c r="D102" s="128"/>
      <c r="E102" s="128"/>
      <c r="F102" s="128"/>
      <c r="G102" s="794"/>
      <c r="H102" s="128"/>
      <c r="I102" s="128"/>
      <c r="J102" s="128"/>
      <c r="K102" s="128"/>
      <c r="L102" s="794"/>
      <c r="M102" s="128"/>
      <c r="N102" s="128"/>
      <c r="O102" s="128"/>
      <c r="P102" s="128"/>
      <c r="Q102" s="794"/>
      <c r="R102" s="128"/>
      <c r="S102" s="128"/>
      <c r="T102" s="128"/>
      <c r="U102" s="128"/>
      <c r="V102" s="794"/>
      <c r="W102" s="128"/>
      <c r="X102" s="128"/>
      <c r="Y102" s="128"/>
      <c r="Z102" s="128"/>
      <c r="AA102" s="794"/>
      <c r="AB102" s="128"/>
      <c r="AC102" s="128"/>
      <c r="AD102" s="128"/>
      <c r="AE102" s="128"/>
      <c r="AF102" s="794"/>
      <c r="AG102" s="128"/>
      <c r="AH102" s="128"/>
      <c r="AI102" s="128"/>
      <c r="AJ102" s="128"/>
      <c r="AK102" s="794"/>
      <c r="AL102" s="794"/>
      <c r="AM102" s="794"/>
      <c r="AN102" s="794"/>
      <c r="AO102" s="794"/>
      <c r="AP102" s="794"/>
      <c r="AQ102" s="782"/>
      <c r="AR102" s="782"/>
      <c r="AS102" s="782"/>
      <c r="AT102" s="782"/>
      <c r="AU102" s="782"/>
      <c r="AV102" s="782"/>
      <c r="AW102" s="782"/>
      <c r="AX102" s="782"/>
      <c r="AY102" s="782"/>
      <c r="AZ102" s="782"/>
      <c r="BA102" s="782"/>
      <c r="BB102" s="782"/>
      <c r="BC102" s="782"/>
      <c r="BD102" s="782"/>
      <c r="BE102" s="782"/>
      <c r="BF102" s="782"/>
      <c r="BG102" s="782"/>
      <c r="BH102" s="782"/>
      <c r="BI102" s="782"/>
      <c r="BJ102" s="782"/>
      <c r="BK102" s="782"/>
      <c r="BL102" s="782"/>
      <c r="BM102" s="128"/>
    </row>
    <row r="103" spans="1:65">
      <c r="A103" s="128"/>
      <c r="B103" s="128"/>
      <c r="C103" s="128"/>
      <c r="D103" s="128"/>
      <c r="E103" s="128"/>
      <c r="F103" s="128"/>
      <c r="G103" s="794"/>
      <c r="H103" s="128"/>
      <c r="I103" s="128"/>
      <c r="J103" s="128"/>
      <c r="K103" s="128"/>
      <c r="L103" s="794"/>
      <c r="M103" s="128"/>
      <c r="N103" s="128"/>
      <c r="O103" s="128"/>
      <c r="P103" s="128"/>
      <c r="Q103" s="794"/>
      <c r="R103" s="128"/>
      <c r="S103" s="128"/>
      <c r="T103" s="128"/>
      <c r="U103" s="128"/>
      <c r="V103" s="794"/>
      <c r="W103" s="128"/>
      <c r="X103" s="128"/>
      <c r="Y103" s="128"/>
      <c r="Z103" s="128"/>
      <c r="AA103" s="794"/>
      <c r="AB103" s="128"/>
      <c r="AC103" s="128"/>
      <c r="AD103" s="128"/>
      <c r="AE103" s="128"/>
      <c r="AF103" s="794"/>
      <c r="AG103" s="128"/>
      <c r="AH103" s="128"/>
      <c r="AI103" s="128"/>
      <c r="AJ103" s="128"/>
      <c r="AK103" s="794"/>
      <c r="AL103" s="794"/>
      <c r="AM103" s="794"/>
      <c r="AN103" s="794"/>
      <c r="AO103" s="794"/>
      <c r="AP103" s="794"/>
      <c r="AQ103" s="782"/>
      <c r="AR103" s="782"/>
      <c r="AS103" s="1202"/>
      <c r="AT103" s="782"/>
      <c r="AU103" s="782"/>
      <c r="AV103" s="782"/>
      <c r="AW103" s="782"/>
      <c r="AX103" s="782"/>
      <c r="AY103" s="782"/>
      <c r="AZ103" s="782"/>
      <c r="BA103" s="782"/>
      <c r="BB103" s="782"/>
      <c r="BC103" s="782"/>
      <c r="BD103" s="782"/>
      <c r="BE103" s="782"/>
      <c r="BF103" s="782"/>
      <c r="BG103" s="782"/>
      <c r="BH103" s="782"/>
      <c r="BI103" s="782"/>
      <c r="BJ103" s="782"/>
      <c r="BK103" s="782"/>
      <c r="BL103" s="782"/>
      <c r="BM103" s="128"/>
    </row>
    <row r="104" spans="1:65" ht="101.25" hidden="1" customHeight="1">
      <c r="A104" s="795"/>
      <c r="B104" s="796" t="s">
        <v>286</v>
      </c>
      <c r="C104" s="795"/>
      <c r="D104" s="795"/>
      <c r="E104" s="795"/>
      <c r="F104" s="795"/>
      <c r="G104" s="797"/>
      <c r="H104" s="795"/>
      <c r="I104" s="795"/>
      <c r="J104" s="795"/>
      <c r="K104" s="795"/>
      <c r="L104" s="797"/>
      <c r="M104" s="795"/>
      <c r="N104" s="795"/>
      <c r="O104" s="795"/>
      <c r="P104" s="795"/>
      <c r="Q104" s="797"/>
      <c r="R104" s="795">
        <f>+R84*1.13</f>
        <v>262.81653</v>
      </c>
      <c r="S104" s="795"/>
      <c r="T104" s="795"/>
      <c r="U104" s="795"/>
      <c r="V104" s="797"/>
      <c r="W104" s="795"/>
      <c r="X104" s="795"/>
      <c r="Y104" s="795"/>
      <c r="Z104" s="798"/>
      <c r="AA104" s="797"/>
      <c r="AB104" s="795"/>
      <c r="AC104" s="795"/>
      <c r="AD104" s="795"/>
      <c r="AE104" s="795"/>
      <c r="AF104" s="797"/>
      <c r="AG104" s="799"/>
      <c r="AH104" s="799" t="s">
        <v>287</v>
      </c>
      <c r="AI104" s="799"/>
      <c r="AJ104" s="799"/>
      <c r="AK104" s="797"/>
      <c r="AL104" s="797"/>
      <c r="AM104" s="797"/>
      <c r="AN104" s="797"/>
      <c r="AO104" s="797"/>
      <c r="AP104" s="797"/>
      <c r="AQ104" s="800"/>
      <c r="AR104" s="800"/>
      <c r="AS104" s="800"/>
      <c r="AT104" s="800"/>
      <c r="AU104" s="800"/>
      <c r="AV104" s="800"/>
      <c r="AW104" s="800"/>
      <c r="AX104" s="800"/>
      <c r="AY104" s="800"/>
      <c r="AZ104" s="800"/>
      <c r="BA104" s="800"/>
      <c r="BB104" s="800"/>
      <c r="BC104" s="800"/>
      <c r="BD104" s="800"/>
      <c r="BE104" s="800"/>
      <c r="BF104" s="800"/>
      <c r="BG104" s="800"/>
      <c r="BH104" s="800"/>
      <c r="BI104" s="800"/>
      <c r="BJ104" s="800"/>
      <c r="BK104" s="800"/>
      <c r="BL104" s="800"/>
      <c r="BM104" s="795"/>
    </row>
    <row r="105" spans="1:65" hidden="1">
      <c r="A105" s="128"/>
      <c r="B105" s="18" t="s">
        <v>288</v>
      </c>
      <c r="C105" s="128"/>
      <c r="D105" s="128"/>
      <c r="E105" s="128"/>
      <c r="F105" s="128"/>
      <c r="G105" s="794"/>
      <c r="H105" s="128"/>
      <c r="I105" s="128"/>
      <c r="J105" s="128"/>
      <c r="K105" s="128"/>
      <c r="L105" s="794"/>
      <c r="M105" s="128"/>
      <c r="N105" s="128"/>
      <c r="O105" s="128"/>
      <c r="P105" s="128"/>
      <c r="Q105" s="794"/>
      <c r="R105" s="801">
        <f>+R104-W84</f>
        <v>-10.08447000000001</v>
      </c>
      <c r="S105" s="801">
        <v>10</v>
      </c>
      <c r="T105" s="128"/>
      <c r="U105" s="128"/>
      <c r="V105" s="794"/>
      <c r="W105" s="128"/>
      <c r="X105" s="128"/>
      <c r="Y105" s="128"/>
      <c r="Z105" s="802"/>
      <c r="AA105" s="803"/>
      <c r="AB105" s="128"/>
      <c r="AC105" s="128"/>
      <c r="AD105" s="128"/>
      <c r="AE105" s="128"/>
      <c r="AF105" s="794"/>
      <c r="AG105" s="304">
        <v>0.08</v>
      </c>
      <c r="AH105" s="304">
        <v>6.5000000000000002E-2</v>
      </c>
      <c r="AI105" s="304"/>
      <c r="AJ105" s="128"/>
      <c r="AK105" s="794"/>
      <c r="AL105" s="794" t="s">
        <v>289</v>
      </c>
      <c r="AM105" s="794"/>
      <c r="AN105" s="794"/>
      <c r="AO105" s="794"/>
      <c r="AP105" s="794"/>
      <c r="AQ105" s="782"/>
      <c r="AR105" s="782"/>
      <c r="AS105" s="782"/>
      <c r="AT105" s="782"/>
      <c r="AU105" s="782"/>
      <c r="AV105" s="782"/>
      <c r="AW105" s="782"/>
      <c r="AX105" s="782"/>
      <c r="AY105" s="782"/>
      <c r="AZ105" s="782"/>
      <c r="BA105" s="782"/>
      <c r="BB105" s="782"/>
      <c r="BC105" s="782"/>
      <c r="BD105" s="782"/>
      <c r="BE105" s="782"/>
      <c r="BF105" s="782"/>
      <c r="BG105" s="782"/>
      <c r="BH105" s="782"/>
      <c r="BI105" s="782"/>
      <c r="BJ105" s="782"/>
      <c r="BK105" s="782"/>
      <c r="BL105" s="782"/>
      <c r="BM105" s="128"/>
    </row>
    <row r="106" spans="1:65">
      <c r="A106" s="128"/>
      <c r="B106" s="128"/>
      <c r="C106" s="128"/>
      <c r="D106" s="128"/>
      <c r="E106" s="128"/>
      <c r="F106" s="128"/>
      <c r="G106" s="794"/>
      <c r="H106" s="128"/>
      <c r="I106" s="128"/>
      <c r="J106" s="128"/>
      <c r="K106" s="128"/>
      <c r="L106" s="794"/>
      <c r="M106" s="128"/>
      <c r="N106" s="128"/>
      <c r="O106" s="128"/>
      <c r="P106" s="128"/>
      <c r="Q106" s="794"/>
      <c r="R106" s="128"/>
      <c r="S106" s="801">
        <f>+X84-S105</f>
        <v>286.90699999999998</v>
      </c>
      <c r="T106" s="128"/>
      <c r="U106" s="128"/>
      <c r="V106" s="794"/>
      <c r="W106" s="128"/>
      <c r="X106" s="128"/>
      <c r="Y106" s="128"/>
      <c r="Z106" s="128"/>
      <c r="AA106" s="794"/>
      <c r="AB106" s="128"/>
      <c r="AC106" s="128"/>
      <c r="AD106" s="128"/>
      <c r="AE106" s="128"/>
      <c r="AF106" s="794"/>
      <c r="AG106" s="128"/>
      <c r="AH106" s="128"/>
      <c r="AI106" s="128"/>
      <c r="AJ106" s="128"/>
      <c r="AK106" s="794"/>
      <c r="AL106" s="794" t="s">
        <v>290</v>
      </c>
      <c r="AM106" s="794"/>
      <c r="AN106" s="794"/>
      <c r="AO106" s="794"/>
      <c r="AP106" s="1225"/>
      <c r="AQ106" s="782"/>
      <c r="AR106" s="782"/>
      <c r="AS106" s="782"/>
      <c r="AT106" s="782"/>
      <c r="AU106" s="782"/>
      <c r="AV106" s="782"/>
      <c r="AW106" s="782"/>
      <c r="AX106" s="782"/>
      <c r="AY106" s="782"/>
      <c r="AZ106" s="782"/>
      <c r="BA106" s="782"/>
      <c r="BB106" s="782"/>
      <c r="BC106" s="782"/>
      <c r="BD106" s="782"/>
      <c r="BE106" s="782"/>
      <c r="BF106" s="782"/>
      <c r="BG106" s="782"/>
      <c r="BH106" s="782"/>
      <c r="BI106" s="782"/>
      <c r="BJ106" s="782"/>
      <c r="BK106" s="782"/>
      <c r="BL106" s="782"/>
      <c r="BM106" s="128"/>
    </row>
    <row r="107" spans="1:65">
      <c r="A107" s="128"/>
      <c r="B107" s="1213" t="s">
        <v>412</v>
      </c>
      <c r="C107" s="128"/>
      <c r="D107" s="128"/>
      <c r="E107" s="128"/>
      <c r="F107" s="128"/>
      <c r="G107" s="794"/>
      <c r="H107" s="128"/>
      <c r="I107" s="128"/>
      <c r="J107" s="128"/>
      <c r="K107" s="128"/>
      <c r="L107" s="794"/>
      <c r="M107" s="128"/>
      <c r="N107" s="128"/>
      <c r="O107" s="128"/>
      <c r="P107" s="128"/>
      <c r="Q107" s="794"/>
      <c r="R107" s="128"/>
      <c r="S107" s="804">
        <f>+S106/S84-1</f>
        <v>0.10188648810575396</v>
      </c>
      <c r="T107" s="128"/>
      <c r="U107" s="128"/>
      <c r="V107" s="794"/>
      <c r="W107" s="128"/>
      <c r="X107" s="128"/>
      <c r="Y107" s="128"/>
      <c r="Z107" s="128"/>
      <c r="AA107" s="794"/>
      <c r="AB107" s="128"/>
      <c r="AC107" s="801"/>
      <c r="AD107" s="128"/>
      <c r="AE107" s="128"/>
      <c r="AF107" s="1214">
        <v>0.03</v>
      </c>
      <c r="AG107" s="128"/>
      <c r="AH107" s="128"/>
      <c r="AI107" s="128"/>
      <c r="AJ107" s="128"/>
      <c r="AK107" s="1214">
        <v>0.03</v>
      </c>
      <c r="AL107" s="794" t="s">
        <v>291</v>
      </c>
      <c r="AM107" s="794"/>
      <c r="AN107" s="794"/>
      <c r="AO107" s="794"/>
      <c r="AP107" s="1214">
        <v>0.02</v>
      </c>
      <c r="AQ107" s="782"/>
      <c r="AR107" s="782"/>
      <c r="AS107" s="1202"/>
      <c r="AT107" s="1202"/>
      <c r="AU107" s="782"/>
      <c r="AV107" s="782"/>
      <c r="AW107" s="782"/>
      <c r="AX107" s="782"/>
      <c r="AY107" s="782"/>
      <c r="AZ107" s="782"/>
      <c r="BA107" s="782"/>
      <c r="BB107" s="782"/>
      <c r="BC107" s="782"/>
      <c r="BD107" s="782"/>
      <c r="BE107" s="782"/>
      <c r="BF107" s="782"/>
      <c r="BG107" s="782"/>
      <c r="BH107" s="782"/>
      <c r="BI107" s="782"/>
      <c r="BJ107" s="782"/>
      <c r="BK107" s="782"/>
      <c r="BL107" s="782"/>
      <c r="BM107" s="128"/>
    </row>
    <row r="108" spans="1:65">
      <c r="A108" s="128"/>
      <c r="B108" s="128"/>
      <c r="C108" s="128"/>
      <c r="D108" s="128"/>
      <c r="E108" s="128"/>
      <c r="F108" s="128"/>
      <c r="G108" s="794"/>
      <c r="H108" s="128"/>
      <c r="I108" s="128"/>
      <c r="J108" s="128"/>
      <c r="K108" s="128"/>
      <c r="L108" s="794"/>
      <c r="M108" s="128"/>
      <c r="N108" s="128"/>
      <c r="O108" s="128"/>
      <c r="P108" s="128"/>
      <c r="Q108" s="794"/>
      <c r="R108" s="128"/>
      <c r="S108" s="128"/>
      <c r="T108" s="128"/>
      <c r="U108" s="128"/>
      <c r="V108" s="794"/>
      <c r="W108" s="128"/>
      <c r="X108" s="128"/>
      <c r="Y108" s="128"/>
      <c r="Z108" s="128"/>
      <c r="AA108" s="794"/>
      <c r="AB108" s="128"/>
      <c r="AC108" s="128"/>
      <c r="AD108" s="128"/>
      <c r="AE108" s="801">
        <f>+AE84-AE2</f>
        <v>402.15</v>
      </c>
      <c r="AF108" s="794"/>
      <c r="AG108" s="128"/>
      <c r="AH108" s="128"/>
      <c r="AI108" s="128"/>
      <c r="AJ108" s="128"/>
      <c r="AK108" s="794"/>
      <c r="AL108" s="794"/>
      <c r="AM108" s="794"/>
      <c r="AN108" s="794"/>
      <c r="AO108" s="794"/>
      <c r="AP108" s="794"/>
      <c r="AQ108" s="782"/>
      <c r="AR108" s="782"/>
      <c r="AS108" s="782"/>
      <c r="AT108" s="782"/>
      <c r="AU108" s="782"/>
      <c r="AV108" s="782"/>
      <c r="AW108" s="782"/>
      <c r="AX108" s="782"/>
      <c r="AY108" s="782"/>
      <c r="AZ108" s="782"/>
      <c r="BA108" s="782"/>
      <c r="BB108" s="782"/>
      <c r="BC108" s="782"/>
      <c r="BD108" s="782"/>
      <c r="BE108" s="782"/>
      <c r="BF108" s="782"/>
      <c r="BG108" s="782"/>
      <c r="BH108" s="782"/>
      <c r="BI108" s="782"/>
      <c r="BJ108" s="782"/>
      <c r="BK108" s="782"/>
      <c r="BL108" s="782"/>
      <c r="BM108" s="128"/>
    </row>
    <row r="109" spans="1:65">
      <c r="A109" s="128"/>
      <c r="B109" s="1213" t="s">
        <v>413</v>
      </c>
      <c r="C109" s="128"/>
      <c r="D109" s="128"/>
      <c r="E109" s="128"/>
      <c r="F109" s="128"/>
      <c r="G109" s="794"/>
      <c r="H109" s="128"/>
      <c r="I109" s="128"/>
      <c r="J109" s="128"/>
      <c r="K109" s="128"/>
      <c r="L109" s="794"/>
      <c r="M109" s="128"/>
      <c r="N109" s="128"/>
      <c r="O109" s="128"/>
      <c r="P109" s="128"/>
      <c r="Q109" s="794"/>
      <c r="R109" s="128"/>
      <c r="S109" s="128"/>
      <c r="T109" s="128"/>
      <c r="U109" s="128"/>
      <c r="V109" s="794"/>
      <c r="W109" s="128"/>
      <c r="X109" s="128"/>
      <c r="Y109" s="128"/>
      <c r="Z109" s="128"/>
      <c r="AA109" s="794"/>
      <c r="AB109" s="128"/>
      <c r="AC109" s="128"/>
      <c r="AD109" s="128"/>
      <c r="AE109" s="805">
        <f>+AE108/Z84-1</f>
        <v>0.3030503334175787</v>
      </c>
      <c r="AF109" s="794">
        <v>269.89999999999998</v>
      </c>
      <c r="AG109" s="128"/>
      <c r="AH109" s="128"/>
      <c r="AI109" s="128"/>
      <c r="AJ109" s="128"/>
      <c r="AK109" s="794">
        <v>377.6</v>
      </c>
      <c r="AL109" s="794"/>
      <c r="AM109" s="794"/>
      <c r="AN109" s="794"/>
      <c r="AO109" s="794"/>
      <c r="AP109" s="794">
        <v>444.8</v>
      </c>
      <c r="AQ109" s="782"/>
      <c r="AR109" s="782"/>
      <c r="AS109" s="782"/>
      <c r="AT109" s="1224"/>
      <c r="AU109" s="1225"/>
      <c r="AV109" s="782"/>
      <c r="AW109" s="782"/>
      <c r="AX109" s="782"/>
      <c r="AY109" s="782"/>
      <c r="AZ109" s="782"/>
      <c r="BA109" s="782"/>
      <c r="BB109" s="782"/>
      <c r="BC109" s="782"/>
      <c r="BD109" s="782"/>
      <c r="BE109" s="782"/>
      <c r="BF109" s="782"/>
      <c r="BG109" s="782"/>
      <c r="BH109" s="782"/>
      <c r="BI109" s="782"/>
      <c r="BJ109" s="782"/>
      <c r="BK109" s="782"/>
      <c r="BL109" s="782"/>
      <c r="BM109" s="128"/>
    </row>
    <row r="110" spans="1:65">
      <c r="AF110" s="1183">
        <f>+AF109/'Quarterly Financial Model '!AF19</f>
        <v>0.68095864040388232</v>
      </c>
      <c r="AK110" s="1183">
        <f>+AK109/'Quarterly Financial Model '!AK19</f>
        <v>0.74928216942587444</v>
      </c>
      <c r="AP110" s="1183">
        <f>+AP109/'Quarterly Financial Model '!AP19</f>
        <v>0.76393170642901431</v>
      </c>
    </row>
    <row r="111" spans="1:65">
      <c r="AF111" s="1183">
        <f>+AF109/AF84</f>
        <v>0.19243685376082503</v>
      </c>
      <c r="AK111" s="1183">
        <f>+AK109/AK84</f>
        <v>0.22452989054167835</v>
      </c>
      <c r="AL111" s="1178"/>
      <c r="AM111" s="1178"/>
      <c r="AN111" s="1178"/>
      <c r="AO111" s="1178"/>
      <c r="AP111" s="1183">
        <f>+AP109/AP84</f>
        <v>0.23352011092205269</v>
      </c>
    </row>
    <row r="113" spans="2:46">
      <c r="B113" t="s">
        <v>456</v>
      </c>
      <c r="V113" t="s">
        <v>457</v>
      </c>
    </row>
    <row r="116" spans="2:46">
      <c r="AQ116" s="1185"/>
      <c r="AS116" s="1185"/>
      <c r="AT116" s="1185"/>
    </row>
    <row r="117" spans="2:46">
      <c r="AQ117" s="1185"/>
      <c r="AS117" s="1185"/>
      <c r="AT117" s="1185"/>
    </row>
  </sheetData>
  <pageMargins left="0.24" right="0.24" top="0.34" bottom="0.3" header="0.2" footer="0.24"/>
  <pageSetup scale="38" fitToHeight="2" orientation="landscape" r:id="rId1"/>
  <headerFooter alignWithMargins="0"/>
  <ignoredErrors>
    <ignoredError sqref="AP67:AP82 AU67:AU79 AO76 AZ78 AT16:AT19 AT82:AT86 AT67 AU81:AU83 AT25 AZ8:AZ25 AU8:AU25 AP8:AP25 AZ28 AU31:BE32 BE60:BJ62 BE40:BJ42 BE8:BJ13 BE15:BJ22 BE14 BG14:BJ14 BE55:BJ56 BE54 BG54 BJ54 BE44:BJ52 BE43 BG43:BJ43 BE64:BJ78 BE63 BG63:BJ63 BE24:BJ29 BE23 BG23:BJ23 BE53 BJ53 AT69:AT70" formula="1"/>
    <ignoredError sqref="AZ67:AZ77 AZ48:AZ52" evalError="1" formula="1"/>
    <ignoredError sqref="AZ41:AZ47 AZ53:AZ66" evalError="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2:L49"/>
  <sheetViews>
    <sheetView showGridLines="0" zoomScale="85" workbookViewId="0">
      <selection activeCell="J25" sqref="J25:L25"/>
    </sheetView>
  </sheetViews>
  <sheetFormatPr defaultRowHeight="12.75"/>
  <cols>
    <col min="1" max="1" width="3.28515625" customWidth="1"/>
    <col min="2" max="2" width="33.85546875" customWidth="1"/>
    <col min="3" max="3" width="9.5703125" customWidth="1"/>
    <col min="7" max="7" width="5.28515625" customWidth="1"/>
    <col min="8" max="8" width="39.140625" customWidth="1"/>
    <col min="9" max="9" width="10.7109375" customWidth="1"/>
    <col min="10" max="10" width="11" customWidth="1"/>
    <col min="11" max="12" width="10.140625" customWidth="1"/>
  </cols>
  <sheetData>
    <row r="2" spans="1:12">
      <c r="B2" s="1" t="s">
        <v>0</v>
      </c>
      <c r="C2" s="2"/>
      <c r="D2" s="3"/>
      <c r="E2" s="3"/>
      <c r="F2" s="3"/>
      <c r="G2" s="4"/>
      <c r="I2" s="2"/>
      <c r="L2" s="1212"/>
    </row>
    <row r="3" spans="1:12">
      <c r="B3" s="1" t="s">
        <v>1</v>
      </c>
      <c r="C3" s="2"/>
      <c r="D3" s="3"/>
      <c r="E3" s="3"/>
      <c r="F3" s="3"/>
      <c r="G3" s="4"/>
      <c r="I3" s="2"/>
      <c r="L3" s="4"/>
    </row>
    <row r="4" spans="1:12">
      <c r="B4" s="1" t="s">
        <v>2</v>
      </c>
      <c r="C4" s="2"/>
      <c r="D4" s="3"/>
      <c r="E4" s="3"/>
      <c r="F4" s="3"/>
      <c r="G4" s="4"/>
      <c r="I4" s="2"/>
      <c r="L4" s="4"/>
    </row>
    <row r="5" spans="1:12">
      <c r="B5" s="1" t="s">
        <v>3</v>
      </c>
      <c r="C5" s="2"/>
      <c r="D5" s="3"/>
      <c r="E5" s="3"/>
      <c r="F5" s="3"/>
      <c r="G5" s="4"/>
      <c r="I5" s="2"/>
      <c r="L5" s="4"/>
    </row>
    <row r="6" spans="1:12" ht="15.75">
      <c r="B6" s="5"/>
      <c r="C6" s="6"/>
      <c r="D6" s="7"/>
      <c r="E6" s="7"/>
      <c r="F6" s="7"/>
      <c r="G6" s="7"/>
      <c r="H6" s="7"/>
      <c r="I6" s="6"/>
      <c r="J6" s="6"/>
      <c r="K6" s="6"/>
      <c r="L6" s="8"/>
    </row>
    <row r="7" spans="1:12" ht="28.5" customHeight="1">
      <c r="A7" s="9"/>
      <c r="B7" s="10" t="s">
        <v>4</v>
      </c>
      <c r="C7" s="11"/>
      <c r="D7" s="12"/>
      <c r="E7" s="12"/>
      <c r="F7" s="12"/>
      <c r="G7" s="12"/>
      <c r="H7" s="12"/>
      <c r="I7" s="9"/>
      <c r="J7" s="9"/>
      <c r="K7" s="9"/>
      <c r="L7" s="13"/>
    </row>
    <row r="8" spans="1:12" ht="15.75">
      <c r="B8" s="14"/>
      <c r="C8" s="6"/>
      <c r="D8" s="7"/>
      <c r="E8" s="7"/>
      <c r="F8" s="7"/>
      <c r="G8" s="7"/>
      <c r="H8" s="7"/>
      <c r="I8" s="6"/>
      <c r="J8" s="6"/>
      <c r="K8" s="6"/>
      <c r="L8" s="15"/>
    </row>
    <row r="9" spans="1:12" ht="18">
      <c r="B9" s="16" t="s">
        <v>5</v>
      </c>
      <c r="C9" s="16"/>
      <c r="D9" s="16"/>
      <c r="E9" s="16"/>
      <c r="F9" s="16"/>
      <c r="G9" s="16"/>
      <c r="H9" s="16"/>
      <c r="I9" s="16"/>
      <c r="J9" s="16"/>
      <c r="K9" s="16"/>
      <c r="L9" s="16"/>
    </row>
    <row r="10" spans="1:12" ht="6.75" customHeight="1">
      <c r="A10" s="17"/>
      <c r="B10" s="18"/>
      <c r="C10" s="18"/>
      <c r="D10" s="18"/>
      <c r="E10" s="18"/>
      <c r="F10" s="18"/>
      <c r="G10" s="18"/>
      <c r="H10" s="18"/>
      <c r="I10" s="18"/>
      <c r="J10" s="18"/>
      <c r="K10" s="18"/>
      <c r="L10" s="18"/>
    </row>
    <row r="11" spans="1:12">
      <c r="A11" s="17"/>
      <c r="B11" s="19" t="s">
        <v>6</v>
      </c>
      <c r="C11" s="18"/>
      <c r="D11" s="18"/>
      <c r="E11" s="18"/>
      <c r="F11" s="18"/>
      <c r="G11" s="18"/>
      <c r="H11" s="19" t="s">
        <v>7</v>
      </c>
      <c r="I11" s="18"/>
      <c r="J11" s="18"/>
      <c r="K11" s="18"/>
      <c r="L11" s="18"/>
    </row>
    <row r="12" spans="1:12">
      <c r="B12" s="20"/>
      <c r="C12" s="21" t="s">
        <v>9</v>
      </c>
      <c r="D12" s="21" t="s">
        <v>404</v>
      </c>
      <c r="E12" s="21" t="s">
        <v>10</v>
      </c>
      <c r="F12" s="21" t="s">
        <v>83</v>
      </c>
      <c r="G12" s="18"/>
      <c r="H12" s="22">
        <v>2018</v>
      </c>
      <c r="I12" s="23" t="s">
        <v>11</v>
      </c>
      <c r="J12" s="1303" t="s">
        <v>12</v>
      </c>
      <c r="K12" s="1304"/>
      <c r="L12" s="1305"/>
    </row>
    <row r="13" spans="1:12">
      <c r="B13" s="24" t="s">
        <v>13</v>
      </c>
      <c r="C13" s="25"/>
      <c r="D13" s="26"/>
      <c r="E13" s="26"/>
      <c r="F13" s="26"/>
      <c r="G13" s="27"/>
      <c r="H13" s="28" t="s">
        <v>14</v>
      </c>
      <c r="I13" s="29">
        <f>I19-I15</f>
        <v>3545.6654176153666</v>
      </c>
      <c r="J13" s="30"/>
      <c r="K13" s="31"/>
      <c r="L13" s="32"/>
    </row>
    <row r="14" spans="1:12">
      <c r="B14" s="28" t="s">
        <v>15</v>
      </c>
      <c r="C14" s="33">
        <f>+'Segment Detail '!AK8</f>
        <v>1335.5940000000001</v>
      </c>
      <c r="D14" s="33">
        <f>+'Segment Detail '!AP8</f>
        <v>1545.8789999999999</v>
      </c>
      <c r="E14" s="33">
        <f>+'Segment Detail '!AU8</f>
        <v>1787.3539999999998</v>
      </c>
      <c r="F14" s="33">
        <f>+'Segment Detail '!AZ8+'Segment Detail '!AZ28+'Segment Detail '!AZ48</f>
        <v>3545.6654176153666</v>
      </c>
      <c r="G14" s="27"/>
      <c r="H14" s="34" t="s">
        <v>16</v>
      </c>
      <c r="I14" s="1300" t="s">
        <v>392</v>
      </c>
      <c r="J14" s="36"/>
      <c r="K14" s="37"/>
      <c r="L14" s="38"/>
    </row>
    <row r="15" spans="1:12">
      <c r="B15" s="39" t="s">
        <v>16</v>
      </c>
      <c r="C15" s="40">
        <f>+'Segment Detail '!AK9</f>
        <v>0.25223755491924571</v>
      </c>
      <c r="D15" s="40">
        <f>+'Segment Detail '!AP9</f>
        <v>0.15744679895237623</v>
      </c>
      <c r="E15" s="40">
        <f>+'Segment Detail '!AU9</f>
        <v>0.156205627995464</v>
      </c>
      <c r="F15" s="40">
        <f>+'Segment Detail '!AZ9</f>
        <v>0.32009186773597564</v>
      </c>
      <c r="G15" s="27"/>
      <c r="H15" s="28" t="s">
        <v>17</v>
      </c>
      <c r="I15" s="29">
        <f>+'Segment Detail '!AZ68</f>
        <v>333.2024194</v>
      </c>
      <c r="J15" s="41"/>
      <c r="K15" s="42"/>
      <c r="L15" s="43"/>
    </row>
    <row r="16" spans="1:12">
      <c r="B16" s="39" t="s">
        <v>18</v>
      </c>
      <c r="C16" s="44">
        <f>+'Segment Detail '!AK97</f>
        <v>0.79417578026515456</v>
      </c>
      <c r="D16" s="44">
        <f>+'Segment Detail '!AP97</f>
        <v>0.81158686050375872</v>
      </c>
      <c r="E16" s="44">
        <f>+'Segment Detail '!AU97</f>
        <v>0.84177643229068544</v>
      </c>
      <c r="F16" s="44">
        <f>+'Segment Detail '!AZ97</f>
        <v>0.60828870157661397</v>
      </c>
      <c r="G16" s="27"/>
      <c r="H16" s="34" t="s">
        <v>16</v>
      </c>
      <c r="I16" s="35">
        <f>+'Segment Detail '!AZ69</f>
        <v>-8.2021580078461831E-3</v>
      </c>
      <c r="J16" s="45"/>
      <c r="K16" s="37"/>
      <c r="L16" s="46"/>
    </row>
    <row r="17" spans="2:12">
      <c r="B17" s="28"/>
      <c r="C17" s="47"/>
      <c r="D17" s="47"/>
      <c r="E17" s="47"/>
      <c r="F17" s="47"/>
      <c r="G17" s="27"/>
      <c r="H17" s="34"/>
      <c r="I17" s="29"/>
      <c r="J17" s="45"/>
      <c r="K17" s="37"/>
      <c r="L17" s="46"/>
    </row>
    <row r="18" spans="2:12">
      <c r="B18" s="28" t="s">
        <v>17</v>
      </c>
      <c r="C18" s="33">
        <f>'Segment Detail '!AK68</f>
        <v>346.142</v>
      </c>
      <c r="D18" s="33">
        <f>'Segment Detail '!AP68</f>
        <v>358.88200000000001</v>
      </c>
      <c r="E18" s="33">
        <f>'Segment Detail '!AU68</f>
        <v>335.95799999999997</v>
      </c>
      <c r="F18" s="33">
        <f>'Segment Detail '!AZ68</f>
        <v>333.2024194</v>
      </c>
      <c r="G18" s="27"/>
      <c r="H18" s="28"/>
      <c r="I18" s="35"/>
      <c r="J18" s="45"/>
      <c r="K18" s="45"/>
      <c r="L18" s="46"/>
    </row>
    <row r="19" spans="2:12">
      <c r="B19" s="39" t="s">
        <v>16</v>
      </c>
      <c r="C19" s="40">
        <f>+'Segment Detail '!AK69</f>
        <v>3.027037967449675E-2</v>
      </c>
      <c r="D19" s="40">
        <f>+'Segment Detail '!AP69</f>
        <v>3.6805704017426333E-2</v>
      </c>
      <c r="E19" s="40">
        <f>+'Segment Detail '!AU69</f>
        <v>-6.3876148706260127E-2</v>
      </c>
      <c r="F19" s="40">
        <f>+'Segment Detail '!AZ69</f>
        <v>-8.2021580078461831E-3</v>
      </c>
      <c r="G19" s="27"/>
      <c r="H19" s="48" t="s">
        <v>19</v>
      </c>
      <c r="I19" s="49">
        <f>+'Quarterly Financial Model '!AZ15</f>
        <v>3878.8678370153666</v>
      </c>
      <c r="J19" s="1306" t="s">
        <v>460</v>
      </c>
      <c r="K19" s="1307"/>
      <c r="L19" s="1308"/>
    </row>
    <row r="20" spans="2:12">
      <c r="B20" s="39" t="s">
        <v>18</v>
      </c>
      <c r="C20" s="44">
        <f>+'Segment Detail '!AK98</f>
        <v>0.20582421973484541</v>
      </c>
      <c r="D20" s="44">
        <f>+'Segment Detail '!AP98</f>
        <v>0.18841313949624128</v>
      </c>
      <c r="E20" s="44">
        <f>+'Segment Detail '!AU98</f>
        <v>0.15822356770931451</v>
      </c>
      <c r="F20" s="44">
        <f>+'Segment Detail '!AZ98</f>
        <v>8.5901977948386582E-2</v>
      </c>
      <c r="G20" s="27"/>
      <c r="H20" s="28" t="s">
        <v>20</v>
      </c>
      <c r="I20" s="50">
        <f>+'Quarterly Financial Model '!AZ16</f>
        <v>0.8268006948650819</v>
      </c>
      <c r="J20" s="51"/>
      <c r="K20" s="52"/>
      <c r="L20" s="53"/>
    </row>
    <row r="21" spans="2:12">
      <c r="B21" s="39"/>
      <c r="C21" s="54"/>
      <c r="D21" s="54"/>
      <c r="E21" s="54"/>
      <c r="F21" s="54"/>
      <c r="G21" s="27"/>
      <c r="H21" s="28"/>
      <c r="I21" s="35"/>
      <c r="J21" s="36"/>
      <c r="K21" s="36"/>
      <c r="L21" s="38"/>
    </row>
    <row r="22" spans="2:12">
      <c r="B22" s="55" t="s">
        <v>19</v>
      </c>
      <c r="C22" s="56">
        <f>+'Quarterly Financial Model '!AK15</f>
        <v>1681.7359999999999</v>
      </c>
      <c r="D22" s="56">
        <f>+'Quarterly Financial Model '!AP15</f>
        <v>1904.761</v>
      </c>
      <c r="E22" s="56">
        <f>+'Quarterly Financial Model '!AU15</f>
        <v>2123.3119999999999</v>
      </c>
      <c r="F22" s="56">
        <f>+'Quarterly Financial Model '!AZ15</f>
        <v>3878.8678370153666</v>
      </c>
      <c r="G22" s="27"/>
      <c r="H22" s="48" t="s">
        <v>21</v>
      </c>
      <c r="I22" s="57">
        <f>+'Quarterly Financial Model '!AZ38</f>
        <v>1876.9551548915363</v>
      </c>
      <c r="J22" s="58"/>
      <c r="K22" s="59"/>
      <c r="L22" s="60"/>
    </row>
    <row r="23" spans="2:12">
      <c r="B23" s="61" t="s">
        <v>16</v>
      </c>
      <c r="C23" s="62">
        <f>+'Quarterly Financial Model '!AK16</f>
        <v>0.19906626415826167</v>
      </c>
      <c r="D23" s="62">
        <f>+'Quarterly Financial Model '!AP16</f>
        <v>0.13261593971943286</v>
      </c>
      <c r="E23" s="62">
        <f>+'Quarterly Financial Model '!AU16</f>
        <v>0.11473932950118138</v>
      </c>
      <c r="F23" s="62">
        <f>+'Quarterly Financial Model '!AZ16</f>
        <v>0.8268006948650819</v>
      </c>
      <c r="G23" s="27"/>
      <c r="H23" s="28" t="s">
        <v>22</v>
      </c>
      <c r="I23" s="35">
        <f>+'Quarterly Financial Model '!AZ40</f>
        <v>0.48389252579839842</v>
      </c>
      <c r="J23" s="51"/>
      <c r="K23" s="52"/>
      <c r="L23" s="53"/>
    </row>
    <row r="24" spans="2:12">
      <c r="B24" s="28"/>
      <c r="C24" s="63"/>
      <c r="D24" s="63"/>
      <c r="E24" s="63"/>
      <c r="F24" s="63"/>
      <c r="G24" s="27"/>
      <c r="H24" s="28"/>
      <c r="I24" s="63"/>
      <c r="J24" s="18"/>
      <c r="K24" s="18"/>
      <c r="L24" s="64"/>
    </row>
    <row r="25" spans="2:12">
      <c r="B25" s="28" t="s">
        <v>21</v>
      </c>
      <c r="C25" s="33">
        <f>+'Quarterly Financial Model '!AK38</f>
        <v>804.42699999999991</v>
      </c>
      <c r="D25" s="33">
        <f>+'Quarterly Financial Model '!AP38</f>
        <v>911.99699999999996</v>
      </c>
      <c r="E25" s="33">
        <f>+'Quarterly Financial Model '!AU38</f>
        <v>1018.0410000000001</v>
      </c>
      <c r="F25" s="33">
        <f>+'Quarterly Financial Model '!AZ38</f>
        <v>1876.9551548915363</v>
      </c>
      <c r="G25" s="27"/>
      <c r="H25" s="48" t="s">
        <v>23</v>
      </c>
      <c r="I25" s="65">
        <f>+'Quarterly Financial Model '!AZ72</f>
        <v>3.7152280617203695</v>
      </c>
      <c r="J25" s="1309" t="s">
        <v>461</v>
      </c>
      <c r="K25" s="1310"/>
      <c r="L25" s="1311"/>
    </row>
    <row r="26" spans="2:12">
      <c r="B26" s="66" t="s">
        <v>24</v>
      </c>
      <c r="C26" s="40">
        <f>+'Quarterly Financial Model '!AK40</f>
        <v>0.47833131954123592</v>
      </c>
      <c r="D26" s="40">
        <f>+'Quarterly Financial Model '!AP40</f>
        <v>0.47879865242935987</v>
      </c>
      <c r="E26" s="40">
        <f>+'Quarterly Financial Model '!AU40</f>
        <v>0.4794589772958473</v>
      </c>
      <c r="F26" s="40">
        <f>+'Quarterly Financial Model '!AZ40</f>
        <v>0.48389252579839842</v>
      </c>
      <c r="G26" s="27"/>
      <c r="H26" s="28"/>
      <c r="I26" s="35"/>
      <c r="J26" s="67"/>
      <c r="K26" s="68"/>
      <c r="L26" s="69"/>
    </row>
    <row r="27" spans="2:12">
      <c r="B27" s="28" t="s">
        <v>25</v>
      </c>
      <c r="C27" s="33">
        <f>+'Quarterly Financial Model '!AK48</f>
        <v>718.92599999999993</v>
      </c>
      <c r="D27" s="33">
        <f>+'Quarterly Financial Model '!AP48</f>
        <v>832.76499999999999</v>
      </c>
      <c r="E27" s="33">
        <f>+'Quarterly Financial Model '!AU48</f>
        <v>917.39700000000005</v>
      </c>
      <c r="F27" s="33">
        <f>+'Quarterly Financial Model '!AZ48</f>
        <v>1712.1032718183833</v>
      </c>
      <c r="G27" s="27"/>
      <c r="H27" s="63"/>
      <c r="I27" s="27"/>
      <c r="J27" s="28"/>
      <c r="K27" s="27"/>
      <c r="L27" s="70"/>
    </row>
    <row r="28" spans="2:12">
      <c r="B28" s="66" t="s">
        <v>26</v>
      </c>
      <c r="C28" s="40">
        <f>+'Quarterly Financial Model '!AK50</f>
        <v>0.42749040277427608</v>
      </c>
      <c r="D28" s="40">
        <f>+'Quarterly Financial Model '!AP50</f>
        <v>0.43720183267087054</v>
      </c>
      <c r="E28" s="40">
        <f>+'Quarterly Financial Model '!AU50</f>
        <v>0.43205944298341464</v>
      </c>
      <c r="F28" s="40">
        <f>+'Quarterly Financial Model '!AZ50</f>
        <v>0.44139252579839849</v>
      </c>
      <c r="G28" s="27"/>
      <c r="H28" s="63"/>
      <c r="I28" s="71"/>
      <c r="J28" s="72"/>
      <c r="K28" s="73"/>
      <c r="L28" s="74"/>
    </row>
    <row r="29" spans="2:12">
      <c r="B29" s="28"/>
      <c r="C29" s="63"/>
      <c r="D29" s="63"/>
      <c r="E29" s="63"/>
      <c r="F29" s="63"/>
      <c r="G29" s="27"/>
      <c r="H29" s="75" t="s">
        <v>27</v>
      </c>
      <c r="I29" s="76"/>
      <c r="J29" s="77"/>
      <c r="K29" s="78"/>
      <c r="L29" s="79"/>
    </row>
    <row r="30" spans="2:12">
      <c r="B30" s="55" t="s">
        <v>28</v>
      </c>
      <c r="C30" s="80">
        <f>+'Quarterly Financial Model '!AK72</f>
        <v>2.2448196125842745</v>
      </c>
      <c r="D30" s="80">
        <f>+'Quarterly Financial Model '!AP72</f>
        <v>2.7260041872535523</v>
      </c>
      <c r="E30" s="80">
        <f>+'Quarterly Financial Model '!AU72</f>
        <v>3.3734711201488001</v>
      </c>
      <c r="F30" s="80">
        <f>+'Quarterly Financial Model '!AZ72</f>
        <v>3.7152280617203695</v>
      </c>
      <c r="G30" s="27"/>
      <c r="H30" s="27"/>
      <c r="I30" s="27"/>
      <c r="J30" s="27"/>
      <c r="K30" s="27"/>
      <c r="L30" s="27"/>
    </row>
    <row r="31" spans="2:12">
      <c r="B31" s="81" t="s">
        <v>16</v>
      </c>
      <c r="C31" s="82">
        <f>+'Quarterly Financial Model '!AK73</f>
        <v>0.19857540913335292</v>
      </c>
      <c r="D31" s="83">
        <f>+'Quarterly Financial Model '!AP73</f>
        <v>0.2143533368880941</v>
      </c>
      <c r="E31" s="83">
        <f>+'Quarterly Financial Model '!AU73</f>
        <v>0.23751501774014905</v>
      </c>
      <c r="F31" s="83">
        <f>+'Quarterly Financial Model '!AZ73</f>
        <v>0.10130720833219842</v>
      </c>
      <c r="G31" s="27"/>
      <c r="H31" s="27"/>
      <c r="I31" s="27"/>
      <c r="J31" s="27"/>
      <c r="K31" s="27"/>
      <c r="L31" s="27"/>
    </row>
    <row r="32" spans="2:12">
      <c r="B32" s="28"/>
      <c r="C32" s="63"/>
      <c r="D32" s="63"/>
      <c r="E32" s="63"/>
      <c r="F32" s="63"/>
      <c r="G32" s="27"/>
      <c r="H32" s="84" t="s">
        <v>29</v>
      </c>
      <c r="I32" s="27"/>
      <c r="J32" s="27"/>
      <c r="K32" s="27"/>
      <c r="L32" s="85"/>
    </row>
    <row r="33" spans="2:12">
      <c r="B33" s="28" t="s">
        <v>30</v>
      </c>
      <c r="C33" s="33">
        <f>+'Quarterly Financial Model '!AK168</f>
        <v>-84.73</v>
      </c>
      <c r="D33" s="33">
        <f>+'Quarterly Financial Model '!AP168</f>
        <v>-118.194</v>
      </c>
      <c r="E33" s="33">
        <f>+'Quarterly Financial Model '!AU168</f>
        <v>-110.80500000000001</v>
      </c>
      <c r="F33" s="33">
        <f>+'Quarterly Financial Model '!AZ168</f>
        <v>-213.33773103584517</v>
      </c>
      <c r="G33" s="27"/>
      <c r="H33" s="20"/>
      <c r="I33" s="21" t="s">
        <v>31</v>
      </c>
      <c r="J33" s="21" t="s">
        <v>410</v>
      </c>
      <c r="K33" s="21" t="s">
        <v>411</v>
      </c>
      <c r="L33" s="21" t="s">
        <v>414</v>
      </c>
    </row>
    <row r="34" spans="2:12">
      <c r="B34" s="39" t="s">
        <v>32</v>
      </c>
      <c r="C34" s="40">
        <f>+'Portfolio Manager''s Snapshot'!C33/'Portfolio Manager''s Snapshot'!C22</f>
        <v>-5.0382461932193881E-2</v>
      </c>
      <c r="D34" s="40">
        <f>+'Portfolio Manager''s Snapshot'!D33/'Portfolio Manager''s Snapshot'!D22</f>
        <v>-6.2051879474642753E-2</v>
      </c>
      <c r="E34" s="40">
        <f>+'Portfolio Manager''s Snapshot'!E33/'Portfolio Manager''s Snapshot'!E22</f>
        <v>-5.2184982706262671E-2</v>
      </c>
      <c r="F34" s="40">
        <f>+'Portfolio Manager''s Snapshot'!F33/'Portfolio Manager''s Snapshot'!F22</f>
        <v>-5.5E-2</v>
      </c>
      <c r="G34" s="27"/>
      <c r="H34" s="86"/>
      <c r="I34" s="87"/>
      <c r="J34" s="87"/>
      <c r="K34" s="87"/>
      <c r="L34" s="87"/>
    </row>
    <row r="35" spans="2:12">
      <c r="B35" s="88" t="s">
        <v>33</v>
      </c>
      <c r="C35" s="89">
        <f>+'DCF Analysis'!G51</f>
        <v>770.31846714395192</v>
      </c>
      <c r="D35" s="89">
        <f>+'DCF Analysis'!L51</f>
        <v>1803.2573495663951</v>
      </c>
      <c r="E35" s="89">
        <f>+'DCF Analysis'!M51</f>
        <v>2275.7533692064549</v>
      </c>
      <c r="F35" s="89">
        <f>+'DCF Analysis'!N51</f>
        <v>2453.3544977871638</v>
      </c>
      <c r="G35" s="27"/>
      <c r="H35" s="90" t="s">
        <v>34</v>
      </c>
      <c r="I35" s="91">
        <f>+'Segment Detail '!AM11</f>
        <v>5156</v>
      </c>
      <c r="J35" s="91">
        <f>+'Segment Detail '!AN11</f>
        <v>5241</v>
      </c>
      <c r="K35" s="91">
        <f>+'Segment Detail '!AO11</f>
        <v>5711</v>
      </c>
      <c r="L35" s="91">
        <f>+'Segment Detail '!AQ11</f>
        <v>5341</v>
      </c>
    </row>
    <row r="36" spans="2:12">
      <c r="B36" s="28" t="s">
        <v>35</v>
      </c>
      <c r="C36" s="92">
        <f>+C35/'Quarterly Financial Model '!AK76</f>
        <v>3.8373691891773229</v>
      </c>
      <c r="D36" s="92">
        <f>+D35/'Quarterly Financial Model '!AP76</f>
        <v>9.1463662195783684</v>
      </c>
      <c r="E36" s="92">
        <f>+E35/'Quarterly Financial Model '!AU76</f>
        <v>11.974501609037985</v>
      </c>
      <c r="F36" s="92">
        <f>+F35/'Quarterly Financial Model '!AZ76</f>
        <v>7.7204090459821915</v>
      </c>
      <c r="G36" s="27"/>
      <c r="H36" s="66" t="s">
        <v>36</v>
      </c>
      <c r="I36" s="93">
        <f>+'Segment Detail '!AM12</f>
        <v>8.8452607135317773E-2</v>
      </c>
      <c r="J36" s="93">
        <f>+'Segment Detail '!AN12</f>
        <v>0.10499683744465527</v>
      </c>
      <c r="K36" s="93">
        <f>+'Segment Detail '!AO12</f>
        <v>0.12598580441640372</v>
      </c>
      <c r="L36" s="93">
        <f>+'Segment Detail '!AQ12</f>
        <v>0.10191871260573548</v>
      </c>
    </row>
    <row r="37" spans="2:12">
      <c r="B37" s="28"/>
      <c r="C37" s="63"/>
      <c r="D37" s="63"/>
      <c r="E37" s="63"/>
      <c r="F37" s="63"/>
      <c r="G37" s="27"/>
      <c r="H37" s="66"/>
      <c r="I37" s="94"/>
      <c r="J37" s="94"/>
      <c r="K37" s="94"/>
      <c r="L37" s="94"/>
    </row>
    <row r="38" spans="2:12">
      <c r="B38" s="88" t="s">
        <v>37</v>
      </c>
      <c r="C38" s="89">
        <f>+'Quarterly Financial Model '!AK221</f>
        <v>6465.4259999999995</v>
      </c>
      <c r="D38" s="89">
        <f>+'Quarterly Financial Model '!AP221</f>
        <v>7044.0070000000005</v>
      </c>
      <c r="E38" s="89">
        <f>+'Quarterly Financial Model '!AU221</f>
        <v>8666.973</v>
      </c>
      <c r="F38" s="89">
        <f>+'Quarterly Financial Model '!AZ221</f>
        <v>12943.521132192105</v>
      </c>
      <c r="G38" s="27"/>
      <c r="H38" s="90" t="s">
        <v>38</v>
      </c>
      <c r="I38" s="91">
        <f>+'Segment Detail '!AM71</f>
        <v>1027</v>
      </c>
      <c r="J38" s="91">
        <f>+'Segment Detail '!AN71</f>
        <v>1028</v>
      </c>
      <c r="K38" s="91">
        <f>+'Segment Detail '!AO71</f>
        <v>989</v>
      </c>
      <c r="L38" s="91">
        <f>+'Segment Detail '!AQ71</f>
        <v>934</v>
      </c>
    </row>
    <row r="39" spans="2:12">
      <c r="B39" s="28"/>
      <c r="C39" s="63"/>
      <c r="D39" s="63"/>
      <c r="E39" s="63"/>
      <c r="F39" s="63"/>
      <c r="G39" s="27"/>
      <c r="H39" s="66" t="s">
        <v>36</v>
      </c>
      <c r="I39" s="93">
        <f>+'Segment Detail '!AM72</f>
        <v>-3.8797284190106307E-3</v>
      </c>
      <c r="J39" s="93">
        <f>+'Segment Detail '!AN72</f>
        <v>-4.8402710551790351E-3</v>
      </c>
      <c r="K39" s="93">
        <f>+'Segment Detail '!AO72</f>
        <v>-2.2727272727272707E-2</v>
      </c>
      <c r="L39" s="93">
        <f>+'Segment Detail '!AQ72</f>
        <v>-4.0082219938335051E-2</v>
      </c>
    </row>
    <row r="40" spans="2:12">
      <c r="B40" s="28" t="s">
        <v>39</v>
      </c>
      <c r="C40" s="33">
        <f>+'Quarterly Financial Model '!AK255</f>
        <v>3089.8710000000001</v>
      </c>
      <c r="D40" s="33">
        <f>+'Quarterly Financial Model '!AP255</f>
        <v>3241.8149999999996</v>
      </c>
      <c r="E40" s="33">
        <f>+'Quarterly Financial Model '!AU255</f>
        <v>5706.7449999999999</v>
      </c>
      <c r="F40" s="33">
        <f>+'Quarterly Financial Model '!AZ255</f>
        <v>8556.7450000000008</v>
      </c>
      <c r="G40" s="27"/>
      <c r="H40" s="95"/>
      <c r="I40" s="1211"/>
      <c r="J40" s="96"/>
      <c r="K40" s="96"/>
      <c r="L40" s="96"/>
    </row>
    <row r="41" spans="2:12">
      <c r="B41" s="28" t="s">
        <v>40</v>
      </c>
      <c r="C41" s="33"/>
      <c r="D41" s="33"/>
      <c r="E41" s="33"/>
      <c r="F41" s="33"/>
      <c r="G41" s="27"/>
      <c r="H41" s="97"/>
      <c r="I41" s="6"/>
      <c r="J41" s="6"/>
      <c r="K41" s="6"/>
      <c r="L41" s="6"/>
    </row>
    <row r="42" spans="2:12">
      <c r="B42" s="88" t="s">
        <v>41</v>
      </c>
      <c r="C42" s="89">
        <f>+'Quarterly Financial Model '!AK241</f>
        <v>5240.3600000000006</v>
      </c>
      <c r="D42" s="89">
        <f>+'Quarterly Financial Model '!AP241</f>
        <v>5436.7179999999998</v>
      </c>
      <c r="E42" s="89">
        <f>+'Quarterly Financial Model '!AU241</f>
        <v>8066.3190000000004</v>
      </c>
      <c r="F42" s="89">
        <f>+'Quarterly Financial Model '!AZ241</f>
        <v>11638.933521255884</v>
      </c>
      <c r="G42" s="27"/>
    </row>
    <row r="43" spans="2:12">
      <c r="B43" s="98" t="s">
        <v>42</v>
      </c>
      <c r="C43" s="99">
        <f>+'Quarterly Financial Model '!AK250</f>
        <v>952.7879999999999</v>
      </c>
      <c r="D43" s="99">
        <f>+'Quarterly Financial Model '!AP250</f>
        <v>1315.665</v>
      </c>
      <c r="E43" s="99">
        <f>+'Quarterly Financial Model '!AU250</f>
        <v>551.76099999999997</v>
      </c>
      <c r="F43" s="99">
        <f>+'Quarterly Financial Model '!AZ250</f>
        <v>1255.6946109362202</v>
      </c>
      <c r="G43" s="27"/>
    </row>
    <row r="49" spans="2:2">
      <c r="B49" s="1183"/>
    </row>
  </sheetData>
  <mergeCells count="3">
    <mergeCell ref="J12:L12"/>
    <mergeCell ref="J19:L19"/>
    <mergeCell ref="J25:L25"/>
  </mergeCells>
  <hyperlinks>
    <hyperlink ref="B5" r:id="rId1"/>
  </hyperlinks>
  <printOptions horizontalCentered="1" verticalCentered="1"/>
  <pageMargins left="0.5" right="0.5" top="0.5" bottom="0.5" header="0.5" footer="0.5"/>
  <pageSetup scale="81" orientation="landscape" r:id="rId2"/>
  <headerFooter alignWithMargins="0"/>
  <drawing r:id="rId3"/>
  <legacyDrawing r:id="rId4"/>
  <controls>
    <mc:AlternateContent xmlns:mc="http://schemas.openxmlformats.org/markup-compatibility/2006">
      <mc:Choice Requires="x14">
        <control shapeId="1025" r:id="rId5" name="ComboBox1">
          <controlPr defaultSize="0" autoLine="0" linkedCell="'DCF Analysis'!$A$6" listFillRange="'DCF Analysis'!$A$7:$A$8" r:id="rId6">
            <anchor moveWithCells="1">
              <from>
                <xdr:col>1</xdr:col>
                <xdr:colOff>1095375</xdr:colOff>
                <xdr:row>6</xdr:row>
                <xdr:rowOff>9525</xdr:rowOff>
              </from>
              <to>
                <xdr:col>3</xdr:col>
                <xdr:colOff>400050</xdr:colOff>
                <xdr:row>7</xdr:row>
                <xdr:rowOff>19050</xdr:rowOff>
              </to>
            </anchor>
          </controlPr>
        </control>
      </mc:Choice>
      <mc:Fallback>
        <control shapeId="1025" r:id="rId5" name="Combo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3"/>
    <pageSetUpPr autoPageBreaks="0" fitToPage="1"/>
  </sheetPr>
  <dimension ref="A1:BN138"/>
  <sheetViews>
    <sheetView showGridLines="0" zoomScale="80" zoomScaleNormal="80" zoomScaleSheetLayoutView="75" workbookViewId="0">
      <pane xSplit="2" ySplit="5" topLeftCell="C6" activePane="bottomRight" state="frozen"/>
      <selection activeCell="J26" sqref="J26"/>
      <selection pane="topRight" activeCell="J26" sqref="J26"/>
      <selection pane="bottomLeft" activeCell="J26" sqref="J26"/>
      <selection pane="bottomRight" activeCell="B4" sqref="B4:BJ46"/>
    </sheetView>
  </sheetViews>
  <sheetFormatPr defaultRowHeight="12.75" outlineLevelCol="1"/>
  <cols>
    <col min="1" max="1" width="3" customWidth="1"/>
    <col min="2" max="2" width="49.7109375" customWidth="1"/>
    <col min="3" max="3" width="10.140625" hidden="1" customWidth="1" outlineLevel="1"/>
    <col min="4" max="6" width="10.7109375" hidden="1" customWidth="1" outlineLevel="1"/>
    <col min="7" max="7" width="10.7109375" hidden="1" customWidth="1" collapsed="1"/>
    <col min="8" max="8" width="8.7109375" hidden="1" customWidth="1" outlineLevel="1"/>
    <col min="9" max="9" width="8.5703125" hidden="1" customWidth="1" outlineLevel="1"/>
    <col min="10" max="10" width="8.85546875" hidden="1" customWidth="1" outlineLevel="1"/>
    <col min="11" max="11" width="8.7109375" hidden="1" customWidth="1" outlineLevel="1"/>
    <col min="12" max="12" width="10" hidden="1" customWidth="1" collapsed="1"/>
    <col min="13" max="16" width="10" hidden="1" customWidth="1" outlineLevel="1"/>
    <col min="17" max="17" width="10" customWidth="1" collapsed="1"/>
    <col min="18" max="21" width="10" hidden="1" customWidth="1" outlineLevel="1"/>
    <col min="22" max="22" width="10" customWidth="1" collapsed="1"/>
    <col min="23" max="26" width="10" hidden="1" customWidth="1" outlineLevel="1"/>
    <col min="27" max="27" width="10" customWidth="1" collapsed="1"/>
    <col min="28" max="31" width="10" hidden="1" customWidth="1" outlineLevel="1"/>
    <col min="32" max="32" width="10" customWidth="1" collapsed="1"/>
    <col min="33" max="36" width="10" hidden="1" customWidth="1" outlineLevel="1"/>
    <col min="37" max="37" width="10" customWidth="1" collapsed="1"/>
    <col min="38" max="41" width="9.85546875" hidden="1" customWidth="1" outlineLevel="1"/>
    <col min="42" max="42" width="9.140625" collapsed="1"/>
    <col min="43" max="46" width="9.85546875" hidden="1" customWidth="1" outlineLevel="1"/>
    <col min="47" max="47" width="9.140625" collapsed="1"/>
    <col min="48" max="51" width="9.85546875" customWidth="1" outlineLevel="1"/>
    <col min="53" max="56" width="9.85546875" hidden="1" customWidth="1" outlineLevel="1"/>
    <col min="57" max="57" width="9.140625" collapsed="1"/>
    <col min="58" max="61" width="9.85546875" hidden="1" customWidth="1" outlineLevel="1"/>
    <col min="62" max="62" width="9.140625" collapsed="1"/>
  </cols>
  <sheetData>
    <row r="1" spans="1:62" ht="18">
      <c r="A1" s="122"/>
      <c r="B1" s="122" t="s">
        <v>292</v>
      </c>
      <c r="C1" s="453"/>
      <c r="D1" s="459"/>
      <c r="E1" s="453"/>
      <c r="F1" s="453"/>
      <c r="G1" s="453"/>
      <c r="H1" s="453"/>
      <c r="I1" s="453"/>
      <c r="J1" s="453"/>
      <c r="K1" s="453"/>
      <c r="L1" s="453"/>
      <c r="M1" s="453"/>
      <c r="N1" s="453"/>
      <c r="O1" s="453"/>
      <c r="P1" s="453"/>
      <c r="Q1" s="453"/>
      <c r="R1" s="453"/>
      <c r="S1" s="453"/>
      <c r="T1" s="453"/>
      <c r="U1" s="453"/>
      <c r="V1" s="453"/>
      <c r="W1" s="453"/>
      <c r="X1" s="453"/>
      <c r="Y1" s="453"/>
      <c r="Z1" s="453"/>
      <c r="AA1" s="453"/>
      <c r="AB1" s="453"/>
      <c r="AC1" s="453"/>
      <c r="AD1" s="453"/>
      <c r="AE1" s="453"/>
      <c r="AF1" s="453"/>
      <c r="AG1" s="453"/>
      <c r="AH1" s="453"/>
      <c r="AI1" s="453"/>
      <c r="AJ1" s="453"/>
      <c r="AK1" s="453"/>
      <c r="AL1" s="453"/>
      <c r="AM1" s="453"/>
      <c r="AN1" s="453"/>
      <c r="AO1" s="453"/>
      <c r="AP1" s="453"/>
      <c r="AQ1" s="453"/>
      <c r="AR1" s="453"/>
      <c r="AS1" s="453"/>
      <c r="AT1" s="453"/>
      <c r="AU1" s="453"/>
      <c r="AV1" s="453"/>
      <c r="AW1" s="453"/>
      <c r="AX1" s="453"/>
      <c r="AY1" s="453"/>
      <c r="AZ1" s="453"/>
      <c r="BA1" s="453"/>
      <c r="BB1" s="453"/>
      <c r="BC1" s="453"/>
      <c r="BD1" s="453"/>
      <c r="BE1" s="453"/>
      <c r="BF1" s="453"/>
      <c r="BG1" s="453"/>
      <c r="BH1" s="453"/>
      <c r="BI1" s="453"/>
      <c r="BJ1" s="453"/>
    </row>
    <row r="2" spans="1:62">
      <c r="A2" s="6"/>
      <c r="B2" s="127" t="s">
        <v>165</v>
      </c>
      <c r="C2" s="806"/>
      <c r="D2" s="806"/>
      <c r="E2" s="806"/>
      <c r="F2" s="806"/>
      <c r="G2" s="807"/>
      <c r="H2" s="806"/>
      <c r="I2" s="806"/>
      <c r="J2" s="806"/>
      <c r="K2" s="806"/>
      <c r="L2" s="807"/>
      <c r="M2" s="806"/>
      <c r="N2" s="806"/>
      <c r="O2" s="806"/>
      <c r="P2" s="806"/>
      <c r="Q2" s="807"/>
      <c r="R2" s="806"/>
      <c r="S2" s="806"/>
      <c r="T2" s="806"/>
      <c r="U2" s="806"/>
      <c r="V2" s="807"/>
      <c r="W2" s="807"/>
      <c r="X2" s="807"/>
      <c r="Y2" s="807"/>
      <c r="Z2" s="807"/>
      <c r="AA2" s="807"/>
      <c r="AB2" s="807"/>
      <c r="AC2" s="807"/>
      <c r="AD2" s="807"/>
      <c r="AE2" s="807"/>
      <c r="AF2" s="807"/>
      <c r="AG2" s="807"/>
      <c r="AH2" s="807"/>
      <c r="AI2" s="807"/>
      <c r="AJ2" s="807"/>
      <c r="AK2" s="807"/>
      <c r="AL2" s="6"/>
      <c r="AM2" s="6"/>
      <c r="AN2" s="6"/>
      <c r="AO2" s="6"/>
      <c r="AP2" s="6"/>
      <c r="AQ2" s="6"/>
      <c r="AR2" s="6"/>
      <c r="AS2" s="6"/>
      <c r="AT2" s="6"/>
      <c r="AU2" s="6"/>
      <c r="AV2" s="6"/>
      <c r="AW2" s="6"/>
      <c r="AX2" s="6"/>
      <c r="AY2" s="6"/>
      <c r="AZ2" s="6"/>
      <c r="BA2" s="6"/>
      <c r="BB2" s="6"/>
      <c r="BC2" s="6"/>
      <c r="BD2" s="6"/>
      <c r="BE2" s="6"/>
      <c r="BF2" s="6"/>
      <c r="BG2" s="6"/>
      <c r="BH2" s="6"/>
      <c r="BI2" s="6"/>
      <c r="BJ2" s="6"/>
    </row>
    <row r="3" spans="1:62">
      <c r="A3" s="6"/>
      <c r="B3" s="808"/>
      <c r="C3" s="806"/>
      <c r="D3" s="806"/>
      <c r="E3" s="806"/>
      <c r="F3" s="806"/>
      <c r="G3" s="807"/>
      <c r="H3" s="806"/>
      <c r="I3" s="806"/>
      <c r="J3" s="806"/>
      <c r="K3" s="806"/>
      <c r="L3" s="807"/>
      <c r="M3" s="806"/>
      <c r="N3" s="806"/>
      <c r="O3" s="806"/>
      <c r="P3" s="806"/>
      <c r="Q3" s="807"/>
      <c r="R3" s="806"/>
      <c r="S3" s="806"/>
      <c r="T3" s="806"/>
      <c r="U3" s="806"/>
      <c r="V3" s="807"/>
      <c r="W3" s="807"/>
      <c r="X3" s="807"/>
      <c r="Y3" s="807"/>
      <c r="Z3" s="807"/>
      <c r="AA3" s="807"/>
      <c r="AB3" s="807"/>
      <c r="AC3" s="807"/>
      <c r="AD3" s="807"/>
      <c r="AE3" s="807"/>
      <c r="AF3" s="807"/>
      <c r="AG3" s="807"/>
      <c r="AH3" s="807"/>
      <c r="AI3" s="807"/>
      <c r="AJ3" s="807"/>
      <c r="AK3" s="807"/>
      <c r="AL3" s="6"/>
      <c r="AM3" s="6"/>
      <c r="AN3" s="6"/>
      <c r="AO3" s="6"/>
      <c r="AP3" s="6"/>
      <c r="AQ3" s="6"/>
      <c r="AR3" s="6"/>
      <c r="AS3" s="6"/>
      <c r="AT3" s="6"/>
      <c r="AU3" s="6"/>
      <c r="AV3" s="6"/>
      <c r="AW3" s="6"/>
      <c r="AX3" s="6"/>
      <c r="AY3" s="6"/>
      <c r="AZ3" s="6"/>
      <c r="BA3" s="6"/>
      <c r="BB3" s="6"/>
      <c r="BC3" s="6"/>
      <c r="BD3" s="6"/>
      <c r="BE3" s="6"/>
      <c r="BF3" s="6"/>
      <c r="BG3" s="6"/>
      <c r="BH3" s="6"/>
      <c r="BI3" s="6"/>
      <c r="BJ3" s="6"/>
    </row>
    <row r="4" spans="1:62" ht="12.75" customHeight="1">
      <c r="A4" s="809"/>
      <c r="B4" s="1312" t="s">
        <v>293</v>
      </c>
      <c r="C4" s="810"/>
      <c r="D4" s="810"/>
      <c r="E4" s="810"/>
      <c r="F4" s="810"/>
      <c r="G4" s="811"/>
      <c r="H4" s="810"/>
      <c r="I4" s="810"/>
      <c r="J4" s="810"/>
      <c r="K4" s="810"/>
      <c r="L4" s="811"/>
      <c r="M4" s="810"/>
      <c r="N4" s="810"/>
      <c r="O4" s="810"/>
      <c r="P4" s="810"/>
      <c r="Q4" s="811"/>
      <c r="R4" s="810"/>
      <c r="S4" s="810"/>
      <c r="T4" s="810"/>
      <c r="U4" s="810"/>
      <c r="V4" s="811"/>
      <c r="W4" s="810"/>
      <c r="X4" s="810"/>
      <c r="Y4" s="810"/>
      <c r="Z4" s="810"/>
      <c r="AA4" s="811"/>
      <c r="AB4" s="810"/>
      <c r="AC4" s="810"/>
      <c r="AD4" s="810"/>
      <c r="AE4" s="810"/>
      <c r="AF4" s="811"/>
      <c r="AG4" s="810"/>
      <c r="AH4" s="810"/>
      <c r="AI4" s="810"/>
      <c r="AJ4" s="810"/>
      <c r="AK4" s="811"/>
      <c r="AL4" s="810"/>
      <c r="AM4" s="810"/>
      <c r="AN4" s="810"/>
      <c r="AO4" s="810"/>
      <c r="AP4" s="811"/>
      <c r="AQ4" s="810"/>
      <c r="AR4" s="810"/>
      <c r="AS4" s="810"/>
      <c r="AT4" s="810"/>
      <c r="AU4" s="811"/>
      <c r="AV4" s="810"/>
      <c r="AW4" s="810"/>
      <c r="AX4" s="810"/>
      <c r="AY4" s="810"/>
      <c r="AZ4" s="811"/>
      <c r="BA4" s="810"/>
      <c r="BB4" s="810"/>
      <c r="BC4" s="810"/>
      <c r="BD4" s="810"/>
      <c r="BE4" s="811"/>
      <c r="BF4" s="810"/>
      <c r="BG4" s="810"/>
      <c r="BH4" s="810"/>
      <c r="BI4" s="810"/>
      <c r="BJ4" s="811"/>
    </row>
    <row r="5" spans="1:62">
      <c r="A5" s="809"/>
      <c r="B5" s="1313"/>
      <c r="C5" s="812" t="str">
        <f>+'Quarterly Financial Model '!C3</f>
        <v>1Q09A</v>
      </c>
      <c r="D5" s="812" t="str">
        <f>+'Quarterly Financial Model '!D3</f>
        <v>2Q09A</v>
      </c>
      <c r="E5" s="812" t="str">
        <f>+'Quarterly Financial Model '!E3</f>
        <v>3Q09A</v>
      </c>
      <c r="F5" s="812" t="str">
        <f>+'Quarterly Financial Model '!F3</f>
        <v>4Q09A</v>
      </c>
      <c r="G5" s="813" t="str">
        <f>+'Quarterly Financial Model '!G3</f>
        <v>2009A</v>
      </c>
      <c r="H5" s="812" t="str">
        <f>+'Quarterly Financial Model '!H3</f>
        <v>1Q10A</v>
      </c>
      <c r="I5" s="812" t="str">
        <f>+'Quarterly Financial Model '!I3</f>
        <v>2Q10A</v>
      </c>
      <c r="J5" s="812" t="str">
        <f>+'Quarterly Financial Model '!J3</f>
        <v>3Q10A</v>
      </c>
      <c r="K5" s="812" t="str">
        <f>+'Quarterly Financial Model '!K3</f>
        <v>4Q10A</v>
      </c>
      <c r="L5" s="813" t="str">
        <f>+'Quarterly Financial Model '!L3</f>
        <v>2010A</v>
      </c>
      <c r="M5" s="812" t="str">
        <f>+'Quarterly Financial Model '!M3</f>
        <v>1Q11A</v>
      </c>
      <c r="N5" s="812" t="str">
        <f>+'Quarterly Financial Model '!N3</f>
        <v>2Q11A</v>
      </c>
      <c r="O5" s="812" t="str">
        <f>+'Quarterly Financial Model '!O3</f>
        <v>3Q11A</v>
      </c>
      <c r="P5" s="812" t="str">
        <f>+'Quarterly Financial Model '!P3</f>
        <v>4Q11A</v>
      </c>
      <c r="Q5" s="813" t="str">
        <f>+'Quarterly Financial Model '!Q3</f>
        <v>2011A</v>
      </c>
      <c r="R5" s="812" t="str">
        <f>+'Quarterly Financial Model '!R3</f>
        <v>1Q12A</v>
      </c>
      <c r="S5" s="812" t="str">
        <f>+'Quarterly Financial Model '!S3</f>
        <v>2Q12A</v>
      </c>
      <c r="T5" s="812" t="str">
        <f>+'Quarterly Financial Model '!T3</f>
        <v>3Q12A</v>
      </c>
      <c r="U5" s="812" t="str">
        <f>+'Quarterly Financial Model '!U3</f>
        <v>4Q12A</v>
      </c>
      <c r="V5" s="813" t="str">
        <f>+'Quarterly Financial Model '!V3</f>
        <v>2012A</v>
      </c>
      <c r="W5" s="812" t="str">
        <f>+'Quarterly Financial Model '!W3</f>
        <v>1Q13A</v>
      </c>
      <c r="X5" s="812" t="str">
        <f>+'Quarterly Financial Model '!X3</f>
        <v>2Q13A</v>
      </c>
      <c r="Y5" s="812" t="str">
        <f>+'Quarterly Financial Model '!Y3</f>
        <v>3Q13A</v>
      </c>
      <c r="Z5" s="812" t="str">
        <f>+'Quarterly Financial Model '!Z3</f>
        <v>4Q13A</v>
      </c>
      <c r="AA5" s="813" t="str">
        <f>+'Quarterly Financial Model '!AA3</f>
        <v>2013A</v>
      </c>
      <c r="AB5" s="812" t="str">
        <f>+'Quarterly Financial Model '!AB3</f>
        <v>1Q14A</v>
      </c>
      <c r="AC5" s="812" t="str">
        <f>+'Quarterly Financial Model '!AC3</f>
        <v>2Q14A</v>
      </c>
      <c r="AD5" s="812" t="str">
        <f>+'Quarterly Financial Model '!AD3</f>
        <v>3Q14A</v>
      </c>
      <c r="AE5" s="812" t="str">
        <f>+'Quarterly Financial Model '!AE3</f>
        <v>4Q14A</v>
      </c>
      <c r="AF5" s="813" t="str">
        <f>+'Quarterly Financial Model '!AF3</f>
        <v>2014A</v>
      </c>
      <c r="AG5" s="812" t="str">
        <f>+'Quarterly Financial Model '!AG3</f>
        <v>1Q15A</v>
      </c>
      <c r="AH5" s="812" t="str">
        <f>+'Quarterly Financial Model '!AH3</f>
        <v>2Q15A</v>
      </c>
      <c r="AI5" s="812" t="str">
        <f>+'Quarterly Financial Model '!AI3</f>
        <v>3Q15A</v>
      </c>
      <c r="AJ5" s="812" t="str">
        <f>+'Quarterly Financial Model '!AJ3</f>
        <v>4Q15A</v>
      </c>
      <c r="AK5" s="813" t="str">
        <f>+'Quarterly Financial Model '!AK3</f>
        <v>2015A</v>
      </c>
      <c r="AL5" s="812" t="str">
        <f>+'Quarterly Financial Model '!AL3</f>
        <v>1Q16A</v>
      </c>
      <c r="AM5" s="812" t="str">
        <f>+'Quarterly Financial Model '!AM3</f>
        <v>2Q16A</v>
      </c>
      <c r="AN5" s="812" t="str">
        <f>+'Quarterly Financial Model '!AN3</f>
        <v>3Q16A</v>
      </c>
      <c r="AO5" s="812" t="str">
        <f>+'Quarterly Financial Model '!AO3</f>
        <v>4Q16A</v>
      </c>
      <c r="AP5" s="813" t="str">
        <f>+'Quarterly Financial Model '!AP3</f>
        <v>2016A</v>
      </c>
      <c r="AQ5" s="812" t="str">
        <f>+'Quarterly Financial Model '!AQ3</f>
        <v>1Q17A</v>
      </c>
      <c r="AR5" s="812" t="str">
        <f>+'Quarterly Financial Model '!AR3</f>
        <v>2Q17A</v>
      </c>
      <c r="AS5" s="812" t="str">
        <f>+'Quarterly Financial Model '!AS3</f>
        <v>3Q17A</v>
      </c>
      <c r="AT5" s="812" t="str">
        <f>+'Quarterly Financial Model '!AT3</f>
        <v>4Q17A</v>
      </c>
      <c r="AU5" s="813" t="str">
        <f>+'Quarterly Financial Model '!AU3</f>
        <v>2017A</v>
      </c>
      <c r="AV5" s="812" t="str">
        <f>+'Quarterly Financial Model '!AV3</f>
        <v>1Q18E</v>
      </c>
      <c r="AW5" s="812" t="str">
        <f>+'Quarterly Financial Model '!AW3</f>
        <v>2Q18E</v>
      </c>
      <c r="AX5" s="812" t="str">
        <f>+'Quarterly Financial Model '!AX3</f>
        <v>3Q18E</v>
      </c>
      <c r="AY5" s="812" t="str">
        <f>+'Quarterly Financial Model '!AY3</f>
        <v>4Q18E</v>
      </c>
      <c r="AZ5" s="813" t="str">
        <f>+'Quarterly Financial Model '!AZ3</f>
        <v>2018E</v>
      </c>
      <c r="BA5" s="812" t="str">
        <f>+'Quarterly Financial Model '!BA3</f>
        <v>1Q19E</v>
      </c>
      <c r="BB5" s="812" t="str">
        <f>+'Quarterly Financial Model '!BB3</f>
        <v>2Q19E</v>
      </c>
      <c r="BC5" s="812" t="str">
        <f>+'Quarterly Financial Model '!BC3</f>
        <v>3Q19E</v>
      </c>
      <c r="BD5" s="812" t="str">
        <f>+'Quarterly Financial Model '!BD3</f>
        <v>4Q19E</v>
      </c>
      <c r="BE5" s="813" t="str">
        <f>+'Quarterly Financial Model '!BE3</f>
        <v>2019E</v>
      </c>
      <c r="BF5" s="812" t="str">
        <f>+'Quarterly Financial Model '!BF3</f>
        <v>1Q20E</v>
      </c>
      <c r="BG5" s="812" t="str">
        <f>+'Quarterly Financial Model '!BG3</f>
        <v>2Q20E</v>
      </c>
      <c r="BH5" s="812" t="str">
        <f>+'Quarterly Financial Model '!BH3</f>
        <v>3Q20E</v>
      </c>
      <c r="BI5" s="812" t="str">
        <f>+'Quarterly Financial Model '!BI3</f>
        <v>4Q20E</v>
      </c>
      <c r="BJ5" s="813" t="str">
        <f>+'Quarterly Financial Model '!BJ3</f>
        <v>2020E</v>
      </c>
    </row>
    <row r="6" spans="1:62" ht="3" customHeight="1">
      <c r="A6" s="814"/>
      <c r="B6" s="815"/>
      <c r="C6" s="816"/>
      <c r="D6" s="816"/>
      <c r="E6" s="816"/>
      <c r="F6" s="816"/>
      <c r="G6" s="816"/>
      <c r="H6" s="816"/>
      <c r="I6" s="816"/>
      <c r="J6" s="816"/>
      <c r="K6" s="816"/>
      <c r="L6" s="816"/>
      <c r="M6" s="816"/>
      <c r="N6" s="816"/>
      <c r="O6" s="816"/>
      <c r="P6" s="816"/>
      <c r="Q6" s="816"/>
      <c r="R6" s="816"/>
      <c r="S6" s="816"/>
      <c r="T6" s="816"/>
      <c r="U6" s="816"/>
      <c r="V6" s="816"/>
      <c r="W6" s="816"/>
      <c r="X6" s="816"/>
      <c r="Y6" s="816"/>
      <c r="Z6" s="816"/>
      <c r="AA6" s="816"/>
      <c r="AB6" s="816"/>
      <c r="AC6" s="816"/>
      <c r="AD6" s="816"/>
      <c r="AE6" s="816"/>
      <c r="AF6" s="816"/>
      <c r="AG6" s="816"/>
      <c r="AH6" s="816"/>
      <c r="AI6" s="816"/>
      <c r="AJ6" s="816"/>
      <c r="AK6" s="816"/>
      <c r="AL6" s="816"/>
      <c r="AM6" s="816"/>
      <c r="AN6" s="816"/>
      <c r="AO6" s="816"/>
      <c r="AP6" s="816"/>
      <c r="AQ6" s="816"/>
      <c r="AR6" s="816"/>
      <c r="AS6" s="816"/>
      <c r="AT6" s="816"/>
      <c r="AU6" s="816"/>
      <c r="AV6" s="816"/>
      <c r="AW6" s="816"/>
      <c r="AX6" s="816"/>
      <c r="AY6" s="816"/>
      <c r="AZ6" s="816"/>
      <c r="BA6" s="816"/>
      <c r="BB6" s="816"/>
      <c r="BC6" s="816"/>
      <c r="BD6" s="816"/>
      <c r="BE6" s="816"/>
      <c r="BF6" s="816"/>
      <c r="BG6" s="816"/>
      <c r="BH6" s="816"/>
      <c r="BI6" s="816"/>
      <c r="BJ6" s="816"/>
    </row>
    <row r="7" spans="1:62">
      <c r="A7" s="809"/>
      <c r="B7" s="817" t="s">
        <v>294</v>
      </c>
      <c r="C7" s="818">
        <f>+'Quarterly Financial Model '!C15</f>
        <v>157.5</v>
      </c>
      <c r="D7" s="819">
        <f>+'Quarterly Financial Model '!D15</f>
        <v>179.3</v>
      </c>
      <c r="E7" s="819">
        <f>+'Quarterly Financial Model '!E15</f>
        <v>183.9</v>
      </c>
      <c r="F7" s="820">
        <f>+'Quarterly Financial Model '!F15</f>
        <v>185.9</v>
      </c>
      <c r="G7" s="821">
        <f>+'Quarterly Financial Model '!G15</f>
        <v>706.6</v>
      </c>
      <c r="H7" s="818">
        <f>+'Quarterly Financial Model '!H15</f>
        <v>175.8</v>
      </c>
      <c r="I7" s="819">
        <f>+'Quarterly Financial Model '!I15</f>
        <v>188.2</v>
      </c>
      <c r="J7" s="819">
        <f>+'Quarterly Financial Model '!J15</f>
        <v>200.4</v>
      </c>
      <c r="K7" s="820">
        <f>+'Quarterly Financial Model '!K15</f>
        <v>208.4</v>
      </c>
      <c r="L7" s="821">
        <f>+'Quarterly Financial Model '!L15</f>
        <v>772.8</v>
      </c>
      <c r="M7" s="818">
        <f>+'Quarterly Financial Model '!M15</f>
        <v>189.23000000000002</v>
      </c>
      <c r="N7" s="819">
        <f>+'Quarterly Financial Model '!N15</f>
        <v>216.87000000000003</v>
      </c>
      <c r="O7" s="819">
        <f>+'Quarterly Financial Model '!O15</f>
        <v>216.88</v>
      </c>
      <c r="P7" s="820">
        <f>+'Quarterly Financial Model '!P15</f>
        <v>242.68800000000002</v>
      </c>
      <c r="Q7" s="821">
        <f>+'Quarterly Financial Model '!Q15</f>
        <v>865.66800000000001</v>
      </c>
      <c r="R7" s="818">
        <f>+'Quarterly Financial Model '!R15</f>
        <v>232.58100000000002</v>
      </c>
      <c r="S7" s="819">
        <f>+'Quarterly Financial Model '!S15</f>
        <v>260.37800000000004</v>
      </c>
      <c r="T7" s="819">
        <f>+'Quarterly Financial Model '!T15</f>
        <v>258.49699999999996</v>
      </c>
      <c r="U7" s="820">
        <f>+'Quarterly Financial Model '!U15</f>
        <v>271.18599999999998</v>
      </c>
      <c r="V7" s="821">
        <f>+'Quarterly Financial Model '!V15</f>
        <v>1022.6420000000001</v>
      </c>
      <c r="W7" s="818">
        <f>+'Quarterly Financial Model '!W15</f>
        <v>272.90100000000001</v>
      </c>
      <c r="X7" s="819">
        <f>+'Quarterly Financial Model '!X15</f>
        <v>296.90699999999998</v>
      </c>
      <c r="Y7" s="819">
        <f>+'Quarterly Financial Model '!Y15</f>
        <v>294.20600000000002</v>
      </c>
      <c r="Z7" s="820">
        <f>+'Quarterly Financial Model '!Z15</f>
        <v>308.62200000000001</v>
      </c>
      <c r="AA7" s="822">
        <f>+'Quarterly Financial Model '!AA15</f>
        <v>1172.636</v>
      </c>
      <c r="AB7" s="818">
        <f>+'Quarterly Financial Model '!AB15</f>
        <v>288.53199999999998</v>
      </c>
      <c r="AC7" s="819">
        <f>+'Quarterly Financial Model '!AC15</f>
        <v>331.339</v>
      </c>
      <c r="AD7" s="819">
        <f>+'Quarterly Financial Model '!AD15</f>
        <v>380.517</v>
      </c>
      <c r="AE7" s="820">
        <f>+'Quarterly Financial Model '!AE15</f>
        <v>402.15</v>
      </c>
      <c r="AF7" s="822">
        <f>+'Quarterly Financial Model '!AF15</f>
        <v>1402.538</v>
      </c>
      <c r="AG7" s="818">
        <f>+'Quarterly Financial Model '!AG15</f>
        <v>374.46499999999997</v>
      </c>
      <c r="AH7" s="819">
        <f>+'Quarterly Financial Model '!AH15</f>
        <v>423.64599999999996</v>
      </c>
      <c r="AI7" s="819">
        <f>+'Quarterly Financial Model '!AI15</f>
        <v>430.45</v>
      </c>
      <c r="AJ7" s="820">
        <f>+'Quarterly Financial Model '!AJ15</f>
        <v>453.17500000000001</v>
      </c>
      <c r="AK7" s="822">
        <f>+'Quarterly Financial Model '!AK15</f>
        <v>1681.7359999999999</v>
      </c>
      <c r="AL7" s="818">
        <f>+'Quarterly Financial Model '!AL15</f>
        <v>431.21</v>
      </c>
      <c r="AM7" s="819">
        <f>+'Quarterly Financial Model '!AM15</f>
        <v>480.48099999999999</v>
      </c>
      <c r="AN7" s="819">
        <f>+'Quarterly Financial Model '!AN15</f>
        <v>490.65799999999996</v>
      </c>
      <c r="AO7" s="820">
        <f>+'Quarterly Financial Model '!AO15</f>
        <v>502.41199999999998</v>
      </c>
      <c r="AP7" s="822">
        <f>+'Quarterly Financial Model '!AP15</f>
        <v>1904.761</v>
      </c>
      <c r="AQ7" s="818">
        <f>+'Quarterly Financial Model '!AQ15</f>
        <v>470.11</v>
      </c>
      <c r="AR7" s="819">
        <f>+'Quarterly Financial Model '!AR15</f>
        <v>530.03099999999995</v>
      </c>
      <c r="AS7" s="819">
        <f>+'Quarterly Financial Model '!AS15</f>
        <v>554.23199999999997</v>
      </c>
      <c r="AT7" s="820">
        <f>+'Quarterly Financial Model '!AT15</f>
        <v>568.93900000000008</v>
      </c>
      <c r="AU7" s="822">
        <f>+'Quarterly Financial Model '!AU15</f>
        <v>2123.3119999999999</v>
      </c>
      <c r="AV7" s="818">
        <f>+'Quarterly Financial Model '!AV15</f>
        <v>834.18369240073662</v>
      </c>
      <c r="AW7" s="819">
        <f>+'Quarterly Financial Model '!AW15</f>
        <v>974.04075877311811</v>
      </c>
      <c r="AX7" s="819">
        <f>+'Quarterly Financial Model '!AX15</f>
        <v>1019.6747410615835</v>
      </c>
      <c r="AY7" s="820">
        <f>+'Quarterly Financial Model '!AY15</f>
        <v>1050.9686447799286</v>
      </c>
      <c r="AZ7" s="822">
        <f>+'Quarterly Financial Model '!AZ15</f>
        <v>3878.8678370153666</v>
      </c>
      <c r="BA7" s="818">
        <f>+'Quarterly Financial Model '!BA15</f>
        <v>986.28138857865451</v>
      </c>
      <c r="BB7" s="819">
        <f>+'Quarterly Financial Model '!BB15</f>
        <v>1062.5588687708921</v>
      </c>
      <c r="BC7" s="819">
        <f>+'Quarterly Financial Model '!BC15</f>
        <v>1111.5949561767081</v>
      </c>
      <c r="BD7" s="820">
        <f>+'Quarterly Financial Model '!BD15</f>
        <v>1146.5627353644629</v>
      </c>
      <c r="BE7" s="822">
        <f>+'Quarterly Financial Model '!BE15</f>
        <v>4306.9979488907184</v>
      </c>
      <c r="BF7" s="818">
        <f>+'Quarterly Financial Model '!BF15</f>
        <v>1078.3335646736259</v>
      </c>
      <c r="BG7" s="819">
        <f>+'Quarterly Financial Model '!BG15</f>
        <v>1160.9091022111227</v>
      </c>
      <c r="BH7" s="819">
        <f>+'Quarterly Financial Model '!BH15</f>
        <v>1213.2059658113858</v>
      </c>
      <c r="BI7" s="820">
        <f>+'Quarterly Financial Model '!BI15</f>
        <v>1252.4004406569991</v>
      </c>
      <c r="BJ7" s="822">
        <f>+'Quarterly Financial Model '!BJ15</f>
        <v>4704.8490733531335</v>
      </c>
    </row>
    <row r="8" spans="1:62">
      <c r="A8" s="809"/>
      <c r="B8" s="823" t="s">
        <v>16</v>
      </c>
      <c r="C8" s="824">
        <f>+'Quarterly Financial Model '!C16</f>
        <v>0</v>
      </c>
      <c r="D8" s="825">
        <f>+'Quarterly Financial Model '!D16</f>
        <v>0</v>
      </c>
      <c r="E8" s="825">
        <f>+'Quarterly Financial Model '!E16</f>
        <v>0</v>
      </c>
      <c r="F8" s="826">
        <f>+'Quarterly Financial Model '!F16</f>
        <v>0</v>
      </c>
      <c r="G8" s="780">
        <f>+'Quarterly Financial Model '!G16</f>
        <v>0</v>
      </c>
      <c r="H8" s="824">
        <f>+'Quarterly Financial Model '!H16</f>
        <v>0.11619047619047618</v>
      </c>
      <c r="I8" s="825">
        <f>+'Quarterly Financial Model '!I16</f>
        <v>4.9637479085331782E-2</v>
      </c>
      <c r="J8" s="825">
        <f>+'Quarterly Financial Model '!J16</f>
        <v>8.9722675367047255E-2</v>
      </c>
      <c r="K8" s="826">
        <f>+'Quarterly Financial Model '!K16</f>
        <v>0.12103281334050564</v>
      </c>
      <c r="L8" s="780">
        <f>+'Quarterly Financial Model '!L16</f>
        <v>9.3688083781488629E-2</v>
      </c>
      <c r="M8" s="824">
        <f>+'Quarterly Financial Model '!M16</f>
        <v>7.6393629124004603E-2</v>
      </c>
      <c r="N8" s="825">
        <f>+'Quarterly Financial Model '!N16</f>
        <v>0.15233793836344334</v>
      </c>
      <c r="O8" s="825">
        <f>+'Quarterly Financial Model '!O16</f>
        <v>8.2235528942115721E-2</v>
      </c>
      <c r="P8" s="826">
        <f>+'Quarterly Financial Model '!P16</f>
        <v>0.16452975047984641</v>
      </c>
      <c r="Q8" s="780">
        <f>+'Quarterly Financial Model '!Q16</f>
        <v>0.12017080745341624</v>
      </c>
      <c r="R8" s="824">
        <f>+'Quarterly Financial Model '!R16</f>
        <v>0.22909158167309629</v>
      </c>
      <c r="S8" s="825">
        <f>+'Quarterly Financial Model '!S16</f>
        <v>0.20061788168026928</v>
      </c>
      <c r="T8" s="825">
        <f>+'Quarterly Financial Model '!T16</f>
        <v>0.19188952416082605</v>
      </c>
      <c r="U8" s="826">
        <f>+'Quarterly Financial Model '!U16</f>
        <v>0.11742648997890281</v>
      </c>
      <c r="V8" s="780">
        <f>+'Quarterly Financial Model '!V16</f>
        <v>0.18133279733107854</v>
      </c>
      <c r="W8" s="824">
        <f>+'Quarterly Financial Model '!W16</f>
        <v>0.17335895881434848</v>
      </c>
      <c r="X8" s="825">
        <f>+'Quarterly Financial Model '!X16</f>
        <v>0.14029219058445763</v>
      </c>
      <c r="Y8" s="825">
        <f>+'Quarterly Financial Model '!Y16</f>
        <v>0.13814086817255156</v>
      </c>
      <c r="Z8" s="826">
        <f>+'Quarterly Financial Model '!Z16</f>
        <v>0.13804547432389591</v>
      </c>
      <c r="AA8" s="827">
        <f>+'Quarterly Financial Model '!AA16</f>
        <v>0.14667302927124037</v>
      </c>
      <c r="AB8" s="824">
        <f>+'Quarterly Financial Model '!AB16</f>
        <v>5.7277181102304286E-2</v>
      </c>
      <c r="AC8" s="825">
        <f>+'Quarterly Financial Model '!AC16</f>
        <v>0.11596897344959878</v>
      </c>
      <c r="AD8" s="825">
        <f>+'Quarterly Financial Model '!AD16</f>
        <v>0.29336927187072992</v>
      </c>
      <c r="AE8" s="826">
        <f>+'Quarterly Financial Model '!AE16</f>
        <v>0.3030503334175787</v>
      </c>
      <c r="AF8" s="827">
        <f>+'Quarterly Financial Model '!AF16</f>
        <v>0.1960557240268932</v>
      </c>
      <c r="AG8" s="824">
        <f>+'Quarterly Financial Model '!AG16</f>
        <v>0.2978283171364009</v>
      </c>
      <c r="AH8" s="825">
        <f>+'Quarterly Financial Model '!AH16</f>
        <v>0.27858779075206952</v>
      </c>
      <c r="AI8" s="825">
        <f>+'Quarterly Financial Model '!AI16</f>
        <v>0.13122409774070531</v>
      </c>
      <c r="AJ8" s="826">
        <f>+'Quarterly Financial Model '!AJ16</f>
        <v>0.12688051721994298</v>
      </c>
      <c r="AK8" s="827">
        <f>+'Quarterly Financial Model '!AK16</f>
        <v>0.19906626415826167</v>
      </c>
      <c r="AL8" s="824">
        <f>+'Quarterly Financial Model '!AL16</f>
        <v>0.15153619163339704</v>
      </c>
      <c r="AM8" s="825">
        <f>+'Quarterly Financial Model '!AM16</f>
        <v>0.13415681960882453</v>
      </c>
      <c r="AN8" s="825">
        <f>+'Quarterly Financial Model '!AN16</f>
        <v>0.13987222673945854</v>
      </c>
      <c r="AO8" s="826">
        <f>+'Quarterly Financial Model '!AO16</f>
        <v>0.1086489766646439</v>
      </c>
      <c r="AP8" s="827">
        <f>+'Quarterly Financial Model '!AP16</f>
        <v>0.13261593971943286</v>
      </c>
      <c r="AQ8" s="824">
        <f>+'Quarterly Financial Model '!AQ16</f>
        <v>9.0211265972496069E-2</v>
      </c>
      <c r="AR8" s="825">
        <f>+'Quarterly Financial Model '!AR16</f>
        <v>0.10312582599520059</v>
      </c>
      <c r="AS8" s="825">
        <f>+'Quarterly Financial Model '!AS16</f>
        <v>0.12956886466744666</v>
      </c>
      <c r="AT8" s="826">
        <f>+'Quarterly Financial Model '!AT16</f>
        <v>0.13241522893561486</v>
      </c>
      <c r="AU8" s="827">
        <f>+'Quarterly Financial Model '!AU16</f>
        <v>0.11473932950118138</v>
      </c>
      <c r="AV8" s="824">
        <f>+'Quarterly Financial Model '!AV16</f>
        <v>0.7744436246851516</v>
      </c>
      <c r="AW8" s="825">
        <f>+'Quarterly Financial Model '!AW16</f>
        <v>0.83770526398100897</v>
      </c>
      <c r="AX8" s="825">
        <f>+'Quarterly Financial Model '!AX16</f>
        <v>0.83979766787479537</v>
      </c>
      <c r="AY8" s="826">
        <f>+'Quarterly Financial Model '!AY16</f>
        <v>0.84724310476154452</v>
      </c>
      <c r="AZ8" s="827">
        <f>+'Quarterly Financial Model '!AZ16</f>
        <v>0.8268006948650819</v>
      </c>
      <c r="BA8" s="824">
        <f>+'Quarterly Financial Model '!BA16</f>
        <v>0.18233117904785301</v>
      </c>
      <c r="BB8" s="825">
        <f>+'Quarterly Financial Model '!BB16</f>
        <v>9.0877213505181853E-2</v>
      </c>
      <c r="BC8" s="825">
        <f>+'Quarterly Financial Model '!BC16</f>
        <v>9.014660402338337E-2</v>
      </c>
      <c r="BD8" s="826">
        <f>+'Quarterly Financial Model '!BD16</f>
        <v>9.0958080490166848E-2</v>
      </c>
      <c r="BE8" s="827">
        <f>+'Quarterly Financial Model '!BE16</f>
        <v>0.11037501917177472</v>
      </c>
      <c r="BF8" s="824">
        <f>+'Quarterly Financial Model '!BF16</f>
        <v>9.3332569346795902E-2</v>
      </c>
      <c r="BG8" s="825">
        <f>+'Quarterly Financial Model '!BG16</f>
        <v>9.2559797231749119E-2</v>
      </c>
      <c r="BH8" s="825">
        <f>+'Quarterly Financial Model '!BH16</f>
        <v>9.1410103176579049E-2</v>
      </c>
      <c r="BI8" s="826">
        <f>+'Quarterly Financial Model '!BI16</f>
        <v>9.2308691036337542E-2</v>
      </c>
      <c r="BJ8" s="827">
        <f>+'Quarterly Financial Model '!BJ16</f>
        <v>9.2373186424405729E-2</v>
      </c>
    </row>
    <row r="9" spans="1:62" ht="4.5" customHeight="1">
      <c r="A9" s="809"/>
      <c r="B9" s="28"/>
      <c r="C9" s="828"/>
      <c r="D9" s="807"/>
      <c r="E9" s="807"/>
      <c r="F9" s="829"/>
      <c r="G9" s="830"/>
      <c r="H9" s="828"/>
      <c r="I9" s="807"/>
      <c r="J9" s="807"/>
      <c r="K9" s="829"/>
      <c r="L9" s="830"/>
      <c r="M9" s="828"/>
      <c r="N9" s="807"/>
      <c r="O9" s="807"/>
      <c r="P9" s="829"/>
      <c r="Q9" s="830"/>
      <c r="R9" s="828"/>
      <c r="S9" s="807"/>
      <c r="T9" s="807"/>
      <c r="U9" s="829"/>
      <c r="V9" s="830"/>
      <c r="W9" s="828"/>
      <c r="X9" s="807"/>
      <c r="Y9" s="807"/>
      <c r="Z9" s="829"/>
      <c r="AA9" s="831"/>
      <c r="AB9" s="828"/>
      <c r="AC9" s="807"/>
      <c r="AD9" s="807"/>
      <c r="AE9" s="829"/>
      <c r="AF9" s="831"/>
      <c r="AG9" s="828"/>
      <c r="AH9" s="807"/>
      <c r="AI9" s="807"/>
      <c r="AJ9" s="829"/>
      <c r="AK9" s="831"/>
      <c r="AL9" s="828"/>
      <c r="AM9" s="807"/>
      <c r="AN9" s="807"/>
      <c r="AO9" s="829"/>
      <c r="AP9" s="831"/>
      <c r="AQ9" s="828"/>
      <c r="AR9" s="807"/>
      <c r="AS9" s="807"/>
      <c r="AT9" s="829"/>
      <c r="AU9" s="831"/>
      <c r="AV9" s="828"/>
      <c r="AW9" s="807"/>
      <c r="AX9" s="807"/>
      <c r="AY9" s="829"/>
      <c r="AZ9" s="831"/>
      <c r="BA9" s="828"/>
      <c r="BB9" s="807"/>
      <c r="BC9" s="807"/>
      <c r="BD9" s="829"/>
      <c r="BE9" s="831"/>
      <c r="BF9" s="828"/>
      <c r="BG9" s="807"/>
      <c r="BH9" s="807"/>
      <c r="BI9" s="829"/>
      <c r="BJ9" s="831"/>
    </row>
    <row r="10" spans="1:62">
      <c r="A10" s="809"/>
      <c r="B10" s="832" t="s">
        <v>92</v>
      </c>
      <c r="C10" s="833">
        <f>+'Quarterly Financial Model '!C19</f>
        <v>45.7</v>
      </c>
      <c r="D10" s="834">
        <f>+'Quarterly Financial Model '!D19</f>
        <v>51.6</v>
      </c>
      <c r="E10" s="834">
        <f>+'Quarterly Financial Model '!E19</f>
        <v>48.6</v>
      </c>
      <c r="F10" s="835">
        <f>+'Quarterly Financial Model '!F19</f>
        <v>48.4</v>
      </c>
      <c r="G10" s="836">
        <f>+'Quarterly Financial Model '!G19</f>
        <v>194.3</v>
      </c>
      <c r="H10" s="833">
        <f>+'Quarterly Financial Model '!H19</f>
        <v>49.9</v>
      </c>
      <c r="I10" s="834">
        <f>+'Quarterly Financial Model '!I19</f>
        <v>52</v>
      </c>
      <c r="J10" s="834">
        <f>+'Quarterly Financial Model '!J19</f>
        <v>54</v>
      </c>
      <c r="K10" s="835">
        <f>+'Quarterly Financial Model '!K19</f>
        <v>56.3</v>
      </c>
      <c r="L10" s="836">
        <f>+'Quarterly Financial Model '!L19</f>
        <v>212.2</v>
      </c>
      <c r="M10" s="837">
        <f>+'Quarterly Financial Model '!M19</f>
        <v>56.2</v>
      </c>
      <c r="N10" s="838">
        <f>+'Quarterly Financial Model '!N19</f>
        <v>59.6</v>
      </c>
      <c r="O10" s="838">
        <f>+'Quarterly Financial Model '!O19</f>
        <v>56.2</v>
      </c>
      <c r="P10" s="839">
        <f>+'Quarterly Financial Model '!P19</f>
        <v>64.099999999999994</v>
      </c>
      <c r="Q10" s="836">
        <f>+'Quarterly Financial Model '!Q19</f>
        <v>236.1</v>
      </c>
      <c r="R10" s="837">
        <f>+'Quarterly Financial Model '!R19</f>
        <v>72.757000000000005</v>
      </c>
      <c r="S10" s="838">
        <f>+'Quarterly Financial Model '!S19</f>
        <v>70.531999999999996</v>
      </c>
      <c r="T10" s="838">
        <f>+'Quarterly Financial Model '!T19</f>
        <v>69.313000000000002</v>
      </c>
      <c r="U10" s="839">
        <f>+'Quarterly Financial Model '!U19</f>
        <v>68.042000000000002</v>
      </c>
      <c r="V10" s="836">
        <f>+'Quarterly Financial Model '!V19</f>
        <v>280.64400000000001</v>
      </c>
      <c r="W10" s="833">
        <f>+'Quarterly Financial Model '!W19</f>
        <v>75.975999999999999</v>
      </c>
      <c r="X10" s="834">
        <f>+'Quarterly Financial Model '!X19</f>
        <v>76.436000000000007</v>
      </c>
      <c r="Y10" s="834">
        <f>+'Quarterly Financial Model '!Y19</f>
        <v>79.551000000000002</v>
      </c>
      <c r="Z10" s="835">
        <f>+'Quarterly Financial Model '!Z19</f>
        <v>80.081000000000003</v>
      </c>
      <c r="AA10" s="840">
        <f>+'Quarterly Financial Model '!AA19</f>
        <v>312.04400000000004</v>
      </c>
      <c r="AB10" s="833">
        <f>+'Quarterly Financial Model '!AB19</f>
        <v>78.444000000000003</v>
      </c>
      <c r="AC10" s="834">
        <f>+'Quarterly Financial Model '!AC19</f>
        <v>90.507000000000005</v>
      </c>
      <c r="AD10" s="834">
        <f>+'Quarterly Financial Model '!AD19</f>
        <v>111.233</v>
      </c>
      <c r="AE10" s="835">
        <f>+'Quarterly Financial Model '!AE19</f>
        <v>116.169</v>
      </c>
      <c r="AF10" s="840">
        <f>+'Quarterly Financial Model '!AF19</f>
        <v>396.35300000000001</v>
      </c>
      <c r="AG10" s="833">
        <f>+'Quarterly Financial Model '!AG19</f>
        <v>116.05500000000001</v>
      </c>
      <c r="AH10" s="834">
        <f>+'Quarterly Financial Model '!AH19</f>
        <v>122.925</v>
      </c>
      <c r="AI10" s="834">
        <f>+'Quarterly Financial Model '!AI19</f>
        <v>132.48099999999999</v>
      </c>
      <c r="AJ10" s="835">
        <f>+'Quarterly Financial Model '!AJ19</f>
        <v>132.488</v>
      </c>
      <c r="AK10" s="840">
        <f>+'Quarterly Financial Model '!AK19</f>
        <v>503.94900000000001</v>
      </c>
      <c r="AL10" s="833">
        <f>+'Quarterly Financial Model '!AL19</f>
        <v>135.63800000000001</v>
      </c>
      <c r="AM10" s="834">
        <f>+'Quarterly Financial Model '!AM19</f>
        <v>144.84399999999999</v>
      </c>
      <c r="AN10" s="834">
        <f>+'Quarterly Financial Model '!AN19</f>
        <v>153.24799999999999</v>
      </c>
      <c r="AO10" s="835">
        <f>+'Quarterly Financial Model '!AO19</f>
        <v>148.52099999999999</v>
      </c>
      <c r="AP10" s="840">
        <f>+'Quarterly Financial Model '!AP19</f>
        <v>582.25099999999998</v>
      </c>
      <c r="AQ10" s="833">
        <f>+'Quarterly Financial Model '!AQ19</f>
        <v>155.04</v>
      </c>
      <c r="AR10" s="834">
        <f>+'Quarterly Financial Model '!AR19</f>
        <v>168.26300000000001</v>
      </c>
      <c r="AS10" s="834">
        <f>+'Quarterly Financial Model '!AS19</f>
        <v>173.779</v>
      </c>
      <c r="AT10" s="835">
        <f>+'Quarterly Financial Model '!AT19</f>
        <v>172.42400000000001</v>
      </c>
      <c r="AU10" s="840">
        <f>+'Quarterly Financial Model '!AU19</f>
        <v>669.50599999999997</v>
      </c>
      <c r="AV10" s="833">
        <f>+'Quarterly Financial Model '!AV19</f>
        <v>233.57143387220628</v>
      </c>
      <c r="AW10" s="834">
        <f>+'Quarterly Financial Model '!AW19</f>
        <v>270.78333093892684</v>
      </c>
      <c r="AX10" s="834">
        <f>+'Quarterly Financial Model '!AX19</f>
        <v>281.43022853299709</v>
      </c>
      <c r="AY10" s="835">
        <f>+'Quarterly Financial Model '!AY19</f>
        <v>287.96540866970048</v>
      </c>
      <c r="AZ10" s="840">
        <f>+'Quarterly Financial Model '!AZ19</f>
        <v>1073.7504020138308</v>
      </c>
      <c r="BA10" s="833">
        <f>+'Quarterly Financial Model '!BA19</f>
        <v>273.69308533057665</v>
      </c>
      <c r="BB10" s="834">
        <f>+'Quarterly Financial Model '!BB19</f>
        <v>292.73496834638081</v>
      </c>
      <c r="BC10" s="834">
        <f>+'Quarterly Financial Model '!BC19</f>
        <v>304.02122051432968</v>
      </c>
      <c r="BD10" s="835">
        <f>+'Quarterly Financial Model '!BD19</f>
        <v>311.29178265145168</v>
      </c>
      <c r="BE10" s="840">
        <f>+'Quarterly Financial Model '!BE19</f>
        <v>1181.7410568427388</v>
      </c>
      <c r="BF10" s="833">
        <f>+'Quarterly Financial Model '!BF19</f>
        <v>299.2375641969312</v>
      </c>
      <c r="BG10" s="834">
        <f>+'Quarterly Financial Model '!BG19</f>
        <v>319.83045765916432</v>
      </c>
      <c r="BH10" s="834">
        <f>+'Quarterly Financial Model '!BH19</f>
        <v>331.81183164941405</v>
      </c>
      <c r="BI10" s="835">
        <f>+'Quarterly Financial Model '!BI19</f>
        <v>340.02671963837525</v>
      </c>
      <c r="BJ10" s="840">
        <f>+'Quarterly Financial Model '!BJ19</f>
        <v>1290.9065731438848</v>
      </c>
    </row>
    <row r="11" spans="1:62">
      <c r="A11" s="809"/>
      <c r="B11" s="841" t="s">
        <v>89</v>
      </c>
      <c r="C11" s="842">
        <f>+'Quarterly Financial Model '!C21</f>
        <v>0.29015873015873017</v>
      </c>
      <c r="D11" s="843">
        <f>+'Quarterly Financial Model '!D21</f>
        <v>0.28778583379810374</v>
      </c>
      <c r="E11" s="843">
        <f>+'Quarterly Financial Model '!E21</f>
        <v>0.26427406199021208</v>
      </c>
      <c r="F11" s="844">
        <f>+'Quarterly Financial Model '!F21</f>
        <v>0.26035502958579881</v>
      </c>
      <c r="G11" s="845">
        <f>+'Quarterly Financial Model '!G21</f>
        <v>0.27497877158222472</v>
      </c>
      <c r="H11" s="842">
        <f>+'Quarterly Financial Model '!H21</f>
        <v>0.28384527872582477</v>
      </c>
      <c r="I11" s="843">
        <f>+'Quarterly Financial Model '!I21</f>
        <v>0.27630180658873538</v>
      </c>
      <c r="J11" s="843">
        <f>+'Quarterly Financial Model '!J21</f>
        <v>0.26946107784431139</v>
      </c>
      <c r="K11" s="844">
        <f>+'Quarterly Financial Model '!K21</f>
        <v>0.27015355086372361</v>
      </c>
      <c r="L11" s="845">
        <f>+'Quarterly Financial Model '!L21</f>
        <v>0.27458592132505177</v>
      </c>
      <c r="M11" s="846">
        <f>+'Quarterly Financial Model '!M21</f>
        <v>0.29699307720763091</v>
      </c>
      <c r="N11" s="303">
        <f>+'Quarterly Financial Model '!N21</f>
        <v>0.27481901600036884</v>
      </c>
      <c r="O11" s="303">
        <f>+'Quarterly Financial Model '!O21</f>
        <v>0.25912947251936558</v>
      </c>
      <c r="P11" s="847">
        <f>+'Quarterly Financial Model '!P21</f>
        <v>0.26412513185654002</v>
      </c>
      <c r="Q11" s="845">
        <f>+'Quarterly Financial Model '!Q21</f>
        <v>0.27273735427438695</v>
      </c>
      <c r="R11" s="846">
        <f>+'Quarterly Financial Model '!R21</f>
        <v>0.31282434936645725</v>
      </c>
      <c r="S11" s="303">
        <f>+'Quarterly Financial Model '!S21</f>
        <v>0.27088310072279526</v>
      </c>
      <c r="T11" s="303">
        <f>+'Quarterly Financial Model '!T21</f>
        <v>0.26813850837727327</v>
      </c>
      <c r="U11" s="847">
        <f>+'Quarterly Financial Model '!U21</f>
        <v>0.25090528272108442</v>
      </c>
      <c r="V11" s="845">
        <f>+'Quarterly Financial Model '!V21</f>
        <v>0.2744303480592426</v>
      </c>
      <c r="W11" s="842">
        <f>+'Quarterly Financial Model '!W21</f>
        <v>0.27840132502262727</v>
      </c>
      <c r="X11" s="843">
        <f>+'Quarterly Financial Model '!X21</f>
        <v>0.25744088216175437</v>
      </c>
      <c r="Y11" s="843">
        <f>+'Quarterly Financial Model '!Y21</f>
        <v>0.27039217419087302</v>
      </c>
      <c r="Z11" s="844">
        <f>+'Quarterly Financial Model '!Z21</f>
        <v>0.25947923349599183</v>
      </c>
      <c r="AA11" s="848">
        <f>+'Quarterly Financial Model '!AA21</f>
        <v>0.266104741795408</v>
      </c>
      <c r="AB11" s="842">
        <f>+'Quarterly Financial Model '!AB21</f>
        <v>0.27187279053969754</v>
      </c>
      <c r="AC11" s="843">
        <f>+'Quarterly Financial Model '!AC21</f>
        <v>0.27315528808863432</v>
      </c>
      <c r="AD11" s="843">
        <f>+'Quarterly Financial Model '!AD21</f>
        <v>0.29232071103262142</v>
      </c>
      <c r="AE11" s="844">
        <f>+'Quarterly Financial Model '!AE21</f>
        <v>0.28886982469227901</v>
      </c>
      <c r="AF11" s="848">
        <f>+'Quarterly Financial Model '!AF21</f>
        <v>0.2825969777645953</v>
      </c>
      <c r="AG11" s="842">
        <f>+'Quarterly Financial Model '!AG21</f>
        <v>0.30992215560866843</v>
      </c>
      <c r="AH11" s="843">
        <f>+'Quarterly Financial Model '!AH21</f>
        <v>0.29015970881349051</v>
      </c>
      <c r="AI11" s="843">
        <f>+'Quarterly Financial Model '!AI21</f>
        <v>0.307773260541294</v>
      </c>
      <c r="AJ11" s="844">
        <f>+'Quarterly Financial Model '!AJ21</f>
        <v>0.29235505047718874</v>
      </c>
      <c r="AK11" s="848">
        <f>+'Quarterly Financial Model '!AK21</f>
        <v>0.29965999419647321</v>
      </c>
      <c r="AL11" s="842">
        <f>+'Quarterly Financial Model '!AL21</f>
        <v>0.31455207439530625</v>
      </c>
      <c r="AM11" s="843">
        <f>+'Quarterly Financial Model '!AM21</f>
        <v>0.30145624905043072</v>
      </c>
      <c r="AN11" s="843">
        <f>+'Quarterly Financial Model '!AN21</f>
        <v>0.31233160368321722</v>
      </c>
      <c r="AO11" s="844">
        <f>+'Quarterly Financial Model '!AO21</f>
        <v>0.29561594866364654</v>
      </c>
      <c r="AP11" s="848">
        <f>+'Quarterly Financial Model '!AP21</f>
        <v>0.3056819201989121</v>
      </c>
      <c r="AQ11" s="842">
        <f>+'Quarterly Financial Model '!AQ21</f>
        <v>0.32979515432558337</v>
      </c>
      <c r="AR11" s="843">
        <f>+'Quarterly Financial Model '!AR21</f>
        <v>0.31745879014623679</v>
      </c>
      <c r="AS11" s="843">
        <f>+'Quarterly Financial Model '!AS21</f>
        <v>0.31354919961315841</v>
      </c>
      <c r="AT11" s="844">
        <f>+'Quarterly Financial Model '!AT21</f>
        <v>0.30306236696728467</v>
      </c>
      <c r="AU11" s="848">
        <f>+'Quarterly Financial Model '!AU21</f>
        <v>0.31531211616568833</v>
      </c>
      <c r="AV11" s="842">
        <f>+'Quarterly Financial Model '!AV21</f>
        <v>0.28000000000000003</v>
      </c>
      <c r="AW11" s="843">
        <f>+'Quarterly Financial Model '!AW21</f>
        <v>0.27800000000000002</v>
      </c>
      <c r="AX11" s="843">
        <f>+'Quarterly Financial Model '!AX21</f>
        <v>0.27600000000000002</v>
      </c>
      <c r="AY11" s="844">
        <f>+'Quarterly Financial Model '!AY21</f>
        <v>0.27400000000000002</v>
      </c>
      <c r="AZ11" s="848">
        <f>+'Quarterly Financial Model '!AZ21</f>
        <v>0.27682056907616598</v>
      </c>
      <c r="BA11" s="842">
        <f>+'Quarterly Financial Model '!BA21</f>
        <v>0.27750000000000002</v>
      </c>
      <c r="BB11" s="843">
        <f>+'Quarterly Financial Model '!BB21</f>
        <v>0.27550000000000002</v>
      </c>
      <c r="BC11" s="843">
        <f>+'Quarterly Financial Model '!BC21</f>
        <v>0.27350000000000002</v>
      </c>
      <c r="BD11" s="844">
        <f>+'Quarterly Financial Model '!BD21</f>
        <v>0.27150000000000002</v>
      </c>
      <c r="BE11" s="848">
        <f>+'Quarterly Financial Model '!BE21</f>
        <v>0.27437697228230629</v>
      </c>
      <c r="BF11" s="842">
        <f>+'Quarterly Financial Model '!BF21</f>
        <v>0.27750000000000002</v>
      </c>
      <c r="BG11" s="843">
        <f>+'Quarterly Financial Model '!BG21</f>
        <v>0.27550000000000002</v>
      </c>
      <c r="BH11" s="843">
        <f>+'Quarterly Financial Model '!BH21</f>
        <v>0.27350000000000002</v>
      </c>
      <c r="BI11" s="844">
        <f>+'Quarterly Financial Model '!BI21</f>
        <v>0.27150000000000002</v>
      </c>
      <c r="BJ11" s="848">
        <f>+'Quarterly Financial Model '!BJ21</f>
        <v>0.274377892471662</v>
      </c>
    </row>
    <row r="12" spans="1:62">
      <c r="A12" s="809"/>
      <c r="B12" s="832" t="s">
        <v>96</v>
      </c>
      <c r="C12" s="833">
        <f>+'Quarterly Financial Model '!C25</f>
        <v>27.8</v>
      </c>
      <c r="D12" s="834">
        <f>+'Quarterly Financial Model '!D25</f>
        <v>25.7</v>
      </c>
      <c r="E12" s="834">
        <f>+'Quarterly Financial Model '!E25</f>
        <v>25.9</v>
      </c>
      <c r="F12" s="835">
        <f>+'Quarterly Financial Model '!F25</f>
        <v>25.9</v>
      </c>
      <c r="G12" s="836">
        <f>+'Quarterly Financial Model '!G25</f>
        <v>105.30000000000001</v>
      </c>
      <c r="H12" s="833">
        <f>+'Quarterly Financial Model '!H25</f>
        <v>28.1</v>
      </c>
      <c r="I12" s="834">
        <f>+'Quarterly Financial Model '!I25</f>
        <v>25.9</v>
      </c>
      <c r="J12" s="834">
        <f>+'Quarterly Financial Model '!J25</f>
        <v>33.200000000000003</v>
      </c>
      <c r="K12" s="835">
        <f>+'Quarterly Financial Model '!K25</f>
        <v>30.4</v>
      </c>
      <c r="L12" s="836">
        <f>+'Quarterly Financial Model '!L25</f>
        <v>117.6</v>
      </c>
      <c r="M12" s="837">
        <f>+'Quarterly Financial Model '!M25</f>
        <v>31.5</v>
      </c>
      <c r="N12" s="838">
        <f>+'Quarterly Financial Model '!N25</f>
        <v>31.5</v>
      </c>
      <c r="O12" s="838">
        <f>+'Quarterly Financial Model '!O25</f>
        <v>32.299999999999997</v>
      </c>
      <c r="P12" s="839">
        <f>+'Quarterly Financial Model '!P25</f>
        <v>32.9</v>
      </c>
      <c r="Q12" s="836">
        <f>+'Quarterly Financial Model '!Q25</f>
        <v>128.19999999999999</v>
      </c>
      <c r="R12" s="837">
        <f>+'Quarterly Financial Model '!R25</f>
        <v>38.557000000000002</v>
      </c>
      <c r="S12" s="838">
        <f>+'Quarterly Financial Model '!S25</f>
        <v>39.07</v>
      </c>
      <c r="T12" s="838">
        <f>+'Quarterly Financial Model '!T25</f>
        <v>39.823</v>
      </c>
      <c r="U12" s="839">
        <f>+'Quarterly Financial Model '!U25</f>
        <v>38.374000000000002</v>
      </c>
      <c r="V12" s="836">
        <f>+'Quarterly Financial Model '!V25</f>
        <v>155.82400000000001</v>
      </c>
      <c r="W12" s="833">
        <f>+'Quarterly Financial Model '!W25</f>
        <v>48.548999999999999</v>
      </c>
      <c r="X12" s="834">
        <f>+'Quarterly Financial Model '!X25</f>
        <v>47.326000000000001</v>
      </c>
      <c r="Y12" s="834">
        <f>+'Quarterly Financial Model '!Y25</f>
        <v>46.076000000000001</v>
      </c>
      <c r="Z12" s="835">
        <f>+'Quarterly Financial Model '!Z25</f>
        <v>48.927999999999997</v>
      </c>
      <c r="AA12" s="840">
        <f>+'Quarterly Financial Model '!AA25</f>
        <v>190.87899999999999</v>
      </c>
      <c r="AB12" s="833">
        <f>+'Quarterly Financial Model '!AB25</f>
        <v>53.930999999999997</v>
      </c>
      <c r="AC12" s="834">
        <f>+'Quarterly Financial Model '!AC25</f>
        <v>53.472999999999999</v>
      </c>
      <c r="AD12" s="834">
        <f>+'Quarterly Financial Model '!AD25</f>
        <v>57.954999999999998</v>
      </c>
      <c r="AE12" s="835">
        <f>+'Quarterly Financial Model '!AE25</f>
        <v>60.384</v>
      </c>
      <c r="AF12" s="840">
        <f>+'Quarterly Financial Model '!AF25</f>
        <v>225.74299999999999</v>
      </c>
      <c r="AG12" s="833">
        <f>+'Quarterly Financial Model '!AG25</f>
        <v>62.414000000000001</v>
      </c>
      <c r="AH12" s="834">
        <f>+'Quarterly Financial Model '!AH25</f>
        <v>64.643000000000001</v>
      </c>
      <c r="AI12" s="834">
        <f>+'Quarterly Financial Model '!AI25</f>
        <v>61.453000000000003</v>
      </c>
      <c r="AJ12" s="835">
        <f>+'Quarterly Financial Model '!AJ25</f>
        <v>67.751000000000005</v>
      </c>
      <c r="AK12" s="840">
        <f>+'Quarterly Financial Model '!AK25</f>
        <v>256.26099999999997</v>
      </c>
      <c r="AL12" s="833">
        <f>+'Quarterly Financial Model '!AL25</f>
        <v>71.215000000000003</v>
      </c>
      <c r="AM12" s="834">
        <f>+'Quarterly Financial Model '!AM25</f>
        <v>70.111999999999995</v>
      </c>
      <c r="AN12" s="834">
        <f>+'Quarterly Financial Model '!AN25</f>
        <v>70.393000000000001</v>
      </c>
      <c r="AO12" s="835">
        <f>+'Quarterly Financial Model '!AO25</f>
        <v>73.644999999999996</v>
      </c>
      <c r="AP12" s="840">
        <f>+'Quarterly Financial Model '!AP25</f>
        <v>285.36500000000001</v>
      </c>
      <c r="AQ12" s="833">
        <f>+'Quarterly Financial Model '!AQ25</f>
        <v>72.661000000000001</v>
      </c>
      <c r="AR12" s="834">
        <f>+'Quarterly Financial Model '!AR25</f>
        <v>73.965000000000003</v>
      </c>
      <c r="AS12" s="834">
        <f>+'Quarterly Financial Model '!AS25</f>
        <v>76.873000000000005</v>
      </c>
      <c r="AT12" s="835">
        <f>+'Quarterly Financial Model '!AT25</f>
        <v>80.3</v>
      </c>
      <c r="AU12" s="840">
        <f>+'Quarterly Financial Model '!AU25</f>
        <v>303.79900000000004</v>
      </c>
      <c r="AV12" s="833">
        <f>+'Quarterly Financial Model '!AV25</f>
        <v>138.89158478472265</v>
      </c>
      <c r="AW12" s="834">
        <f>+'Quarterly Financial Model '!AW25</f>
        <v>159.74268443879137</v>
      </c>
      <c r="AX12" s="834">
        <f>+'Quarterly Financial Model '!AX25</f>
        <v>164.67747068144575</v>
      </c>
      <c r="AY12" s="835">
        <f>+'Quarterly Financial Model '!AY25</f>
        <v>167.10401452000863</v>
      </c>
      <c r="AZ12" s="840">
        <f>+'Quarterly Financial Model '!AZ25</f>
        <v>630.41575442496844</v>
      </c>
      <c r="BA12" s="833">
        <f>+'Quarterly Financial Model '!BA25</f>
        <v>154.35303731255942</v>
      </c>
      <c r="BB12" s="834">
        <f>+'Quarterly Financial Model '!BB25</f>
        <v>163.63406579071739</v>
      </c>
      <c r="BC12" s="834">
        <f>+'Quarterly Financial Model '!BC25</f>
        <v>168.40663586077127</v>
      </c>
      <c r="BD12" s="835">
        <f>+'Quarterly Financial Model '!BD25</f>
        <v>170.83784756930496</v>
      </c>
      <c r="BE12" s="840">
        <f>+'Quarterly Financial Model '!BE25</f>
        <v>657.23158653335304</v>
      </c>
      <c r="BF12" s="833">
        <f>+'Quarterly Financial Model '!BF25</f>
        <v>155.81920009533894</v>
      </c>
      <c r="BG12" s="834">
        <f>+'Quarterly Financial Model '!BG25</f>
        <v>164.8490925139794</v>
      </c>
      <c r="BH12" s="834">
        <f>+'Quarterly Financial Model '!BH25</f>
        <v>169.2422322306883</v>
      </c>
      <c r="BI12" s="835">
        <f>+'Quarterly Financial Model '!BI25</f>
        <v>171.57886037000884</v>
      </c>
      <c r="BJ12" s="840">
        <f>+'Quarterly Financial Model '!BJ25</f>
        <v>661.48938521001537</v>
      </c>
    </row>
    <row r="13" spans="1:62">
      <c r="A13" s="809"/>
      <c r="B13" s="841" t="s">
        <v>89</v>
      </c>
      <c r="C13" s="842">
        <f>+'Quarterly Financial Model '!C27</f>
        <v>0.1765079365079365</v>
      </c>
      <c r="D13" s="843">
        <f>+'Quarterly Financial Model '!D27</f>
        <v>0.14333519241494699</v>
      </c>
      <c r="E13" s="843">
        <f>+'Quarterly Financial Model '!E27</f>
        <v>0.14083741163675909</v>
      </c>
      <c r="F13" s="844">
        <f>+'Quarterly Financial Model '!F27</f>
        <v>0.13932221624529315</v>
      </c>
      <c r="G13" s="845">
        <f>+'Quarterly Financial Model '!G27</f>
        <v>0.14902349278233798</v>
      </c>
      <c r="H13" s="842">
        <f>+'Quarterly Financial Model '!H27</f>
        <v>0.15984072810011377</v>
      </c>
      <c r="I13" s="843">
        <f>+'Quarterly Financial Model '!I27</f>
        <v>0.13761955366631243</v>
      </c>
      <c r="J13" s="843">
        <f>+'Quarterly Financial Model '!J27</f>
        <v>0.16566866267465072</v>
      </c>
      <c r="K13" s="844">
        <f>+'Quarterly Financial Model '!K27</f>
        <v>0.14587332053742802</v>
      </c>
      <c r="L13" s="845">
        <f>+'Quarterly Financial Model '!L27</f>
        <v>0.15217391304347827</v>
      </c>
      <c r="M13" s="846">
        <f>+'Quarterly Financial Model '!M27</f>
        <v>0.16646409131744436</v>
      </c>
      <c r="N13" s="303">
        <f>+'Quarterly Financial Model '!N27</f>
        <v>0.14524830543643655</v>
      </c>
      <c r="O13" s="303">
        <f>+'Quarterly Financial Model '!O27</f>
        <v>0.14893028402803393</v>
      </c>
      <c r="P13" s="847">
        <f>+'Quarterly Financial Model '!P27</f>
        <v>0.1355650052742616</v>
      </c>
      <c r="Q13" s="845">
        <f>+'Quarterly Financial Model '!Q27</f>
        <v>0.14809372646326305</v>
      </c>
      <c r="R13" s="846">
        <f>+'Quarterly Financial Model '!R27</f>
        <v>0.16577880394357233</v>
      </c>
      <c r="S13" s="303">
        <f>+'Quarterly Financial Model '!S27</f>
        <v>0.15005107958429664</v>
      </c>
      <c r="T13" s="303">
        <f>+'Quarterly Financial Model '!T27</f>
        <v>0.15405594649067497</v>
      </c>
      <c r="U13" s="847">
        <f>+'Quarterly Financial Model '!U27</f>
        <v>0.1415043549445768</v>
      </c>
      <c r="V13" s="845">
        <f>+'Quarterly Financial Model '!V27</f>
        <v>0.15237394904570711</v>
      </c>
      <c r="W13" s="842">
        <f>+'Quarterly Financial Model '!W27</f>
        <v>0.17789967790517439</v>
      </c>
      <c r="X13" s="843">
        <f>+'Quarterly Financial Model '!X27</f>
        <v>0.15939671344899245</v>
      </c>
      <c r="Y13" s="843">
        <f>+'Quarterly Financial Model '!Y27</f>
        <v>0.15661135394927364</v>
      </c>
      <c r="Z13" s="844">
        <f>+'Quarterly Financial Model '!Z27</f>
        <v>0.15853698051337881</v>
      </c>
      <c r="AA13" s="848">
        <f>+'Quarterly Financial Model '!AA27</f>
        <v>0.16277770766034813</v>
      </c>
      <c r="AB13" s="842">
        <f>+'Quarterly Financial Model '!AB27</f>
        <v>0.18691514286110381</v>
      </c>
      <c r="AC13" s="843">
        <f>+'Quarterly Financial Model '!AC27</f>
        <v>0.16138456384548755</v>
      </c>
      <c r="AD13" s="843">
        <f>+'Quarterly Financial Model '!AD27</f>
        <v>0.15230594165306674</v>
      </c>
      <c r="AE13" s="844">
        <f>+'Quarterly Financial Model '!AE27</f>
        <v>0.15015292801193586</v>
      </c>
      <c r="AF13" s="848">
        <f>+'Quarterly Financial Model '!AF27</f>
        <v>0.16095321481485705</v>
      </c>
      <c r="AG13" s="842">
        <f>+'Quarterly Financial Model '!AG27</f>
        <v>0.16667512317573072</v>
      </c>
      <c r="AH13" s="843">
        <f>+'Quarterly Financial Model '!AH27</f>
        <v>0.15258730166223688</v>
      </c>
      <c r="AI13" s="843">
        <f>+'Quarterly Financial Model '!AI27</f>
        <v>0.14276454872807529</v>
      </c>
      <c r="AJ13" s="844">
        <f>+'Quarterly Financial Model '!AJ27</f>
        <v>0.14950295139846639</v>
      </c>
      <c r="AK13" s="848">
        <f>+'Quarterly Financial Model '!AK27</f>
        <v>0.15237885137738622</v>
      </c>
      <c r="AL13" s="842">
        <f>+'Quarterly Financial Model '!AL27</f>
        <v>0.16515155028872244</v>
      </c>
      <c r="AM13" s="843">
        <f>+'Quarterly Financial Model '!AM27</f>
        <v>0.14592044222352182</v>
      </c>
      <c r="AN13" s="843">
        <f>+'Quarterly Financial Model '!AN27</f>
        <v>0.1434665286207501</v>
      </c>
      <c r="AO13" s="844">
        <f>+'Quarterly Financial Model '!AO27</f>
        <v>0.14658288416677945</v>
      </c>
      <c r="AP13" s="848">
        <f>+'Quarterly Financial Model '!AP27</f>
        <v>0.1498166961629307</v>
      </c>
      <c r="AQ13" s="842">
        <f>+'Quarterly Financial Model '!AQ27</f>
        <v>0.15456169832592373</v>
      </c>
      <c r="AR13" s="843">
        <f>+'Quarterly Financial Model '!AR27</f>
        <v>0.13954844150625154</v>
      </c>
      <c r="AS13" s="843">
        <f>+'Quarterly Financial Model '!AS27</f>
        <v>0.13870184327140983</v>
      </c>
      <c r="AT13" s="844">
        <f>+'Quarterly Financial Model '!AT27</f>
        <v>0.14113991130859369</v>
      </c>
      <c r="AU13" s="848">
        <f>+'Quarterly Financial Model '!AU27</f>
        <v>0.14307788963656781</v>
      </c>
      <c r="AV13" s="842">
        <f>+'Quarterly Financial Model '!AV27</f>
        <v>0.16650000000000001</v>
      </c>
      <c r="AW13" s="843">
        <f>+'Quarterly Financial Model '!AW27</f>
        <v>0.16400000000000001</v>
      </c>
      <c r="AX13" s="843">
        <f>+'Quarterly Financial Model '!AX27</f>
        <v>0.1615</v>
      </c>
      <c r="AY13" s="844">
        <f>+'Quarterly Financial Model '!AY27</f>
        <v>0.159</v>
      </c>
      <c r="AZ13" s="848">
        <f>+'Quarterly Financial Model '!AZ27</f>
        <v>0.16252571134520741</v>
      </c>
      <c r="BA13" s="842">
        <f>+'Quarterly Financial Model '!BA27</f>
        <v>0.1565</v>
      </c>
      <c r="BB13" s="843">
        <f>+'Quarterly Financial Model '!BB27</f>
        <v>0.154</v>
      </c>
      <c r="BC13" s="843">
        <f>+'Quarterly Financial Model '!BC27</f>
        <v>0.1515</v>
      </c>
      <c r="BD13" s="844">
        <f>+'Quarterly Financial Model '!BD27</f>
        <v>0.14899999999999999</v>
      </c>
      <c r="BE13" s="848">
        <f>+'Quarterly Financial Model '!BE27</f>
        <v>0.1525962153528829</v>
      </c>
      <c r="BF13" s="842">
        <f>+'Quarterly Financial Model '!BF27</f>
        <v>0.14449999999999999</v>
      </c>
      <c r="BG13" s="843">
        <f>+'Quarterly Financial Model '!BG27</f>
        <v>0.14199999999999999</v>
      </c>
      <c r="BH13" s="843">
        <f>+'Quarterly Financial Model '!BH27</f>
        <v>0.13949999999999999</v>
      </c>
      <c r="BI13" s="844">
        <f>+'Quarterly Financial Model '!BI27</f>
        <v>0.13699999999999998</v>
      </c>
      <c r="BJ13" s="848">
        <f>+'Quarterly Financial Model '!BJ27</f>
        <v>0.1405973655895775</v>
      </c>
    </row>
    <row r="14" spans="1:62">
      <c r="A14" s="809"/>
      <c r="B14" s="832" t="s">
        <v>97</v>
      </c>
      <c r="C14" s="833">
        <f>+'Quarterly Financial Model '!C31</f>
        <v>11.899999999999999</v>
      </c>
      <c r="D14" s="834">
        <f>+'Quarterly Financial Model '!D31</f>
        <v>12.8</v>
      </c>
      <c r="E14" s="834">
        <f>+'Quarterly Financial Model '!E31</f>
        <v>14.8</v>
      </c>
      <c r="F14" s="835">
        <f>+'Quarterly Financial Model '!F31</f>
        <v>16</v>
      </c>
      <c r="G14" s="836">
        <f>+'Quarterly Financial Model '!G31</f>
        <v>55.5</v>
      </c>
      <c r="H14" s="833">
        <f>+'Quarterly Financial Model '!H31</f>
        <v>14</v>
      </c>
      <c r="I14" s="834">
        <f>+'Quarterly Financial Model '!I31</f>
        <v>14</v>
      </c>
      <c r="J14" s="834">
        <f>+'Quarterly Financial Model '!J31</f>
        <v>13.8</v>
      </c>
      <c r="K14" s="835">
        <f>+'Quarterly Financial Model '!K31</f>
        <v>13.9</v>
      </c>
      <c r="L14" s="836">
        <f>+'Quarterly Financial Model '!L31</f>
        <v>55.699999999999996</v>
      </c>
      <c r="M14" s="837">
        <f>+'Quarterly Financial Model '!M31</f>
        <v>14</v>
      </c>
      <c r="N14" s="838">
        <f>+'Quarterly Financial Model '!N31</f>
        <v>16.3</v>
      </c>
      <c r="O14" s="838">
        <f>+'Quarterly Financial Model '!O31</f>
        <v>17</v>
      </c>
      <c r="P14" s="839">
        <f>+'Quarterly Financial Model '!P31</f>
        <v>15.2</v>
      </c>
      <c r="Q14" s="836">
        <f>+'Quarterly Financial Model '!Q31</f>
        <v>62.5</v>
      </c>
      <c r="R14" s="837">
        <f>+'Quarterly Financial Model '!R31</f>
        <v>18.327000000000002</v>
      </c>
      <c r="S14" s="838">
        <f>+'Quarterly Financial Model '!S31</f>
        <v>19.728000000000002</v>
      </c>
      <c r="T14" s="838">
        <f>+'Quarterly Financial Model '!T31</f>
        <v>17.503</v>
      </c>
      <c r="U14" s="839">
        <f>+'Quarterly Financial Model '!U31</f>
        <v>20.771000000000001</v>
      </c>
      <c r="V14" s="836">
        <f>+'Quarterly Financial Model '!V31</f>
        <v>76.329000000000008</v>
      </c>
      <c r="W14" s="833">
        <f>+'Quarterly Financial Model '!W31</f>
        <v>23.149000000000001</v>
      </c>
      <c r="X14" s="834">
        <f>+'Quarterly Financial Model '!X31</f>
        <v>21.814999999999998</v>
      </c>
      <c r="Y14" s="834">
        <f>+'Quarterly Financial Model '!Y31</f>
        <v>19.116</v>
      </c>
      <c r="Z14" s="835">
        <f>+'Quarterly Financial Model '!Z31</f>
        <v>22.574000000000002</v>
      </c>
      <c r="AA14" s="840">
        <f>+'Quarterly Financial Model '!AA31</f>
        <v>86.653999999999996</v>
      </c>
      <c r="AB14" s="833">
        <f>+'Quarterly Financial Model '!AB31</f>
        <v>22.504000000000001</v>
      </c>
      <c r="AC14" s="834">
        <f>+'Quarterly Financial Model '!AC31</f>
        <v>25.663</v>
      </c>
      <c r="AD14" s="834">
        <f>+'Quarterly Financial Model '!AD31</f>
        <v>29.864999999999998</v>
      </c>
      <c r="AE14" s="835">
        <f>+'Quarterly Financial Model '!AE31</f>
        <v>31.997</v>
      </c>
      <c r="AF14" s="840">
        <f>+'Quarterly Financial Model '!AF31</f>
        <v>110.029</v>
      </c>
      <c r="AG14" s="833">
        <f>+'Quarterly Financial Model '!AG31</f>
        <v>27.870999999999999</v>
      </c>
      <c r="AH14" s="834">
        <f>+'Quarterly Financial Model '!AH31</f>
        <v>30.526</v>
      </c>
      <c r="AI14" s="834">
        <f>+'Quarterly Financial Model '!AI31</f>
        <v>28.111000000000001</v>
      </c>
      <c r="AJ14" s="835">
        <f>+'Quarterly Financial Model '!AJ31</f>
        <v>30.591000000000001</v>
      </c>
      <c r="AK14" s="840">
        <f>+'Quarterly Financial Model '!AK31</f>
        <v>117.09899999999999</v>
      </c>
      <c r="AL14" s="833">
        <f>+'Quarterly Financial Model '!AL31</f>
        <v>30.957000000000001</v>
      </c>
      <c r="AM14" s="834">
        <f>+'Quarterly Financial Model '!AM31</f>
        <v>32.259</v>
      </c>
      <c r="AN14" s="834">
        <f>+'Quarterly Financial Model '!AN31</f>
        <v>30.134999999999998</v>
      </c>
      <c r="AO14" s="835">
        <f>+'Quarterly Financial Model '!AO31</f>
        <v>31.796999999999997</v>
      </c>
      <c r="AP14" s="840">
        <f>+'Quarterly Financial Model '!AP31</f>
        <v>125.148</v>
      </c>
      <c r="AQ14" s="833">
        <f>+'Quarterly Financial Model '!AQ31</f>
        <v>32.447000000000003</v>
      </c>
      <c r="AR14" s="834">
        <f>+'Quarterly Financial Model '!AR31</f>
        <v>31.585999999999999</v>
      </c>
      <c r="AS14" s="834">
        <f>+'Quarterly Financial Model '!AS31</f>
        <v>33.493000000000002</v>
      </c>
      <c r="AT14" s="835">
        <f>+'Quarterly Financial Model '!AT31</f>
        <v>34.44</v>
      </c>
      <c r="AU14" s="840">
        <f>+'Quarterly Financial Model '!AU31</f>
        <v>131.96600000000001</v>
      </c>
      <c r="AV14" s="833">
        <f>+'Quarterly Financial Model '!AV31</f>
        <v>67.151787238259303</v>
      </c>
      <c r="AW14" s="834">
        <f>+'Quarterly Financial Model '!AW31</f>
        <v>76.267391411935151</v>
      </c>
      <c r="AX14" s="834">
        <f>+'Quarterly Financial Model '!AX31</f>
        <v>77.291345372468044</v>
      </c>
      <c r="AY14" s="835">
        <f>+'Quarterly Financial Model '!AY31</f>
        <v>77.036001662368776</v>
      </c>
      <c r="AZ14" s="840">
        <f>+'Quarterly Financial Model '!AZ31</f>
        <v>297.74652568503126</v>
      </c>
      <c r="BA14" s="833">
        <f>+'Quarterly Financial Model '!BA31</f>
        <v>71.998541366241795</v>
      </c>
      <c r="BB14" s="834">
        <f>+'Quarterly Financial Model '!BB31</f>
        <v>75.229167908979164</v>
      </c>
      <c r="BC14" s="834">
        <f>+'Quarterly Financial Model '!BC31</f>
        <v>75.921935506869161</v>
      </c>
      <c r="BD14" s="835">
        <f>+'Quarterly Financial Model '!BD31</f>
        <v>75.44382798698166</v>
      </c>
      <c r="BE14" s="840">
        <f>+'Quarterly Financial Model '!BE31</f>
        <v>298.59347276907175</v>
      </c>
      <c r="BF14" s="833">
        <f>+'Quarterly Financial Model '!BF31</f>
        <v>73.326682397806564</v>
      </c>
      <c r="BG14" s="834">
        <f>+'Quarterly Financial Model '!BG31</f>
        <v>76.387818925491871</v>
      </c>
      <c r="BH14" s="834">
        <f>+'Quarterly Financial Model '!BH31</f>
        <v>76.79593763586071</v>
      </c>
      <c r="BI14" s="835">
        <f>+'Quarterly Financial Model '!BI31</f>
        <v>76.145946791945548</v>
      </c>
      <c r="BJ14" s="840">
        <f>+'Quarterly Financial Model '!BJ31</f>
        <v>302.65638575110472</v>
      </c>
    </row>
    <row r="15" spans="1:62">
      <c r="A15" s="809"/>
      <c r="B15" s="841" t="s">
        <v>89</v>
      </c>
      <c r="C15" s="842">
        <f>+'Quarterly Financial Model '!C33</f>
        <v>7.5555555555555542E-2</v>
      </c>
      <c r="D15" s="843">
        <f>+'Quarterly Financial Model '!D33</f>
        <v>7.1388733965421086E-2</v>
      </c>
      <c r="E15" s="843">
        <f>+'Quarterly Financial Model '!E33</f>
        <v>8.0478520935290926E-2</v>
      </c>
      <c r="F15" s="844">
        <f>+'Quarterly Financial Model '!F33</f>
        <v>8.606777837547068E-2</v>
      </c>
      <c r="G15" s="845">
        <f>+'Quarterly Financial Model '!G33</f>
        <v>7.8545145768468716E-2</v>
      </c>
      <c r="H15" s="842">
        <f>+'Quarterly Financial Model '!H33</f>
        <v>7.9635949943117179E-2</v>
      </c>
      <c r="I15" s="843">
        <f>+'Quarterly Financial Model '!I33</f>
        <v>7.4388947927736454E-2</v>
      </c>
      <c r="J15" s="843">
        <f>+'Quarterly Financial Model '!J33</f>
        <v>6.8862275449101798E-2</v>
      </c>
      <c r="K15" s="844">
        <f>+'Quarterly Financial Model '!K33</f>
        <v>6.6698656429942424E-2</v>
      </c>
      <c r="L15" s="845">
        <f>+'Quarterly Financial Model '!L33</f>
        <v>7.2075569358178049E-2</v>
      </c>
      <c r="M15" s="846">
        <f>+'Quarterly Financial Model '!M33</f>
        <v>7.3984040585530833E-2</v>
      </c>
      <c r="N15" s="303">
        <f>+'Quarterly Financial Model '!N33</f>
        <v>7.5160234241711615E-2</v>
      </c>
      <c r="O15" s="303">
        <f>+'Quarterly Financial Model '!O33</f>
        <v>7.8384360014754711E-2</v>
      </c>
      <c r="P15" s="847">
        <f>+'Quarterly Financial Model '!P33</f>
        <v>6.263185654008438E-2</v>
      </c>
      <c r="Q15" s="845">
        <f>+'Quarterly Financial Model '!Q33</f>
        <v>7.2198579594024495E-2</v>
      </c>
      <c r="R15" s="846">
        <f>+'Quarterly Financial Model '!R33</f>
        <v>7.8798354121789829E-2</v>
      </c>
      <c r="S15" s="303">
        <f>+'Quarterly Financial Model '!S33</f>
        <v>7.5766769849987314E-2</v>
      </c>
      <c r="T15" s="303">
        <f>+'Quarterly Financial Model '!T33</f>
        <v>6.7710650413737888E-2</v>
      </c>
      <c r="U15" s="847">
        <f>+'Quarterly Financial Model '!U33</f>
        <v>7.6593186963928819E-2</v>
      </c>
      <c r="V15" s="845">
        <f>+'Quarterly Financial Model '!V33</f>
        <v>7.4639023235892915E-2</v>
      </c>
      <c r="W15" s="842">
        <f>+'Quarterly Financial Model '!W33</f>
        <v>8.4825632738612169E-2</v>
      </c>
      <c r="X15" s="843">
        <f>+'Quarterly Financial Model '!X33</f>
        <v>7.3474185519371377E-2</v>
      </c>
      <c r="Y15" s="843">
        <f>+'Quarterly Financial Model '!Y33</f>
        <v>6.4974881545583701E-2</v>
      </c>
      <c r="Z15" s="844">
        <f>+'Quarterly Financial Model '!Z33</f>
        <v>7.3144493911645958E-2</v>
      </c>
      <c r="AA15" s="848">
        <f>+'Quarterly Financial Model '!AA33</f>
        <v>7.3896759096599457E-2</v>
      </c>
      <c r="AB15" s="842">
        <f>+'Quarterly Financial Model '!AB33</f>
        <v>7.7994815133156814E-2</v>
      </c>
      <c r="AC15" s="843">
        <f>+'Quarterly Financial Model '!AC33</f>
        <v>7.7452397695411651E-2</v>
      </c>
      <c r="AD15" s="843">
        <f>+'Quarterly Financial Model '!AD33</f>
        <v>7.8485323914568861E-2</v>
      </c>
      <c r="AE15" s="844">
        <f>+'Quarterly Financial Model '!AE33</f>
        <v>7.9564838990426462E-2</v>
      </c>
      <c r="AF15" s="848">
        <f>+'Quarterly Financial Model '!AF33</f>
        <v>7.8449924351425768E-2</v>
      </c>
      <c r="AG15" s="842">
        <f>+'Quarterly Financial Model '!AG33</f>
        <v>7.4428851828608811E-2</v>
      </c>
      <c r="AH15" s="843">
        <f>+'Quarterly Financial Model '!AH33</f>
        <v>7.205544251568527E-2</v>
      </c>
      <c r="AI15" s="843">
        <f>+'Quarterly Financial Model '!AI33</f>
        <v>6.5306075037751196E-2</v>
      </c>
      <c r="AJ15" s="844">
        <f>+'Quarterly Financial Model '!AJ33</f>
        <v>6.7503723727037016E-2</v>
      </c>
      <c r="AK15" s="848">
        <f>+'Quarterly Financial Model '!AK33</f>
        <v>6.9629834884904651E-2</v>
      </c>
      <c r="AL15" s="842">
        <f>+'Quarterly Financial Model '!AL33</f>
        <v>7.179100670207092E-2</v>
      </c>
      <c r="AM15" s="843">
        <f>+'Quarterly Financial Model '!AM33</f>
        <v>6.7138971155987437E-2</v>
      </c>
      <c r="AN15" s="843">
        <f>+'Quarterly Financial Model '!AN33</f>
        <v>6.1417525037806377E-2</v>
      </c>
      <c r="AO15" s="844">
        <f>+'Quarterly Financial Model '!AO33</f>
        <v>6.3288695333710177E-2</v>
      </c>
      <c r="AP15" s="848">
        <f>+'Quarterly Financial Model '!AP33</f>
        <v>6.5702731208797327E-2</v>
      </c>
      <c r="AQ15" s="842">
        <f>+'Quarterly Financial Model '!AQ33</f>
        <v>6.902001659186148E-2</v>
      </c>
      <c r="AR15" s="843">
        <f>+'Quarterly Financial Model '!AR33</f>
        <v>5.9592740801953099E-2</v>
      </c>
      <c r="AS15" s="843">
        <f>+'Quarterly Financial Model '!AS33</f>
        <v>6.0431371699937939E-2</v>
      </c>
      <c r="AT15" s="844">
        <f>+'Quarterly Financial Model '!AT33</f>
        <v>6.0533730329613532E-2</v>
      </c>
      <c r="AU15" s="848">
        <f>+'Quarterly Financial Model '!AU33</f>
        <v>6.2151016901896665E-2</v>
      </c>
      <c r="AV15" s="842">
        <f>+'Quarterly Financial Model '!AV33</f>
        <v>8.0500000000000002E-2</v>
      </c>
      <c r="AW15" s="843">
        <f>+'Quarterly Financial Model '!AW33</f>
        <v>7.8300000000000008E-2</v>
      </c>
      <c r="AX15" s="843">
        <f>+'Quarterly Financial Model '!AX33</f>
        <v>7.5800000000000006E-2</v>
      </c>
      <c r="AY15" s="844">
        <f>+'Quarterly Financial Model '!AY33</f>
        <v>7.3300000000000004E-2</v>
      </c>
      <c r="AZ15" s="848">
        <f>+'Quarterly Financial Model '!AZ33</f>
        <v>7.6761193780228221E-2</v>
      </c>
      <c r="BA15" s="842">
        <f>+'Quarterly Financial Model '!BA33</f>
        <v>7.3000000000000009E-2</v>
      </c>
      <c r="BB15" s="843">
        <f>+'Quarterly Financial Model '!BB33</f>
        <v>7.0800000000000002E-2</v>
      </c>
      <c r="BC15" s="843">
        <f>+'Quarterly Financial Model '!BC33</f>
        <v>6.83E-2</v>
      </c>
      <c r="BD15" s="844">
        <f>+'Quarterly Financial Model '!BD33</f>
        <v>6.5799999999999997E-2</v>
      </c>
      <c r="BE15" s="848">
        <f>+'Quarterly Financial Model '!BE33</f>
        <v>6.932751682548989E-2</v>
      </c>
      <c r="BF15" s="842">
        <f>+'Quarterly Financial Model '!BF33</f>
        <v>6.8000000000000005E-2</v>
      </c>
      <c r="BG15" s="843">
        <f>+'Quarterly Financial Model '!BG33</f>
        <v>6.5799999999999997E-2</v>
      </c>
      <c r="BH15" s="843">
        <f>+'Quarterly Financial Model '!BH33</f>
        <v>6.3299999999999995E-2</v>
      </c>
      <c r="BI15" s="844">
        <f>+'Quarterly Financial Model '!BI33</f>
        <v>6.08E-2</v>
      </c>
      <c r="BJ15" s="848">
        <f>+'Quarterly Financial Model '!BJ33</f>
        <v>6.4328606727314705E-2</v>
      </c>
    </row>
    <row r="16" spans="1:62" ht="4.5" customHeight="1">
      <c r="A16" s="809"/>
      <c r="B16" s="849"/>
      <c r="C16" s="850"/>
      <c r="D16" s="851"/>
      <c r="E16" s="851"/>
      <c r="F16" s="852"/>
      <c r="G16" s="853"/>
      <c r="H16" s="850"/>
      <c r="I16" s="851"/>
      <c r="J16" s="851"/>
      <c r="K16" s="852"/>
      <c r="L16" s="853"/>
      <c r="M16" s="850"/>
      <c r="N16" s="851"/>
      <c r="O16" s="851"/>
      <c r="P16" s="852"/>
      <c r="Q16" s="853"/>
      <c r="R16" s="850"/>
      <c r="S16" s="851"/>
      <c r="T16" s="851"/>
      <c r="U16" s="852"/>
      <c r="V16" s="853"/>
      <c r="W16" s="850"/>
      <c r="X16" s="851"/>
      <c r="Y16" s="851"/>
      <c r="Z16" s="852"/>
      <c r="AA16" s="854"/>
      <c r="AB16" s="850"/>
      <c r="AC16" s="851"/>
      <c r="AD16" s="851"/>
      <c r="AE16" s="852"/>
      <c r="AF16" s="854"/>
      <c r="AG16" s="850"/>
      <c r="AH16" s="851"/>
      <c r="AI16" s="851"/>
      <c r="AJ16" s="852"/>
      <c r="AK16" s="854"/>
      <c r="AL16" s="850"/>
      <c r="AM16" s="851"/>
      <c r="AN16" s="851"/>
      <c r="AO16" s="852"/>
      <c r="AP16" s="854"/>
      <c r="AQ16" s="850"/>
      <c r="AR16" s="851"/>
      <c r="AS16" s="851"/>
      <c r="AT16" s="852"/>
      <c r="AU16" s="854"/>
      <c r="AV16" s="850"/>
      <c r="AW16" s="851"/>
      <c r="AX16" s="851"/>
      <c r="AY16" s="852"/>
      <c r="AZ16" s="854"/>
      <c r="BA16" s="850"/>
      <c r="BB16" s="851"/>
      <c r="BC16" s="851"/>
      <c r="BD16" s="852"/>
      <c r="BE16" s="854"/>
      <c r="BF16" s="850"/>
      <c r="BG16" s="851"/>
      <c r="BH16" s="851"/>
      <c r="BI16" s="852"/>
      <c r="BJ16" s="854"/>
    </row>
    <row r="17" spans="1:62">
      <c r="A17" s="809"/>
      <c r="B17" s="817" t="s">
        <v>295</v>
      </c>
      <c r="C17" s="818">
        <f>+'Quarterly Financial Model '!C38</f>
        <v>72.099999999999994</v>
      </c>
      <c r="D17" s="819">
        <f>+'Quarterly Financial Model '!D38</f>
        <v>89.200000000000017</v>
      </c>
      <c r="E17" s="819">
        <f>+'Quarterly Financial Model '!E38</f>
        <v>94.600000000000009</v>
      </c>
      <c r="F17" s="820">
        <f>+'Quarterly Financial Model '!F38</f>
        <v>95.6</v>
      </c>
      <c r="G17" s="821">
        <f>+'Quarterly Financial Model '!G38</f>
        <v>351.49999999999994</v>
      </c>
      <c r="H17" s="818">
        <f>+'Quarterly Financial Model '!H38</f>
        <v>83.800000000000011</v>
      </c>
      <c r="I17" s="819">
        <f>+'Quarterly Financial Model '!I38</f>
        <v>96.299999999999983</v>
      </c>
      <c r="J17" s="819">
        <f>+'Quarterly Financial Model '!J38</f>
        <v>99.4</v>
      </c>
      <c r="K17" s="820">
        <f>+'Quarterly Financial Model '!K38</f>
        <v>107.80000000000001</v>
      </c>
      <c r="L17" s="821">
        <f>+'Quarterly Financial Model '!L38</f>
        <v>387.2999999999999</v>
      </c>
      <c r="M17" s="818">
        <f>+'Quarterly Financial Model '!M38</f>
        <v>87.53000000000003</v>
      </c>
      <c r="N17" s="819">
        <f>+'Quarterly Financial Model '!N38</f>
        <v>109.47000000000004</v>
      </c>
      <c r="O17" s="819">
        <f>+'Quarterly Financial Model '!O38</f>
        <v>111.38</v>
      </c>
      <c r="P17" s="820">
        <f>+'Quarterly Financial Model '!P38</f>
        <v>130.48800000000003</v>
      </c>
      <c r="Q17" s="821">
        <f>+'Quarterly Financial Model '!Q38</f>
        <v>438.86799999999999</v>
      </c>
      <c r="R17" s="818">
        <f>+'Quarterly Financial Model '!R38</f>
        <v>102.94000000000001</v>
      </c>
      <c r="S17" s="819">
        <f>+'Quarterly Financial Model '!S38</f>
        <v>131.04800000000006</v>
      </c>
      <c r="T17" s="819">
        <f>+'Quarterly Financial Model '!T38</f>
        <v>131.85799999999995</v>
      </c>
      <c r="U17" s="820">
        <f>+'Quarterly Financial Model '!U38</f>
        <v>143.99899999999997</v>
      </c>
      <c r="V17" s="821">
        <f>+'Quarterly Financial Model '!V38</f>
        <v>509.84499999999997</v>
      </c>
      <c r="W17" s="818">
        <f>+'Quarterly Financial Model '!W38</f>
        <v>125.227</v>
      </c>
      <c r="X17" s="819">
        <f>+'Quarterly Financial Model '!X38</f>
        <v>151.32999999999998</v>
      </c>
      <c r="Y17" s="819">
        <f>+'Quarterly Financial Model '!Y38</f>
        <v>149.46300000000002</v>
      </c>
      <c r="Z17" s="820">
        <f>+'Quarterly Financial Model '!Z38</f>
        <v>157.03899999999999</v>
      </c>
      <c r="AA17" s="822">
        <f>+'Quarterly Financial Model '!AA38</f>
        <v>583.05899999999986</v>
      </c>
      <c r="AB17" s="818">
        <f>+'Quarterly Financial Model '!AB38</f>
        <v>133.65299999999999</v>
      </c>
      <c r="AC17" s="819">
        <f>+'Quarterly Financial Model '!AC38</f>
        <v>161.69599999999997</v>
      </c>
      <c r="AD17" s="819">
        <f>+'Quarterly Financial Model '!AD38</f>
        <v>181.464</v>
      </c>
      <c r="AE17" s="820">
        <f>+'Quarterly Financial Model '!AE38</f>
        <v>193.59999999999997</v>
      </c>
      <c r="AF17" s="822">
        <f>+'Quarterly Financial Model '!AF38</f>
        <v>670.41300000000001</v>
      </c>
      <c r="AG17" s="818">
        <f>+'Quarterly Financial Model '!AG38</f>
        <v>168.12499999999997</v>
      </c>
      <c r="AH17" s="819">
        <f>+'Quarterly Financial Model '!AH38</f>
        <v>205.55199999999994</v>
      </c>
      <c r="AI17" s="819">
        <f>+'Quarterly Financial Model '!AI38</f>
        <v>208.405</v>
      </c>
      <c r="AJ17" s="820">
        <f>+'Quarterly Financial Model '!AJ38</f>
        <v>222.345</v>
      </c>
      <c r="AK17" s="822">
        <f>+'Quarterly Financial Model '!AK38</f>
        <v>804.42699999999991</v>
      </c>
      <c r="AL17" s="818">
        <f>+'Quarterly Financial Model '!AL38</f>
        <v>193.4</v>
      </c>
      <c r="AM17" s="819">
        <f>+'Quarterly Financial Model '!AM38</f>
        <v>233.26599999999996</v>
      </c>
      <c r="AN17" s="819">
        <f>+'Quarterly Financial Model '!AN38</f>
        <v>236.88199999999995</v>
      </c>
      <c r="AO17" s="820">
        <f>+'Quarterly Financial Model '!AO38</f>
        <v>248.44899999999998</v>
      </c>
      <c r="AP17" s="822">
        <f>+'Quarterly Financial Model '!AP38</f>
        <v>911.99699999999996</v>
      </c>
      <c r="AQ17" s="818">
        <f>+'Quarterly Financial Model '!AQ38</f>
        <v>209.96200000000005</v>
      </c>
      <c r="AR17" s="819">
        <f>+'Quarterly Financial Model '!AR38</f>
        <v>256.21699999999987</v>
      </c>
      <c r="AS17" s="819">
        <f>+'Quarterly Financial Model '!AS38</f>
        <v>270.08699999999999</v>
      </c>
      <c r="AT17" s="820">
        <f>+'Quarterly Financial Model '!AT38</f>
        <v>281.77500000000009</v>
      </c>
      <c r="AU17" s="822">
        <f>+'Quarterly Financial Model '!AU38</f>
        <v>1018.0410000000001</v>
      </c>
      <c r="AV17" s="818">
        <f>+'Quarterly Financial Model '!AV38</f>
        <v>394.56888650554833</v>
      </c>
      <c r="AW17" s="819">
        <f>+'Quarterly Financial Model '!AW38</f>
        <v>467.2473519834648</v>
      </c>
      <c r="AX17" s="819">
        <f>+'Quarterly Financial Model '!AX38</f>
        <v>496.2756964746726</v>
      </c>
      <c r="AY17" s="820">
        <f>+'Quarterly Financial Model '!AY38</f>
        <v>518.86321992785065</v>
      </c>
      <c r="AZ17" s="822">
        <f>+'Quarterly Financial Model '!AZ38</f>
        <v>1876.9551548915363</v>
      </c>
      <c r="BA17" s="818">
        <f>+'Quarterly Financial Model '!BA38</f>
        <v>486.23672456927665</v>
      </c>
      <c r="BB17" s="819">
        <f>+'Quarterly Financial Model '!BB38</f>
        <v>530.9606667248147</v>
      </c>
      <c r="BC17" s="819">
        <f>+'Quarterly Financial Model '!BC38</f>
        <v>563.24516429473795</v>
      </c>
      <c r="BD17" s="820">
        <f>+'Quarterly Financial Model '!BD38</f>
        <v>588.9892771567246</v>
      </c>
      <c r="BE17" s="822">
        <f>+'Quarterly Financial Model '!BE38</f>
        <v>2169.4318327455549</v>
      </c>
      <c r="BF17" s="818">
        <f>+'Quarterly Financial Model '!BF38</f>
        <v>549.95011798354926</v>
      </c>
      <c r="BG17" s="819">
        <f>+'Quarterly Financial Model '!BG38</f>
        <v>599.84173311248719</v>
      </c>
      <c r="BH17" s="819">
        <f>+'Quarterly Financial Model '!BH38</f>
        <v>635.35596429542284</v>
      </c>
      <c r="BI17" s="820">
        <f>+'Quarterly Financial Model '!BI38</f>
        <v>664.64891385666942</v>
      </c>
      <c r="BJ17" s="822">
        <f>+'Quarterly Financial Model '!BJ38</f>
        <v>2449.7967292481285</v>
      </c>
    </row>
    <row r="18" spans="1:62">
      <c r="A18" s="809"/>
      <c r="B18" s="855" t="s">
        <v>16</v>
      </c>
      <c r="C18" s="856">
        <f>+'Quarterly Financial Model '!C39</f>
        <v>0</v>
      </c>
      <c r="D18" s="857">
        <f>+'Quarterly Financial Model '!D39</f>
        <v>0</v>
      </c>
      <c r="E18" s="857">
        <f>+'Quarterly Financial Model '!E39</f>
        <v>0</v>
      </c>
      <c r="F18" s="858">
        <f>+'Quarterly Financial Model '!F39</f>
        <v>0</v>
      </c>
      <c r="G18" s="155">
        <f>+'Quarterly Financial Model '!G39</f>
        <v>0</v>
      </c>
      <c r="H18" s="856">
        <f>+'Quarterly Financial Model '!H39</f>
        <v>0.16227461858529835</v>
      </c>
      <c r="I18" s="857">
        <f>+'Quarterly Financial Model '!I39</f>
        <v>7.959641255605332E-2</v>
      </c>
      <c r="J18" s="857">
        <f>+'Quarterly Financial Model '!J39</f>
        <v>5.0739957716701811E-2</v>
      </c>
      <c r="K18" s="858">
        <f>+'Quarterly Financial Model '!K39</f>
        <v>0.12761506276150647</v>
      </c>
      <c r="L18" s="155">
        <f>+'Quarterly Financial Model '!L39</f>
        <v>0.10184921763869115</v>
      </c>
      <c r="M18" s="856">
        <f>+'Quarterly Financial Model '!M39</f>
        <v>4.4510739856802095E-2</v>
      </c>
      <c r="N18" s="857">
        <f>+'Quarterly Financial Model '!N39</f>
        <v>0.1367601246105925</v>
      </c>
      <c r="O18" s="857">
        <f>+'Quarterly Financial Model '!O39</f>
        <v>0.12052313883299792</v>
      </c>
      <c r="P18" s="858">
        <f>+'Quarterly Financial Model '!P39</f>
        <v>0.21046382189239354</v>
      </c>
      <c r="Q18" s="155">
        <f>+'Quarterly Financial Model '!Q39</f>
        <v>0.13314743093209436</v>
      </c>
      <c r="R18" s="856">
        <f>+'Quarterly Financial Model '!R39</f>
        <v>0.17605392436878753</v>
      </c>
      <c r="S18" s="857">
        <f>+'Quarterly Financial Model '!S39</f>
        <v>0.19711336439207106</v>
      </c>
      <c r="T18" s="857">
        <f>+'Quarterly Financial Model '!T39</f>
        <v>0.18385706590052031</v>
      </c>
      <c r="U18" s="858">
        <f>+'Quarterly Financial Model '!U39</f>
        <v>0.1035420881613629</v>
      </c>
      <c r="V18" s="155">
        <f>+'Quarterly Financial Model '!V39</f>
        <v>0.16172744424291574</v>
      </c>
      <c r="W18" s="856">
        <f>+'Quarterly Financial Model '!W39</f>
        <v>0.21650476005440056</v>
      </c>
      <c r="X18" s="857">
        <f>+'Quarterly Financial Model '!X39</f>
        <v>0.15476771869849149</v>
      </c>
      <c r="Y18" s="857">
        <f>+'Quarterly Financial Model '!Y39</f>
        <v>0.13351484172367312</v>
      </c>
      <c r="Z18" s="858">
        <f>+'Quarterly Financial Model '!Z39</f>
        <v>9.0556184417947438E-2</v>
      </c>
      <c r="AA18" s="859">
        <f>+'Quarterly Financial Model '!AA39</f>
        <v>0.14360050603614805</v>
      </c>
      <c r="AB18" s="856">
        <f>+'Quarterly Financial Model '!AB39</f>
        <v>6.7285808970908745E-2</v>
      </c>
      <c r="AC18" s="857">
        <f>+'Quarterly Financial Model '!AC39</f>
        <v>6.8499306152117745E-2</v>
      </c>
      <c r="AD18" s="857">
        <f>+'Quarterly Financial Model '!AD39</f>
        <v>0.21410650127456266</v>
      </c>
      <c r="AE18" s="858">
        <f>+'Quarterly Financial Model '!AE39</f>
        <v>0.23281477849451404</v>
      </c>
      <c r="AF18" s="859">
        <f>+'Quarterly Financial Model '!AF39</f>
        <v>0.1498201725725874</v>
      </c>
      <c r="AG18" s="856">
        <f>+'Quarterly Financial Model '!AG39</f>
        <v>0.25792163288515768</v>
      </c>
      <c r="AH18" s="857">
        <f>+'Quarterly Financial Model '!AH39</f>
        <v>0.27122501484266759</v>
      </c>
      <c r="AI18" s="857">
        <f>+'Quarterly Financial Model '!AI39</f>
        <v>0.14846470925362598</v>
      </c>
      <c r="AJ18" s="858">
        <f>+'Quarterly Financial Model '!AJ39</f>
        <v>0.14847623966942169</v>
      </c>
      <c r="AK18" s="859">
        <f>+'Quarterly Financial Model '!AK39</f>
        <v>0.19989767501525169</v>
      </c>
      <c r="AL18" s="856">
        <f>+'Quarterly Financial Model '!AL39</f>
        <v>0.15033457249070659</v>
      </c>
      <c r="AM18" s="857">
        <f>+'Quarterly Financial Model '!AM39</f>
        <v>0.13482719701097556</v>
      </c>
      <c r="AN18" s="857">
        <f>+'Quarterly Financial Model '!AN39</f>
        <v>0.13664259494733777</v>
      </c>
      <c r="AO18" s="858">
        <f>+'Quarterly Financial Model '!AO39</f>
        <v>0.11740313476804065</v>
      </c>
      <c r="AP18" s="859">
        <f>+'Quarterly Financial Model '!AP39</f>
        <v>0.13372251304344585</v>
      </c>
      <c r="AQ18" s="856">
        <f>+'Quarterly Financial Model '!AQ39</f>
        <v>8.5635987590486184E-2</v>
      </c>
      <c r="AR18" s="857">
        <f>+'Quarterly Financial Model '!AR39</f>
        <v>9.8389821062649041E-2</v>
      </c>
      <c r="AS18" s="857">
        <f>+'Quarterly Financial Model '!AS39</f>
        <v>0.14017527714220601</v>
      </c>
      <c r="AT18" s="858">
        <f>+'Quarterly Financial Model '!AT39</f>
        <v>0.13413618086609369</v>
      </c>
      <c r="AU18" s="859">
        <f>+'Quarterly Financial Model '!AU39</f>
        <v>0.11627669827861298</v>
      </c>
      <c r="AV18" s="856">
        <f>+'Quarterly Financial Model '!AV39</f>
        <v>0.87923951241438103</v>
      </c>
      <c r="AW18" s="857">
        <f>+'Quarterly Financial Model '!AW39</f>
        <v>0.82363914956253881</v>
      </c>
      <c r="AX18" s="857">
        <f>+'Quarterly Financial Model '!AX39</f>
        <v>0.83746606269340118</v>
      </c>
      <c r="AY18" s="858">
        <f>+'Quarterly Financial Model '!AY39</f>
        <v>0.84140970606991572</v>
      </c>
      <c r="AZ18" s="859">
        <f>+'Quarterly Financial Model '!AZ39</f>
        <v>0.84369308789286102</v>
      </c>
      <c r="BA18" s="856">
        <f>+'Quarterly Financial Model '!BA39</f>
        <v>0.2323240407412086</v>
      </c>
      <c r="BB18" s="857">
        <f>+'Quarterly Financial Model '!BB39</f>
        <v>0.13635885676159942</v>
      </c>
      <c r="BC18" s="857">
        <f>+'Quarterly Financial Model '!BC39</f>
        <v>0.13494408107386158</v>
      </c>
      <c r="BD18" s="858">
        <f>+'Quarterly Financial Model '!BD39</f>
        <v>0.13515326300951758</v>
      </c>
      <c r="BE18" s="859">
        <f>+'Quarterly Financial Model '!BE39</f>
        <v>0.15582507503804477</v>
      </c>
      <c r="BF18" s="856">
        <f>+'Quarterly Financial Model '!BF39</f>
        <v>0.13103369242772001</v>
      </c>
      <c r="BG18" s="857">
        <f>+'Quarterly Financial Model '!BG39</f>
        <v>0.12972913193845304</v>
      </c>
      <c r="BH18" s="857">
        <f>+'Quarterly Financial Model '!BH39</f>
        <v>0.12802737523894714</v>
      </c>
      <c r="BI18" s="858">
        <f>+'Quarterly Financial Model '!BI39</f>
        <v>0.12845673025692883</v>
      </c>
      <c r="BJ18" s="859">
        <f>+'Quarterly Financial Model '!BJ39</f>
        <v>0.12923425030956337</v>
      </c>
    </row>
    <row r="19" spans="1:62">
      <c r="A19" s="860"/>
      <c r="B19" s="861" t="s">
        <v>24</v>
      </c>
      <c r="C19" s="862">
        <f>+'Quarterly Financial Model '!C40</f>
        <v>0.45777777777777773</v>
      </c>
      <c r="D19" s="863">
        <f>+'Quarterly Financial Model '!D40</f>
        <v>0.49749023982152824</v>
      </c>
      <c r="E19" s="863">
        <f>+'Quarterly Financial Model '!E40</f>
        <v>0.51441000543773796</v>
      </c>
      <c r="F19" s="864">
        <f>+'Quarterly Financial Model '!F40</f>
        <v>0.51425497579343726</v>
      </c>
      <c r="G19" s="865">
        <f>+'Quarterly Financial Model '!G40</f>
        <v>0.4974525898669685</v>
      </c>
      <c r="H19" s="862">
        <f>+'Quarterly Financial Model '!H40</f>
        <v>0.47667804323094431</v>
      </c>
      <c r="I19" s="863">
        <f>+'Quarterly Financial Model '!I40</f>
        <v>0.51168969181721569</v>
      </c>
      <c r="J19" s="863">
        <f>+'Quarterly Financial Model '!J40</f>
        <v>0.49600798403193613</v>
      </c>
      <c r="K19" s="864">
        <f>+'Quarterly Financial Model '!K40</f>
        <v>0.51727447216890599</v>
      </c>
      <c r="L19" s="865">
        <f>+'Quarterly Financial Model '!L40</f>
        <v>0.5011645962732918</v>
      </c>
      <c r="M19" s="862">
        <f>+'Quarterly Financial Model '!M40</f>
        <v>0.46255879088939394</v>
      </c>
      <c r="N19" s="863">
        <f>+'Quarterly Financial Model '!N40</f>
        <v>0.50477244432148305</v>
      </c>
      <c r="O19" s="863">
        <f>+'Quarterly Financial Model '!O40</f>
        <v>0.51355588343784575</v>
      </c>
      <c r="P19" s="864">
        <f>+'Quarterly Financial Model '!P40</f>
        <v>0.537678006329114</v>
      </c>
      <c r="Q19" s="865">
        <f>+'Quarterly Financial Model '!Q40</f>
        <v>0.5069703396683255</v>
      </c>
      <c r="R19" s="862">
        <f>+'Quarterly Financial Model '!R40</f>
        <v>0.44259849256818057</v>
      </c>
      <c r="S19" s="863">
        <f>+'Quarterly Financial Model '!S40</f>
        <v>0.50329904984292084</v>
      </c>
      <c r="T19" s="863">
        <f>+'Quarterly Financial Model '!T40</f>
        <v>0.51009489471831382</v>
      </c>
      <c r="U19" s="864">
        <f>+'Quarterly Financial Model '!U40</f>
        <v>0.53099717537040991</v>
      </c>
      <c r="V19" s="865">
        <f>+'Quarterly Financial Model '!V40</f>
        <v>0.49855667965915729</v>
      </c>
      <c r="W19" s="862">
        <f>+'Quarterly Financial Model '!W40</f>
        <v>0.45887336433358616</v>
      </c>
      <c r="X19" s="863">
        <f>+'Quarterly Financial Model '!X40</f>
        <v>0.5096882188698818</v>
      </c>
      <c r="Y19" s="863">
        <f>+'Quarterly Financial Model '!Y40</f>
        <v>0.50802159031426963</v>
      </c>
      <c r="Z19" s="864">
        <f>+'Quarterly Financial Model '!Z40</f>
        <v>0.50883929207898326</v>
      </c>
      <c r="AA19" s="866">
        <f>+'Quarterly Financial Model '!AA40</f>
        <v>0.49722079144764436</v>
      </c>
      <c r="AB19" s="862">
        <f>+'Quarterly Financial Model '!AB40</f>
        <v>0.46321725146604187</v>
      </c>
      <c r="AC19" s="863">
        <f>+'Quarterly Financial Model '!AC40</f>
        <v>0.4880077503704664</v>
      </c>
      <c r="AD19" s="863">
        <f>+'Quarterly Financial Model '!AD40</f>
        <v>0.47688802339974296</v>
      </c>
      <c r="AE19" s="864">
        <f>+'Quarterly Financial Model '!AE40</f>
        <v>0.48141240830535864</v>
      </c>
      <c r="AF19" s="866">
        <f>+'Quarterly Financial Model '!AF40</f>
        <v>0.47799988306912183</v>
      </c>
      <c r="AG19" s="862">
        <f>+'Quarterly Financial Model '!AG40</f>
        <v>0.44897386938699207</v>
      </c>
      <c r="AH19" s="863">
        <f>+'Quarterly Financial Model '!AH40</f>
        <v>0.48519754700858725</v>
      </c>
      <c r="AI19" s="863">
        <f>+'Quarterly Financial Model '!AI40</f>
        <v>0.48415611569287959</v>
      </c>
      <c r="AJ19" s="864">
        <f>+'Quarterly Financial Model '!AJ40</f>
        <v>0.49063827439730789</v>
      </c>
      <c r="AK19" s="866">
        <f>+'Quarterly Financial Model '!AK40</f>
        <v>0.47833131954123592</v>
      </c>
      <c r="AL19" s="862">
        <f>+'Quarterly Financial Model '!AL40</f>
        <v>0.44850536861390045</v>
      </c>
      <c r="AM19" s="863">
        <f>+'Quarterly Financial Model '!AM40</f>
        <v>0.48548433757005993</v>
      </c>
      <c r="AN19" s="863">
        <f>+'Quarterly Financial Model '!AN40</f>
        <v>0.48278434265822623</v>
      </c>
      <c r="AO19" s="864">
        <f>+'Quarterly Financial Model '!AO40</f>
        <v>0.49451247183586378</v>
      </c>
      <c r="AP19" s="866">
        <f>+'Quarterly Financial Model '!AP40</f>
        <v>0.47879865242935987</v>
      </c>
      <c r="AQ19" s="862">
        <f>+'Quarterly Financial Model '!AQ40</f>
        <v>0.44662313075663151</v>
      </c>
      <c r="AR19" s="863">
        <f>+'Quarterly Financial Model '!AR40</f>
        <v>0.48340002754555844</v>
      </c>
      <c r="AS19" s="863">
        <f>+'Quarterly Financial Model '!AS40</f>
        <v>0.48731758541549386</v>
      </c>
      <c r="AT19" s="864">
        <f>+'Quarterly Financial Model '!AT40</f>
        <v>0.49526399139450811</v>
      </c>
      <c r="AU19" s="866">
        <f>+'Quarterly Financial Model '!AU40</f>
        <v>0.4794589772958473</v>
      </c>
      <c r="AV19" s="862">
        <f>+'Quarterly Financial Model '!AV40</f>
        <v>0.47299999999999992</v>
      </c>
      <c r="AW19" s="863">
        <f>+'Quarterly Financial Model '!AW40</f>
        <v>0.47970000000000002</v>
      </c>
      <c r="AX19" s="863">
        <f>+'Quarterly Financial Model '!AX40</f>
        <v>0.48669999999999991</v>
      </c>
      <c r="AY19" s="864">
        <f>+'Quarterly Financial Model '!AY40</f>
        <v>0.49369999999999992</v>
      </c>
      <c r="AZ19" s="866">
        <f>+'Quarterly Financial Model '!AZ40</f>
        <v>0.48389252579839842</v>
      </c>
      <c r="BA19" s="862">
        <f>+'Quarterly Financial Model '!BA40</f>
        <v>0.49299999999999999</v>
      </c>
      <c r="BB19" s="863">
        <f>+'Quarterly Financial Model '!BB40</f>
        <v>0.49969999999999992</v>
      </c>
      <c r="BC19" s="863">
        <f>+'Quarterly Financial Model '!BC40</f>
        <v>0.50669999999999993</v>
      </c>
      <c r="BD19" s="864">
        <f>+'Quarterly Financial Model '!BD40</f>
        <v>0.51370000000000005</v>
      </c>
      <c r="BE19" s="866">
        <f>+'Quarterly Financial Model '!BE40</f>
        <v>0.50369929553932091</v>
      </c>
      <c r="BF19" s="862">
        <f>+'Quarterly Financial Model '!BF40</f>
        <v>0.51</v>
      </c>
      <c r="BG19" s="863">
        <f>+'Quarterly Financial Model '!BG40</f>
        <v>0.51670000000000005</v>
      </c>
      <c r="BH19" s="863">
        <f>+'Quarterly Financial Model '!BH40</f>
        <v>0.52370000000000005</v>
      </c>
      <c r="BI19" s="864">
        <f>+'Quarterly Financial Model '!BI40</f>
        <v>0.53070000000000006</v>
      </c>
      <c r="BJ19" s="866">
        <f>+'Quarterly Financial Model '!BJ40</f>
        <v>0.52069613521144575</v>
      </c>
    </row>
    <row r="20" spans="1:62">
      <c r="A20" s="809"/>
      <c r="B20" s="867" t="s">
        <v>99</v>
      </c>
      <c r="C20" s="868"/>
      <c r="D20" s="869"/>
      <c r="E20" s="869"/>
      <c r="F20" s="870"/>
      <c r="G20" s="871"/>
      <c r="H20" s="872">
        <f>+'Quarterly Financial Model '!H41</f>
        <v>189.00265453166588</v>
      </c>
      <c r="I20" s="873">
        <f>+'Quarterly Financial Model '!I41</f>
        <v>141.99451995687451</v>
      </c>
      <c r="J20" s="873">
        <f>+'Quarterly Financial Model '!J41</f>
        <v>-184.02021405801827</v>
      </c>
      <c r="K20" s="874">
        <f>+'Quarterly Financial Model '!K41</f>
        <v>30.194963754687222</v>
      </c>
      <c r="L20" s="871">
        <f>+'Quarterly Financial Model '!L41</f>
        <v>37.120064063232981</v>
      </c>
      <c r="M20" s="872">
        <f>+'Quarterly Financial Model '!M41</f>
        <v>-141.1925234155037</v>
      </c>
      <c r="N20" s="873">
        <f>+'Quarterly Financial Model '!N41</f>
        <v>-69.172474957326372</v>
      </c>
      <c r="O20" s="873">
        <f>+'Quarterly Financial Model '!O41</f>
        <v>175.47899405909618</v>
      </c>
      <c r="P20" s="874">
        <f>+'Quarterly Financial Model '!P41</f>
        <v>204.03534160208014</v>
      </c>
      <c r="Q20" s="871">
        <f>+'Quarterly Financial Model '!Q41</f>
        <v>58.057433950337021</v>
      </c>
      <c r="R20" s="872">
        <f>+'Quarterly Financial Model '!R41</f>
        <v>-199.60298321213378</v>
      </c>
      <c r="S20" s="873">
        <f>+'Quarterly Financial Model '!S41</f>
        <v>-14.733944785622066</v>
      </c>
      <c r="T20" s="873">
        <f>+'Quarterly Financial Model '!T41</f>
        <v>-34.609887195319324</v>
      </c>
      <c r="U20" s="874">
        <f>+'Quarterly Financial Model '!U41</f>
        <v>-66.808309587040867</v>
      </c>
      <c r="V20" s="871">
        <f>+'Quarterly Financial Model '!V41</f>
        <v>-84.136600091682112</v>
      </c>
      <c r="W20" s="872">
        <f>+'Quarterly Financial Model '!W41</f>
        <v>162.74871765405595</v>
      </c>
      <c r="X20" s="873">
        <f>+'Quarterly Financial Model '!X41</f>
        <v>63.891690269609612</v>
      </c>
      <c r="Y20" s="873">
        <f>+'Quarterly Financial Model '!Y41</f>
        <v>-20.73304404044185</v>
      </c>
      <c r="Z20" s="874">
        <f>+'Quarterly Financial Model '!Z41</f>
        <v>-221.57883291426651</v>
      </c>
      <c r="AA20" s="875">
        <f>+'Quarterly Financial Model '!AA41</f>
        <v>-13.358882115129255</v>
      </c>
      <c r="AB20" s="872">
        <f>+'Quarterly Financial Model '!AB41</f>
        <v>43.438871324557041</v>
      </c>
      <c r="AC20" s="873">
        <f>+'Quarterly Financial Model '!AC41</f>
        <v>-216.80468499415406</v>
      </c>
      <c r="AD20" s="873">
        <f>+'Quarterly Financial Model '!AD41</f>
        <v>-311.33566914526676</v>
      </c>
      <c r="AE20" s="874">
        <f>+'Quarterly Financial Model '!AE41</f>
        <v>-274.26883773624621</v>
      </c>
      <c r="AF20" s="875">
        <f>+'Quarterly Financial Model '!AF41</f>
        <v>-192.20908378522529</v>
      </c>
      <c r="AG20" s="872">
        <f>+'Quarterly Financial Model '!AG41</f>
        <v>-142.43382079049795</v>
      </c>
      <c r="AH20" s="873">
        <f>+'Quarterly Financial Model '!AH41</f>
        <v>-28.102033618791488</v>
      </c>
      <c r="AI20" s="873">
        <f>+'Quarterly Financial Model '!AI41</f>
        <v>72.680922931366297</v>
      </c>
      <c r="AJ20" s="874">
        <f>+'Quarterly Financial Model '!AJ41</f>
        <v>92.258660919492527</v>
      </c>
      <c r="AK20" s="875">
        <f>+'Quarterly Financial Model '!AK41</f>
        <v>3.3143647211408833</v>
      </c>
      <c r="AL20" s="872">
        <f>+'Quarterly Financial Model '!AL41</f>
        <v>-4.6850077309162907</v>
      </c>
      <c r="AM20" s="873">
        <f>+'Quarterly Financial Model '!AM41</f>
        <v>2.8679056147268289</v>
      </c>
      <c r="AN20" s="873">
        <f>+'Quarterly Financial Model '!AN41</f>
        <v>-13.717730346533564</v>
      </c>
      <c r="AO20" s="874">
        <f>+'Quarterly Financial Model '!AO41</f>
        <v>38.741974385558819</v>
      </c>
      <c r="AP20" s="875">
        <f>+'Quarterly Financial Model '!AP41</f>
        <v>4.6733288812395024</v>
      </c>
      <c r="AQ20" s="872">
        <f>+'Quarterly Financial Model '!AQ41</f>
        <v>-18.822378572689313</v>
      </c>
      <c r="AR20" s="873">
        <f>+'Quarterly Financial Model '!AR41</f>
        <v>-20.843100245014902</v>
      </c>
      <c r="AS20" s="873">
        <f>+'Quarterly Financial Model '!AS41</f>
        <v>45.332427572676302</v>
      </c>
      <c r="AT20" s="874">
        <f>+'Quarterly Financial Model '!AT41</f>
        <v>7.5151955864433129</v>
      </c>
      <c r="AU20" s="875">
        <f>+'Quarterly Financial Model '!AU41</f>
        <v>6.6032486648742728</v>
      </c>
      <c r="AV20" s="872">
        <f>+'Quarterly Financial Model '!AV41</f>
        <v>263.76869243368407</v>
      </c>
      <c r="AW20" s="873">
        <f>+'Quarterly Financial Model '!AW41</f>
        <v>-37.000275455584266</v>
      </c>
      <c r="AX20" s="873">
        <f>+'Quarterly Financial Model '!AX41</f>
        <v>-6.1758541549394863</v>
      </c>
      <c r="AY20" s="874">
        <f>+'Quarterly Financial Model '!AY41</f>
        <v>-15.639913945081908</v>
      </c>
      <c r="AZ20" s="875">
        <f>+'Quarterly Financial Model '!AZ41</f>
        <v>44.335485025511211</v>
      </c>
      <c r="BA20" s="872">
        <f>+'Quarterly Financial Model '!BA41</f>
        <v>200.00000000000074</v>
      </c>
      <c r="BB20" s="873">
        <f>+'Quarterly Financial Model '!BB41</f>
        <v>199.99999999999906</v>
      </c>
      <c r="BC20" s="873">
        <f>+'Quarterly Financial Model '!BC41</f>
        <v>200.00000000000017</v>
      </c>
      <c r="BD20" s="874">
        <f>+'Quarterly Financial Model '!BD41</f>
        <v>200.00000000000128</v>
      </c>
      <c r="BE20" s="875">
        <f>+'Quarterly Financial Model '!BE41</f>
        <v>198.06769740922491</v>
      </c>
      <c r="BF20" s="872">
        <f>+'Quarterly Financial Model '!BF41</f>
        <v>170.00000000000014</v>
      </c>
      <c r="BG20" s="873">
        <f>+'Quarterly Financial Model '!BG41</f>
        <v>170.00000000000125</v>
      </c>
      <c r="BH20" s="873">
        <f>+'Quarterly Financial Model '!BH41</f>
        <v>170.00000000000125</v>
      </c>
      <c r="BI20" s="874">
        <f>+'Quarterly Financial Model '!BI41</f>
        <v>170.00000000000014</v>
      </c>
      <c r="BJ20" s="875">
        <f>+'Quarterly Financial Model '!BJ41</f>
        <v>169.96839672124841</v>
      </c>
    </row>
    <row r="21" spans="1:62" ht="5.25" customHeight="1">
      <c r="A21" s="809"/>
      <c r="B21" s="867"/>
      <c r="C21" s="868"/>
      <c r="D21" s="869"/>
      <c r="E21" s="869"/>
      <c r="F21" s="870"/>
      <c r="G21" s="871"/>
      <c r="H21" s="868"/>
      <c r="I21" s="869"/>
      <c r="J21" s="869"/>
      <c r="K21" s="870"/>
      <c r="L21" s="871"/>
      <c r="M21" s="868"/>
      <c r="N21" s="869"/>
      <c r="O21" s="869"/>
      <c r="P21" s="870"/>
      <c r="Q21" s="871"/>
      <c r="R21" s="868"/>
      <c r="S21" s="869"/>
      <c r="T21" s="869"/>
      <c r="U21" s="870"/>
      <c r="V21" s="871"/>
      <c r="W21" s="868"/>
      <c r="X21" s="869"/>
      <c r="Y21" s="869"/>
      <c r="Z21" s="870"/>
      <c r="AA21" s="875"/>
      <c r="AB21" s="868"/>
      <c r="AC21" s="869"/>
      <c r="AD21" s="869"/>
      <c r="AE21" s="870"/>
      <c r="AF21" s="875"/>
      <c r="AG21" s="868"/>
      <c r="AH21" s="869"/>
      <c r="AI21" s="869"/>
      <c r="AJ21" s="870"/>
      <c r="AK21" s="875"/>
      <c r="AL21" s="868"/>
      <c r="AM21" s="869"/>
      <c r="AN21" s="869"/>
      <c r="AO21" s="870"/>
      <c r="AP21" s="875"/>
      <c r="AQ21" s="868"/>
      <c r="AR21" s="869"/>
      <c r="AS21" s="869"/>
      <c r="AT21" s="870"/>
      <c r="AU21" s="875"/>
      <c r="AV21" s="868"/>
      <c r="AW21" s="869"/>
      <c r="AX21" s="869"/>
      <c r="AY21" s="870"/>
      <c r="AZ21" s="875"/>
      <c r="BA21" s="868"/>
      <c r="BB21" s="869"/>
      <c r="BC21" s="869"/>
      <c r="BD21" s="870"/>
      <c r="BE21" s="875"/>
      <c r="BF21" s="868"/>
      <c r="BG21" s="869"/>
      <c r="BH21" s="869"/>
      <c r="BI21" s="870"/>
      <c r="BJ21" s="875"/>
    </row>
    <row r="22" spans="1:62">
      <c r="A22" s="809"/>
      <c r="B22" s="876" t="s">
        <v>296</v>
      </c>
      <c r="C22" s="877"/>
      <c r="D22" s="878"/>
      <c r="E22" s="878"/>
      <c r="F22" s="879"/>
      <c r="G22" s="877"/>
      <c r="H22" s="877">
        <f>+'Quarterly Financial Model '!H126</f>
        <v>83.4</v>
      </c>
      <c r="I22" s="878">
        <f>+'Quarterly Financial Model '!I126</f>
        <v>95.499999999999986</v>
      </c>
      <c r="J22" s="878">
        <f>+'Quarterly Financial Model '!J126</f>
        <v>97.9</v>
      </c>
      <c r="K22" s="879">
        <f>+'Quarterly Financial Model '!K126</f>
        <v>107.70000000000002</v>
      </c>
      <c r="L22" s="877">
        <f>+'Quarterly Financial Model '!L126</f>
        <v>384.49999999999989</v>
      </c>
      <c r="M22" s="877">
        <f>+'Quarterly Financial Model '!M126</f>
        <v>86.830000000000027</v>
      </c>
      <c r="N22" s="878">
        <f>+'Quarterly Financial Model '!N126</f>
        <v>108.77000000000004</v>
      </c>
      <c r="O22" s="878">
        <f>+'Quarterly Financial Model '!O126</f>
        <v>110.58</v>
      </c>
      <c r="P22" s="879">
        <f>+'Quarterly Financial Model '!P126</f>
        <v>129.71600000000004</v>
      </c>
      <c r="Q22" s="877">
        <f>+'Quarterly Financial Model '!Q126</f>
        <v>435.89600000000002</v>
      </c>
      <c r="R22" s="877">
        <f>+'Quarterly Financial Model '!R126</f>
        <v>94.277000000000015</v>
      </c>
      <c r="S22" s="878">
        <f>+'Quarterly Financial Model '!S126</f>
        <v>122.21900000000005</v>
      </c>
      <c r="T22" s="878">
        <f>+'Quarterly Financial Model '!T126</f>
        <v>122.46199999999995</v>
      </c>
      <c r="U22" s="879">
        <f>+'Quarterly Financial Model '!U126</f>
        <v>137.44399999999996</v>
      </c>
      <c r="V22" s="877">
        <f>+'Quarterly Financial Model '!V126</f>
        <v>476.40199999999999</v>
      </c>
      <c r="W22" s="877">
        <f>+'Quarterly Financial Model '!W126</f>
        <v>118.48700000000001</v>
      </c>
      <c r="X22" s="878">
        <f>+'Quarterly Financial Model '!X126</f>
        <v>144.13999999999999</v>
      </c>
      <c r="Y22" s="878">
        <f>+'Quarterly Financial Model '!Y126</f>
        <v>142.04100000000003</v>
      </c>
      <c r="Z22" s="879">
        <f>+'Quarterly Financial Model '!Z126</f>
        <v>148.66199999999998</v>
      </c>
      <c r="AA22" s="880">
        <f>+'Quarterly Financial Model '!AA126</f>
        <v>553.32999999999981</v>
      </c>
      <c r="AB22" s="877">
        <f>+'Quarterly Financial Model '!AB126</f>
        <v>124.714</v>
      </c>
      <c r="AC22" s="878">
        <f>+'Quarterly Financial Model '!AC126</f>
        <v>150.59099999999998</v>
      </c>
      <c r="AD22" s="878">
        <f>+'Quarterly Financial Model '!AD126</f>
        <v>170.71100000000001</v>
      </c>
      <c r="AE22" s="879">
        <f>+'Quarterly Financial Model '!AE126</f>
        <v>182.22599999999997</v>
      </c>
      <c r="AF22" s="880">
        <f>+'Quarterly Financial Model '!AF126</f>
        <v>628.24199999999996</v>
      </c>
      <c r="AG22" s="877">
        <f>+'Quarterly Financial Model '!AG126</f>
        <v>156.50199999999998</v>
      </c>
      <c r="AH22" s="878">
        <f>+'Quarterly Financial Model '!AH126</f>
        <v>200.45499999999993</v>
      </c>
      <c r="AI22" s="878">
        <f>+'Quarterly Financial Model '!AI126</f>
        <v>201.273</v>
      </c>
      <c r="AJ22" s="879">
        <f>+'Quarterly Financial Model '!AJ126</f>
        <v>215.70500000000001</v>
      </c>
      <c r="AK22" s="880">
        <f>+'Quarterly Financial Model '!AK126</f>
        <v>773.93499999999995</v>
      </c>
      <c r="AL22" s="877">
        <f>+'Quarterly Financial Model '!AL126</f>
        <v>185.048</v>
      </c>
      <c r="AM22" s="878">
        <f>+'Quarterly Financial Model '!AM126</f>
        <v>225.32599999999996</v>
      </c>
      <c r="AN22" s="878">
        <f>+'Quarterly Financial Model '!AN126</f>
        <v>227.28199999999995</v>
      </c>
      <c r="AO22" s="879">
        <f>+'Quarterly Financial Model '!AO126</f>
        <v>238.46999999999997</v>
      </c>
      <c r="AP22" s="880">
        <f>+'Quarterly Financial Model '!AP126</f>
        <v>876.12599999999998</v>
      </c>
      <c r="AQ22" s="877">
        <f>+'Quarterly Financial Model '!AQ126</f>
        <v>199.38200000000003</v>
      </c>
      <c r="AR22" s="878">
        <f>+'Quarterly Financial Model '!AR126</f>
        <v>245.33599999999987</v>
      </c>
      <c r="AS22" s="878">
        <f>+'Quarterly Financial Model '!AS126</f>
        <v>256.48</v>
      </c>
      <c r="AT22" s="879">
        <f>+'Quarterly Financial Model '!AT126</f>
        <v>268.98800000000011</v>
      </c>
      <c r="AU22" s="880">
        <f>+'Quarterly Financial Model '!AU126</f>
        <v>970.18600000000004</v>
      </c>
      <c r="AV22" s="877">
        <f>+'Quarterly Financial Model '!AV126</f>
        <v>379.55358004233506</v>
      </c>
      <c r="AW22" s="878">
        <f>+'Quarterly Financial Model '!AW126</f>
        <v>449.71461832554866</v>
      </c>
      <c r="AX22" s="878">
        <f>+'Quarterly Financial Model '!AX126</f>
        <v>477.92155113556407</v>
      </c>
      <c r="AY22" s="879">
        <f>+'Quarterly Financial Model '!AY126</f>
        <v>499.94578432181191</v>
      </c>
      <c r="AZ22" s="880">
        <f>+'Quarterly Financial Model '!AZ126</f>
        <v>1807.1355338252597</v>
      </c>
      <c r="BA22" s="877">
        <f>+'Quarterly Financial Model '!BA126</f>
        <v>468.48365957486089</v>
      </c>
      <c r="BB22" s="878">
        <f>+'Quarterly Financial Model '!BB126</f>
        <v>511.83460708693866</v>
      </c>
      <c r="BC22" s="878">
        <f>+'Quarterly Financial Model '!BC126</f>
        <v>543.23645508355719</v>
      </c>
      <c r="BD22" s="879">
        <f>+'Quarterly Financial Model '!BD126</f>
        <v>568.35114792016429</v>
      </c>
      <c r="BE22" s="880">
        <f>+'Quarterly Financial Model '!BE126</f>
        <v>2091.905869665522</v>
      </c>
      <c r="BF22" s="877">
        <f>+'Quarterly Financial Model '!BF126</f>
        <v>530.54011381942405</v>
      </c>
      <c r="BG22" s="878">
        <f>+'Quarterly Financial Model '!BG126</f>
        <v>578.945369272687</v>
      </c>
      <c r="BH22" s="878">
        <f>+'Quarterly Financial Model '!BH126</f>
        <v>613.51825691081785</v>
      </c>
      <c r="BI22" s="879">
        <f>+'Quarterly Financial Model '!BI126</f>
        <v>642.10570592484339</v>
      </c>
      <c r="BJ22" s="880">
        <f>+'Quarterly Financial Model '!BJ126</f>
        <v>2365.109445927772</v>
      </c>
    </row>
    <row r="23" spans="1:62" ht="6" customHeight="1">
      <c r="A23" s="809"/>
      <c r="B23" s="881"/>
      <c r="C23" s="882"/>
      <c r="D23" s="883"/>
      <c r="E23" s="883"/>
      <c r="F23" s="884"/>
      <c r="G23" s="885"/>
      <c r="H23" s="882"/>
      <c r="I23" s="883"/>
      <c r="J23" s="883"/>
      <c r="K23" s="884"/>
      <c r="L23" s="885"/>
      <c r="M23" s="882"/>
      <c r="N23" s="883"/>
      <c r="O23" s="883"/>
      <c r="P23" s="884"/>
      <c r="Q23" s="885"/>
      <c r="R23" s="882"/>
      <c r="S23" s="883"/>
      <c r="T23" s="883"/>
      <c r="U23" s="884"/>
      <c r="V23" s="885"/>
      <c r="W23" s="882"/>
      <c r="X23" s="883"/>
      <c r="Y23" s="883"/>
      <c r="Z23" s="884"/>
      <c r="AA23" s="886"/>
      <c r="AB23" s="882"/>
      <c r="AC23" s="883"/>
      <c r="AD23" s="883"/>
      <c r="AE23" s="884"/>
      <c r="AF23" s="886"/>
      <c r="AG23" s="882"/>
      <c r="AH23" s="883"/>
      <c r="AI23" s="883"/>
      <c r="AJ23" s="884"/>
      <c r="AK23" s="886"/>
      <c r="AL23" s="882"/>
      <c r="AM23" s="883"/>
      <c r="AN23" s="883"/>
      <c r="AO23" s="884"/>
      <c r="AP23" s="886"/>
      <c r="AQ23" s="882"/>
      <c r="AR23" s="883"/>
      <c r="AS23" s="883"/>
      <c r="AT23" s="884"/>
      <c r="AU23" s="886"/>
      <c r="AV23" s="882"/>
      <c r="AW23" s="883"/>
      <c r="AX23" s="883"/>
      <c r="AY23" s="884"/>
      <c r="AZ23" s="886"/>
      <c r="BA23" s="882"/>
      <c r="BB23" s="883"/>
      <c r="BC23" s="883"/>
      <c r="BD23" s="884"/>
      <c r="BE23" s="886"/>
      <c r="BF23" s="882"/>
      <c r="BG23" s="883"/>
      <c r="BH23" s="883"/>
      <c r="BI23" s="884"/>
      <c r="BJ23" s="886"/>
    </row>
    <row r="24" spans="1:62">
      <c r="A24" s="809"/>
      <c r="B24" s="832" t="s">
        <v>297</v>
      </c>
      <c r="C24" s="837">
        <f>+'Quarterly Financial Model '!C44</f>
        <v>8.1</v>
      </c>
      <c r="D24" s="838">
        <f>+'Quarterly Financial Model '!D44</f>
        <v>8.1</v>
      </c>
      <c r="E24" s="838">
        <f>+'Quarterly Financial Model '!E44</f>
        <v>8.1</v>
      </c>
      <c r="F24" s="839">
        <f>+'Quarterly Financial Model '!F44</f>
        <v>8.1</v>
      </c>
      <c r="G24" s="836">
        <f>+'Quarterly Financial Model '!G44</f>
        <v>32.4</v>
      </c>
      <c r="H24" s="837">
        <f>+'Quarterly Financial Model '!H44</f>
        <v>8.1</v>
      </c>
      <c r="I24" s="838">
        <f>+'Quarterly Financial Model '!I44</f>
        <v>8.1</v>
      </c>
      <c r="J24" s="838">
        <f>+'Quarterly Financial Model '!J44</f>
        <v>8.1</v>
      </c>
      <c r="K24" s="839">
        <f>+'Quarterly Financial Model '!K44</f>
        <v>8.1</v>
      </c>
      <c r="L24" s="836">
        <f>+'Quarterly Financial Model '!L44</f>
        <v>32.4</v>
      </c>
      <c r="M24" s="837">
        <f>+'Quarterly Financial Model '!M44</f>
        <v>8.1</v>
      </c>
      <c r="N24" s="838">
        <f>+'Quarterly Financial Model '!N44</f>
        <v>8.1</v>
      </c>
      <c r="O24" s="838">
        <f>+'Quarterly Financial Model '!O44</f>
        <v>8.1</v>
      </c>
      <c r="P24" s="839">
        <f>+'Quarterly Financial Model '!P44</f>
        <v>9.5</v>
      </c>
      <c r="Q24" s="836">
        <f>+'Quarterly Financial Model '!Q44</f>
        <v>33.799999999999997</v>
      </c>
      <c r="R24" s="837">
        <f>+'Quarterly Financial Model '!R44</f>
        <v>9.6059999999999999</v>
      </c>
      <c r="S24" s="838">
        <f>+'Quarterly Financial Model '!S44</f>
        <v>10.381</v>
      </c>
      <c r="T24" s="838">
        <f>+'Quarterly Financial Model '!T44</f>
        <v>11.039</v>
      </c>
      <c r="U24" s="839">
        <f>+'Quarterly Financial Model '!U44</f>
        <v>12.077</v>
      </c>
      <c r="V24" s="836">
        <f>+'Quarterly Financial Model '!V44</f>
        <v>43.103000000000002</v>
      </c>
      <c r="W24" s="837">
        <f>+'Quarterly Financial Model '!W44</f>
        <v>12.836</v>
      </c>
      <c r="X24" s="838">
        <f>+'Quarterly Financial Model '!X44</f>
        <v>14.082000000000001</v>
      </c>
      <c r="Y24" s="838">
        <f>+'Quarterly Financial Model '!Y44</f>
        <v>16.635999999999999</v>
      </c>
      <c r="Z24" s="839">
        <f>+'Quarterly Financial Model '!Z44</f>
        <v>16.937999999999999</v>
      </c>
      <c r="AA24" s="840">
        <f>+'Quarterly Financial Model '!AA44</f>
        <v>60.492000000000004</v>
      </c>
      <c r="AB24" s="837">
        <f>+'Quarterly Financial Model '!AB44</f>
        <v>17.597999999999999</v>
      </c>
      <c r="AC24" s="838">
        <f>+'Quarterly Financial Model '!AC44</f>
        <v>18.940000000000001</v>
      </c>
      <c r="AD24" s="838">
        <f>+'Quarterly Financial Model '!AD44</f>
        <v>20.143000000000001</v>
      </c>
      <c r="AE24" s="838">
        <f>+'Quarterly Financial Model '!AE44</f>
        <v>19.824999999999999</v>
      </c>
      <c r="AF24" s="887">
        <f>+'Quarterly Financial Model '!AF44</f>
        <v>76.506</v>
      </c>
      <c r="AG24" s="837">
        <f>+'Quarterly Financial Model '!AG44</f>
        <v>20.577000000000002</v>
      </c>
      <c r="AH24" s="838">
        <f>+'Quarterly Financial Model '!AH44</f>
        <v>20.135000000000002</v>
      </c>
      <c r="AI24" s="838">
        <f>+'Quarterly Financial Model '!AI44</f>
        <v>21.956</v>
      </c>
      <c r="AJ24" s="838">
        <f>+'Quarterly Financial Model '!AJ44</f>
        <v>22.832999999999998</v>
      </c>
      <c r="AK24" s="887">
        <f>+'Quarterly Financial Model '!AK44</f>
        <v>85.501000000000005</v>
      </c>
      <c r="AL24" s="837">
        <f>+'Quarterly Financial Model '!AL44</f>
        <v>20.565000000000001</v>
      </c>
      <c r="AM24" s="838">
        <f>+'Quarterly Financial Model '!AM44</f>
        <v>17.992000000000001</v>
      </c>
      <c r="AN24" s="838">
        <f>+'Quarterly Financial Model '!AN44</f>
        <v>18.289000000000001</v>
      </c>
      <c r="AO24" s="838">
        <f>+'Quarterly Financial Model '!AO44</f>
        <v>22.386000000000003</v>
      </c>
      <c r="AP24" s="887">
        <f>+'Quarterly Financial Model '!AP44</f>
        <v>79.231999999999999</v>
      </c>
      <c r="AQ24" s="837">
        <f>+'Quarterly Financial Model '!AQ44</f>
        <v>24.18</v>
      </c>
      <c r="AR24" s="838">
        <f>+'Quarterly Financial Model '!AR44</f>
        <v>24.084000000000003</v>
      </c>
      <c r="AS24" s="838">
        <f>+'Quarterly Financial Model '!AS44</f>
        <v>27.22</v>
      </c>
      <c r="AT24" s="838">
        <f>+'Quarterly Financial Model '!AT44</f>
        <v>25.159999999999997</v>
      </c>
      <c r="AU24" s="887">
        <f>+'Quarterly Financial Model '!AU44</f>
        <v>100.64400000000001</v>
      </c>
      <c r="AV24" s="837">
        <f>+'Quarterly Financial Model '!AV44</f>
        <v>35.452806927031311</v>
      </c>
      <c r="AW24" s="838">
        <f>+'Quarterly Financial Model '!AW44</f>
        <v>41.396732247857521</v>
      </c>
      <c r="AX24" s="838">
        <f>+'Quarterly Financial Model '!AX44</f>
        <v>43.3361764951173</v>
      </c>
      <c r="AY24" s="838">
        <f>+'Quarterly Financial Model '!AY44</f>
        <v>44.666167403146964</v>
      </c>
      <c r="AZ24" s="887">
        <f>+'Quarterly Financial Model '!AZ44</f>
        <v>164.85188307315309</v>
      </c>
      <c r="BA24" s="837">
        <f>+'Quarterly Financial Model '!BA44</f>
        <v>46.848365957486088</v>
      </c>
      <c r="BB24" s="838">
        <f>+'Quarterly Financial Model '!BB44</f>
        <v>50.471546266617374</v>
      </c>
      <c r="BC24" s="838">
        <f>+'Quarterly Financial Model '!BC44</f>
        <v>52.800760418393637</v>
      </c>
      <c r="BD24" s="838">
        <f>+'Quarterly Financial Model '!BD44</f>
        <v>54.461729929811987</v>
      </c>
      <c r="BE24" s="887">
        <f>+'Quarterly Financial Model '!BE44</f>
        <v>204.58240257230906</v>
      </c>
      <c r="BF24" s="837">
        <f>+'Quarterly Financial Model '!BF44</f>
        <v>51.220844321997234</v>
      </c>
      <c r="BG24" s="838">
        <f>+'Quarterly Financial Model '!BG44</f>
        <v>55.14318235502833</v>
      </c>
      <c r="BH24" s="838">
        <f>+'Quarterly Financial Model '!BH44</f>
        <v>57.627283376040829</v>
      </c>
      <c r="BI24" s="838">
        <f>+'Quarterly Financial Model '!BI44</f>
        <v>59.489020931207456</v>
      </c>
      <c r="BJ24" s="887">
        <f>+'Quarterly Financial Model '!BJ44</f>
        <v>223.48033098427385</v>
      </c>
    </row>
    <row r="25" spans="1:62">
      <c r="A25" s="809"/>
      <c r="B25" s="841" t="s">
        <v>89</v>
      </c>
      <c r="C25" s="846">
        <f>+'Quarterly Financial Model '!C46</f>
        <v>5.1428571428571428E-2</v>
      </c>
      <c r="D25" s="303">
        <f>+'Quarterly Financial Model '!D46</f>
        <v>4.5175683212493024E-2</v>
      </c>
      <c r="E25" s="303">
        <f>+'Quarterly Financial Model '!E46</f>
        <v>4.4045676998368678E-2</v>
      </c>
      <c r="F25" s="847">
        <f>+'Quarterly Financial Model '!F46</f>
        <v>4.357181280258203E-2</v>
      </c>
      <c r="G25" s="845">
        <f>+'Quarterly Financial Model '!G46</f>
        <v>4.5853382394565524E-2</v>
      </c>
      <c r="H25" s="846">
        <f>+'Quarterly Financial Model '!H46</f>
        <v>4.6075085324232073E-2</v>
      </c>
      <c r="I25" s="303">
        <f>+'Quarterly Financial Model '!I46</f>
        <v>4.3039319872476091E-2</v>
      </c>
      <c r="J25" s="303">
        <f>+'Quarterly Financial Model '!J46</f>
        <v>4.0419161676646706E-2</v>
      </c>
      <c r="K25" s="847">
        <f>+'Quarterly Financial Model '!K46</f>
        <v>3.8867562380038384E-2</v>
      </c>
      <c r="L25" s="845">
        <f>+'Quarterly Financial Model '!L46</f>
        <v>4.192546583850932E-2</v>
      </c>
      <c r="M25" s="846">
        <f>+'Quarterly Financial Model '!M46</f>
        <v>4.2805052053057117E-2</v>
      </c>
      <c r="N25" s="303">
        <f>+'Quarterly Financial Model '!N46</f>
        <v>3.7349564255083685E-2</v>
      </c>
      <c r="O25" s="303">
        <f>+'Quarterly Financial Model '!O46</f>
        <v>3.734784212467724E-2</v>
      </c>
      <c r="P25" s="847">
        <f>+'Quarterly Financial Model '!P46</f>
        <v>3.9144910337552741E-2</v>
      </c>
      <c r="Q25" s="845">
        <f>+'Quarterly Financial Model '!Q46</f>
        <v>3.9044991844448443E-2</v>
      </c>
      <c r="R25" s="846">
        <f>+'Quarterly Financial Model '!R46</f>
        <v>4.130174003895417E-2</v>
      </c>
      <c r="S25" s="303">
        <f>+'Quarterly Financial Model '!S46</f>
        <v>3.9868959743142654E-2</v>
      </c>
      <c r="T25" s="303">
        <f>+'Quarterly Financial Model '!T46</f>
        <v>4.2704557499700195E-2</v>
      </c>
      <c r="U25" s="847">
        <f>+'Quarterly Financial Model '!U46</f>
        <v>4.4534009867766039E-2</v>
      </c>
      <c r="V25" s="845">
        <f>+'Quarterly Financial Model '!V46</f>
        <v>4.2148669817981266E-2</v>
      </c>
      <c r="W25" s="846">
        <f>+'Quarterly Financial Model '!W46</f>
        <v>4.7035371801495779E-2</v>
      </c>
      <c r="X25" s="303">
        <f>+'Quarterly Financial Model '!X46</f>
        <v>4.7428992916974007E-2</v>
      </c>
      <c r="Y25" s="303">
        <f>+'Quarterly Financial Model '!Y46</f>
        <v>5.6545413757707177E-2</v>
      </c>
      <c r="Z25" s="847">
        <f>+'Quarterly Financial Model '!Z46</f>
        <v>5.4882672006532254E-2</v>
      </c>
      <c r="AA25" s="848">
        <f>+'Quarterly Financial Model '!AA46</f>
        <v>4.2999999999999997E-2</v>
      </c>
      <c r="AB25" s="846">
        <f>+'Quarterly Financial Model '!AB46</f>
        <v>6.0991501809158084E-2</v>
      </c>
      <c r="AC25" s="303">
        <f>+'Quarterly Financial Model '!AC46</f>
        <v>5.7162000247480679E-2</v>
      </c>
      <c r="AD25" s="303">
        <f>+'Quarterly Financial Model '!AD46</f>
        <v>5.2935874087097295E-2</v>
      </c>
      <c r="AE25" s="847">
        <f>+'Quarterly Financial Model '!AE46</f>
        <v>4.9297525798831281E-2</v>
      </c>
      <c r="AF25" s="848">
        <f>+'Quarterly Financial Model '!AF46</f>
        <v>5.4548254664044754E-2</v>
      </c>
      <c r="AG25" s="846">
        <f>+'Quarterly Financial Model '!AG46</f>
        <v>5.4950395898148034E-2</v>
      </c>
      <c r="AH25" s="303">
        <f>+'Quarterly Financial Model '!AH46</f>
        <v>4.7527888850596972E-2</v>
      </c>
      <c r="AI25" s="303">
        <f>+'Quarterly Financial Model '!AI46</f>
        <v>5.1007085608084562E-2</v>
      </c>
      <c r="AJ25" s="847">
        <f>+'Quarterly Financial Model '!AJ46</f>
        <v>5.0384509295526007E-2</v>
      </c>
      <c r="AK25" s="848">
        <f>+'Quarterly Financial Model '!AK46</f>
        <v>5.0840916766959864E-2</v>
      </c>
      <c r="AL25" s="846">
        <f>+'Quarterly Financial Model '!AL46</f>
        <v>4.769138007003549E-2</v>
      </c>
      <c r="AM25" s="303">
        <f>+'Quarterly Financial Model '!AM46</f>
        <v>3.744580951171847E-2</v>
      </c>
      <c r="AN25" s="303">
        <f>+'Quarterly Financial Model '!AN46</f>
        <v>3.7274435553888867E-2</v>
      </c>
      <c r="AO25" s="847">
        <f>+'Quarterly Financial Model '!AO46</f>
        <v>4.455705675819846E-2</v>
      </c>
      <c r="AP25" s="848">
        <f>+'Quarterly Financial Model '!AP46</f>
        <v>4.1596819758489383E-2</v>
      </c>
      <c r="AQ25" s="846">
        <f>+'Quarterly Financial Model '!AQ46</f>
        <v>5.1434770585607623E-2</v>
      </c>
      <c r="AR25" s="303">
        <f>+'Quarterly Financial Model '!AR46</f>
        <v>4.5438851689806832E-2</v>
      </c>
      <c r="AS25" s="303">
        <f>+'Quarterly Financial Model '!AS46</f>
        <v>4.9113006827465756E-2</v>
      </c>
      <c r="AT25" s="847">
        <f>+'Quarterly Financial Model '!AT46</f>
        <v>4.4222667104909304E-2</v>
      </c>
      <c r="AU25" s="848">
        <f>+'Quarterly Financial Model '!AU46</f>
        <v>4.7399534312432656E-2</v>
      </c>
      <c r="AV25" s="846">
        <f>+'Quarterly Financial Model '!AV46</f>
        <v>4.2500000000000003E-2</v>
      </c>
      <c r="AW25" s="303">
        <f>+'Quarterly Financial Model '!AW46</f>
        <v>4.2500000000000003E-2</v>
      </c>
      <c r="AX25" s="303">
        <f>+'Quarterly Financial Model '!AX46</f>
        <v>4.2500000000000003E-2</v>
      </c>
      <c r="AY25" s="847">
        <f>+'Quarterly Financial Model '!AY46</f>
        <v>4.2500000000000003E-2</v>
      </c>
      <c r="AZ25" s="848">
        <f>+'Quarterly Financial Model '!AZ46</f>
        <v>4.2500000000000003E-2</v>
      </c>
      <c r="BA25" s="846">
        <f>+'Quarterly Financial Model '!BA46</f>
        <v>4.7500000000000001E-2</v>
      </c>
      <c r="BB25" s="303">
        <f>+'Quarterly Financial Model '!BB46</f>
        <v>4.7500000000000001E-2</v>
      </c>
      <c r="BC25" s="303">
        <f>+'Quarterly Financial Model '!BC46</f>
        <v>4.7500000000000001E-2</v>
      </c>
      <c r="BD25" s="847">
        <f>+'Quarterly Financial Model '!BD46</f>
        <v>4.7500000000000001E-2</v>
      </c>
      <c r="BE25" s="848">
        <f>+'Quarterly Financial Model '!BE46</f>
        <v>4.7499999999999987E-2</v>
      </c>
      <c r="BF25" s="846">
        <f>+'Quarterly Financial Model '!BF46</f>
        <v>4.7500000000000001E-2</v>
      </c>
      <c r="BG25" s="303">
        <f>+'Quarterly Financial Model '!BG46</f>
        <v>4.7500000000000001E-2</v>
      </c>
      <c r="BH25" s="303">
        <f>+'Quarterly Financial Model '!BH46</f>
        <v>4.7500000000000001E-2</v>
      </c>
      <c r="BI25" s="847">
        <f>+'Quarterly Financial Model '!BI46</f>
        <v>4.7500000000000001E-2</v>
      </c>
      <c r="BJ25" s="848">
        <f>+'Quarterly Financial Model '!BJ46</f>
        <v>4.7500000000000001E-2</v>
      </c>
    </row>
    <row r="26" spans="1:62">
      <c r="A26" s="809"/>
      <c r="B26" s="888" t="s">
        <v>102</v>
      </c>
      <c r="C26" s="818">
        <f>+'Quarterly Financial Model '!C48</f>
        <v>63.999999999999993</v>
      </c>
      <c r="D26" s="819">
        <f>+'Quarterly Financial Model '!D48</f>
        <v>81.100000000000023</v>
      </c>
      <c r="E26" s="819">
        <f>+'Quarterly Financial Model '!E48</f>
        <v>86.500000000000014</v>
      </c>
      <c r="F26" s="820">
        <f>+'Quarterly Financial Model '!F48</f>
        <v>87.5</v>
      </c>
      <c r="G26" s="821">
        <f>+'Quarterly Financial Model '!G48</f>
        <v>319.09999999999997</v>
      </c>
      <c r="H26" s="818">
        <f>+'Quarterly Financial Model '!H48</f>
        <v>75.700000000000017</v>
      </c>
      <c r="I26" s="819">
        <f>+'Quarterly Financial Model '!I48</f>
        <v>88.199999999999989</v>
      </c>
      <c r="J26" s="819">
        <f>+'Quarterly Financial Model '!J48</f>
        <v>91.300000000000011</v>
      </c>
      <c r="K26" s="820">
        <f>+'Quarterly Financial Model '!K48</f>
        <v>99.700000000000017</v>
      </c>
      <c r="L26" s="821">
        <f>+'Quarterly Financial Model '!L48</f>
        <v>354.89999999999992</v>
      </c>
      <c r="M26" s="818">
        <f>+'Quarterly Financial Model '!M48</f>
        <v>79.430000000000035</v>
      </c>
      <c r="N26" s="819">
        <f>+'Quarterly Financial Model '!N48</f>
        <v>101.37000000000005</v>
      </c>
      <c r="O26" s="819">
        <f>+'Quarterly Financial Model '!O48</f>
        <v>103.28</v>
      </c>
      <c r="P26" s="820">
        <f>+'Quarterly Financial Model '!P48</f>
        <v>120.98800000000003</v>
      </c>
      <c r="Q26" s="821">
        <f>+'Quarterly Financial Model '!Q48</f>
        <v>405.06799999999998</v>
      </c>
      <c r="R26" s="818">
        <f>+'Quarterly Financial Model '!R48</f>
        <v>93.334000000000017</v>
      </c>
      <c r="S26" s="819">
        <f>+'Quarterly Financial Model '!S48</f>
        <v>120.66700000000006</v>
      </c>
      <c r="T26" s="819">
        <f>+'Quarterly Financial Model '!T48</f>
        <v>120.81899999999995</v>
      </c>
      <c r="U26" s="820">
        <f>+'Quarterly Financial Model '!U48</f>
        <v>131.92199999999997</v>
      </c>
      <c r="V26" s="821">
        <f>+'Quarterly Financial Model '!V48</f>
        <v>466.74199999999996</v>
      </c>
      <c r="W26" s="818">
        <f>+'Quarterly Financial Model '!W48</f>
        <v>112.39100000000001</v>
      </c>
      <c r="X26" s="819">
        <f>+'Quarterly Financial Model '!X48</f>
        <v>137.24799999999999</v>
      </c>
      <c r="Y26" s="819">
        <f>+'Quarterly Financial Model '!Y48</f>
        <v>132.82700000000003</v>
      </c>
      <c r="Z26" s="820">
        <f>+'Quarterly Financial Model '!Z48</f>
        <v>140.101</v>
      </c>
      <c r="AA26" s="822">
        <f>+'Quarterly Financial Model '!AA48</f>
        <v>522.56699999999989</v>
      </c>
      <c r="AB26" s="818">
        <f>+'Quarterly Financial Model '!AB48</f>
        <v>116.05499999999999</v>
      </c>
      <c r="AC26" s="819">
        <f>+'Quarterly Financial Model '!AC48</f>
        <v>142.75599999999997</v>
      </c>
      <c r="AD26" s="819">
        <f>+'Quarterly Financial Model '!AD48</f>
        <v>161.321</v>
      </c>
      <c r="AE26" s="820">
        <f>+'Quarterly Financial Model '!AE48</f>
        <v>173.77499999999998</v>
      </c>
      <c r="AF26" s="822">
        <f>+'Quarterly Financial Model '!AF48</f>
        <v>593.90700000000004</v>
      </c>
      <c r="AG26" s="818">
        <f>+'Quarterly Financial Model '!AG48</f>
        <v>147.54799999999997</v>
      </c>
      <c r="AH26" s="819">
        <f>+'Quarterly Financial Model '!AH48</f>
        <v>185.41699999999994</v>
      </c>
      <c r="AI26" s="819">
        <f>+'Quarterly Financial Model '!AI48</f>
        <v>186.44900000000001</v>
      </c>
      <c r="AJ26" s="820">
        <f>+'Quarterly Financial Model '!AJ48</f>
        <v>199.512</v>
      </c>
      <c r="AK26" s="822">
        <f>+'Quarterly Financial Model '!AK48</f>
        <v>718.92599999999993</v>
      </c>
      <c r="AL26" s="818">
        <f>+'Quarterly Financial Model '!AL48</f>
        <v>172.83500000000001</v>
      </c>
      <c r="AM26" s="819">
        <f>+'Quarterly Financial Model '!AM48</f>
        <v>215.27399999999997</v>
      </c>
      <c r="AN26" s="819">
        <f>+'Quarterly Financial Model '!AN48</f>
        <v>218.59299999999996</v>
      </c>
      <c r="AO26" s="820">
        <f>+'Quarterly Financial Model '!AO48</f>
        <v>226.06299999999999</v>
      </c>
      <c r="AP26" s="822">
        <f>+'Quarterly Financial Model '!AP48</f>
        <v>832.76499999999999</v>
      </c>
      <c r="AQ26" s="818">
        <f>+'Quarterly Financial Model '!AQ48</f>
        <v>185.78200000000004</v>
      </c>
      <c r="AR26" s="819">
        <f>+'Quarterly Financial Model '!AR48</f>
        <v>232.13299999999987</v>
      </c>
      <c r="AS26" s="819">
        <f>+'Quarterly Financial Model '!AS48</f>
        <v>242.86699999999999</v>
      </c>
      <c r="AT26" s="820">
        <f>+'Quarterly Financial Model '!AT48</f>
        <v>256.61500000000012</v>
      </c>
      <c r="AU26" s="822">
        <f>+'Quarterly Financial Model '!AU48</f>
        <v>917.39700000000005</v>
      </c>
      <c r="AV26" s="818">
        <f>+'Quarterly Financial Model '!AV48</f>
        <v>359.11607957851703</v>
      </c>
      <c r="AW26" s="819">
        <f>+'Quarterly Financial Model '!AW48</f>
        <v>425.85061973560727</v>
      </c>
      <c r="AX26" s="819">
        <f>+'Quarterly Financial Model '!AX48</f>
        <v>452.93951997955531</v>
      </c>
      <c r="AY26" s="820">
        <f>+'Quarterly Financial Model '!AY48</f>
        <v>474.19705252470368</v>
      </c>
      <c r="AZ26" s="822">
        <f>+'Quarterly Financial Model '!AZ48</f>
        <v>1712.1032718183833</v>
      </c>
      <c r="BA26" s="818">
        <f>+'Quarterly Financial Model '!BA48</f>
        <v>439.38835861179058</v>
      </c>
      <c r="BB26" s="819">
        <f>+'Quarterly Financial Model '!BB48</f>
        <v>480.48912045819731</v>
      </c>
      <c r="BC26" s="819">
        <f>+'Quarterly Financial Model '!BC48</f>
        <v>510.44440387634432</v>
      </c>
      <c r="BD26" s="820">
        <f>+'Quarterly Financial Model '!BD48</f>
        <v>534.52754722691259</v>
      </c>
      <c r="BE26" s="822">
        <f>+'Quarterly Financial Model '!BE48</f>
        <v>1964.8494301732458</v>
      </c>
      <c r="BF26" s="818">
        <f>+'Quarterly Financial Model '!BF48</f>
        <v>498.72927366155204</v>
      </c>
      <c r="BG26" s="819">
        <f>+'Quarterly Financial Model '!BG48</f>
        <v>544.69855075745886</v>
      </c>
      <c r="BH26" s="819">
        <f>+'Quarterly Financial Model '!BH48</f>
        <v>577.72868091938199</v>
      </c>
      <c r="BI26" s="820">
        <f>+'Quarterly Financial Model '!BI48</f>
        <v>605.15989292546192</v>
      </c>
      <c r="BJ26" s="822">
        <f>+'Quarterly Financial Model '!BJ48</f>
        <v>2226.3163982638548</v>
      </c>
    </row>
    <row r="27" spans="1:62">
      <c r="A27" s="809"/>
      <c r="B27" s="855" t="s">
        <v>16</v>
      </c>
      <c r="C27" s="856"/>
      <c r="D27" s="857"/>
      <c r="E27" s="857"/>
      <c r="F27" s="858"/>
      <c r="G27" s="155"/>
      <c r="H27" s="856">
        <f>+'Quarterly Financial Model '!H49</f>
        <v>0.18281250000000049</v>
      </c>
      <c r="I27" s="857">
        <f>+'Quarterly Financial Model '!I49</f>
        <v>8.7546239210850363E-2</v>
      </c>
      <c r="J27" s="857">
        <f>+'Quarterly Financial Model '!J49</f>
        <v>5.5491329479768758E-2</v>
      </c>
      <c r="K27" s="858">
        <f>+'Quarterly Financial Model '!K49</f>
        <v>0.13942857142857168</v>
      </c>
      <c r="L27" s="155">
        <f>+'Quarterly Financial Model '!L49</f>
        <v>0.11219053588216843</v>
      </c>
      <c r="M27" s="889">
        <f>+'Quarterly Financial Model '!M49</f>
        <v>4.9273447820343597E-2</v>
      </c>
      <c r="N27" s="890">
        <f>+'Quarterly Financial Model '!N49</f>
        <v>0.14931972789115711</v>
      </c>
      <c r="O27" s="890">
        <f>+'Quarterly Financial Model '!O49</f>
        <v>0.13121577217962743</v>
      </c>
      <c r="P27" s="891">
        <f>+'Quarterly Financial Model '!P49</f>
        <v>0.21352056168505529</v>
      </c>
      <c r="Q27" s="155">
        <f>+'Quarterly Financial Model '!Q49</f>
        <v>0.14135812905043688</v>
      </c>
      <c r="R27" s="889">
        <f>+'Quarterly Financial Model '!R49</f>
        <v>0.17504721138108992</v>
      </c>
      <c r="S27" s="890">
        <f>+'Quarterly Financial Model '!S49</f>
        <v>0.19036204005129731</v>
      </c>
      <c r="T27" s="890">
        <f>+'Quarterly Financial Model '!T49</f>
        <v>0.1698199070487989</v>
      </c>
      <c r="U27" s="891">
        <f>+'Quarterly Financial Model '!U49</f>
        <v>9.0372598935431148E-2</v>
      </c>
      <c r="V27" s="155">
        <f>+'Quarterly Financial Model '!V49</f>
        <v>0.15225591752495871</v>
      </c>
      <c r="W27" s="856">
        <f>+'Quarterly Financial Model '!W49</f>
        <v>0.20418068442368242</v>
      </c>
      <c r="X27" s="857">
        <f>+'Quarterly Financial Model '!X49</f>
        <v>0.13741122262093142</v>
      </c>
      <c r="Y27" s="857">
        <f>+'Quarterly Financial Model '!Y49</f>
        <v>9.938834123771989E-2</v>
      </c>
      <c r="Z27" s="858">
        <f>+'Quarterly Financial Model '!Z49</f>
        <v>6.199875684116396E-2</v>
      </c>
      <c r="AA27" s="859">
        <f>+'Quarterly Financial Model '!AA49</f>
        <v>0.11960569222396944</v>
      </c>
      <c r="AB27" s="856">
        <f>+'Quarterly Financial Model '!AB49</f>
        <v>3.2600475127011919E-2</v>
      </c>
      <c r="AC27" s="857">
        <f>+'Quarterly Financial Model '!AC49</f>
        <v>4.0131732338540393E-2</v>
      </c>
      <c r="AD27" s="857">
        <f>+'Quarterly Financial Model '!AD49</f>
        <v>0.21451963832654486</v>
      </c>
      <c r="AE27" s="858">
        <f>+'Quarterly Financial Model '!AE49</f>
        <v>0.24035517233995463</v>
      </c>
      <c r="AF27" s="859">
        <f>+'Quarterly Financial Model '!AF49</f>
        <v>0.13651837946139</v>
      </c>
      <c r="AG27" s="856">
        <f>+'Quarterly Financial Model '!AG49</f>
        <v>0.27136271595364247</v>
      </c>
      <c r="AH27" s="857">
        <f>+'Quarterly Financial Model '!AH49</f>
        <v>0.29883857771302069</v>
      </c>
      <c r="AI27" s="857">
        <f>+'Quarterly Financial Model '!AI49</f>
        <v>0.15576397369220385</v>
      </c>
      <c r="AJ27" s="858">
        <f>+'Quarterly Financial Model '!AJ49</f>
        <v>0.14810530858869253</v>
      </c>
      <c r="AK27" s="859">
        <f>+'Quarterly Financial Model '!AK49</f>
        <v>0.21050265445600047</v>
      </c>
      <c r="AL27" s="856">
        <f>+'Quarterly Financial Model '!AL49</f>
        <v>0.17138151652343669</v>
      </c>
      <c r="AM27" s="857">
        <f>+'Quarterly Financial Model '!AM49</f>
        <v>0.1610262273685803</v>
      </c>
      <c r="AN27" s="857">
        <f>+'Quarterly Financial Model '!AN49</f>
        <v>0.17240103191757505</v>
      </c>
      <c r="AO27" s="858">
        <f>+'Quarterly Financial Model '!AO49</f>
        <v>0.13307971450338818</v>
      </c>
      <c r="AP27" s="859">
        <f>+'Quarterly Financial Model '!AP49</f>
        <v>0.15834592155520877</v>
      </c>
      <c r="AQ27" s="856">
        <f>+'Quarterly Financial Model '!AQ49</f>
        <v>7.490959585732071E-2</v>
      </c>
      <c r="AR27" s="857">
        <f>+'Quarterly Financial Model '!AR49</f>
        <v>7.8314148480540524E-2</v>
      </c>
      <c r="AS27" s="857">
        <f>+'Quarterly Financial Model '!AS49</f>
        <v>0.11104655684308296</v>
      </c>
      <c r="AT27" s="858">
        <f>+'Quarterly Financial Model '!AT49</f>
        <v>0.13514816666150642</v>
      </c>
      <c r="AU27" s="859">
        <f>+'Quarterly Financial Model '!AU49</f>
        <v>0.10162771009828719</v>
      </c>
      <c r="AV27" s="856">
        <f>+'Quarterly Financial Model '!AV49</f>
        <v>0.93299716645593733</v>
      </c>
      <c r="AW27" s="857">
        <f>+'Quarterly Financial Model '!AW49</f>
        <v>0.83451133503468911</v>
      </c>
      <c r="AX27" s="857">
        <f>+'Quarterly Financial Model '!AX49</f>
        <v>0.86496938645248367</v>
      </c>
      <c r="AY27" s="858">
        <f>+'Quarterly Financial Model '!AY49</f>
        <v>0.84789296231593414</v>
      </c>
      <c r="AZ27" s="859">
        <f>+'Quarterly Financial Model '!AZ49</f>
        <v>0.86626212187131979</v>
      </c>
      <c r="BA27" s="856">
        <f>+'Quarterly Financial Model '!BA49</f>
        <v>0.22352738737704692</v>
      </c>
      <c r="BB27" s="857">
        <f>+'Quarterly Financial Model '!BB49</f>
        <v>0.12830438231254138</v>
      </c>
      <c r="BC27" s="857">
        <f>+'Quarterly Financial Model '!BC49</f>
        <v>0.12695929889135016</v>
      </c>
      <c r="BD27" s="858">
        <f>+'Quarterly Financial Model '!BD49</f>
        <v>0.12722663369795195</v>
      </c>
      <c r="BE27" s="859">
        <f>+'Quarterly Financial Model '!BE49</f>
        <v>0.14762319686850844</v>
      </c>
      <c r="BF27" s="856">
        <f>+'Quarterly Financial Model '!BF49</f>
        <v>0.13505345302557381</v>
      </c>
      <c r="BG27" s="857">
        <f>+'Quarterly Financial Model '!BG49</f>
        <v>0.13363347381940938</v>
      </c>
      <c r="BH27" s="857">
        <f>+'Quarterly Financial Model '!BH49</f>
        <v>0.13181509393006752</v>
      </c>
      <c r="BI27" s="858">
        <f>+'Quarterly Financial Model '!BI49</f>
        <v>0.13213976728605381</v>
      </c>
      <c r="BJ27" s="859">
        <f>+'Quarterly Financial Model '!BJ49</f>
        <v>0.13307226705282704</v>
      </c>
    </row>
    <row r="28" spans="1:62">
      <c r="A28" s="809"/>
      <c r="B28" s="892" t="s">
        <v>103</v>
      </c>
      <c r="C28" s="893">
        <f>+'Quarterly Financial Model '!C50</f>
        <v>0.40634920634920629</v>
      </c>
      <c r="D28" s="894">
        <f>+'Quarterly Financial Model '!D50</f>
        <v>0.45231455660903525</v>
      </c>
      <c r="E28" s="894">
        <f>+'Quarterly Financial Model '!E50</f>
        <v>0.47036432843936926</v>
      </c>
      <c r="F28" s="895">
        <f>+'Quarterly Financial Model '!F50</f>
        <v>0.47068316299085527</v>
      </c>
      <c r="G28" s="634">
        <f>+'Quarterly Financial Model '!G50</f>
        <v>0.45159920747240301</v>
      </c>
      <c r="H28" s="893">
        <f>+'Quarterly Financial Model '!H50</f>
        <v>0.43060295790671227</v>
      </c>
      <c r="I28" s="894">
        <f>+'Quarterly Financial Model '!I50</f>
        <v>0.46865037194473963</v>
      </c>
      <c r="J28" s="894">
        <f>+'Quarterly Financial Model '!J50</f>
        <v>0.45558882235528947</v>
      </c>
      <c r="K28" s="895">
        <f>+'Quarterly Financial Model '!K50</f>
        <v>0.47840690978886763</v>
      </c>
      <c r="L28" s="634">
        <f>+'Quarterly Financial Model '!L50</f>
        <v>0.45923913043478254</v>
      </c>
      <c r="M28" s="893">
        <f>+'Quarterly Financial Model '!M50</f>
        <v>0.41975373883633688</v>
      </c>
      <c r="N28" s="894">
        <f>+'Quarterly Financial Model '!N50</f>
        <v>0.46742288006639937</v>
      </c>
      <c r="O28" s="894">
        <f>+'Quarterly Financial Model '!O50</f>
        <v>0.47620804131316857</v>
      </c>
      <c r="P28" s="895">
        <f>+'Quarterly Financial Model '!P50</f>
        <v>0.49853309599156126</v>
      </c>
      <c r="Q28" s="634">
        <f>+'Quarterly Financial Model '!Q50</f>
        <v>0.46792534782387701</v>
      </c>
      <c r="R28" s="893">
        <f>+'Quarterly Financial Model '!R50</f>
        <v>0.40129675252922642</v>
      </c>
      <c r="S28" s="894">
        <f>+'Quarterly Financial Model '!S50</f>
        <v>0.46343009009977815</v>
      </c>
      <c r="T28" s="894">
        <f>+'Quarterly Financial Model '!T50</f>
        <v>0.46739033721861362</v>
      </c>
      <c r="U28" s="895">
        <f>+'Quarterly Financial Model '!U50</f>
        <v>0.48646316550264385</v>
      </c>
      <c r="V28" s="634">
        <f>+'Quarterly Financial Model '!V50</f>
        <v>0.45640800984117602</v>
      </c>
      <c r="W28" s="893">
        <f>+'Quarterly Financial Model '!W50</f>
        <v>0.41183799253209041</v>
      </c>
      <c r="X28" s="894">
        <f>+'Quarterly Financial Model '!X50</f>
        <v>0.4622592259529078</v>
      </c>
      <c r="Y28" s="894">
        <f>+'Quarterly Financial Model '!Y50</f>
        <v>0.45147617655656247</v>
      </c>
      <c r="Z28" s="895">
        <f>+'Quarterly Financial Model '!Z50</f>
        <v>0.45395662007245108</v>
      </c>
      <c r="AA28" s="896">
        <f>+'Quarterly Financial Model '!AA50</f>
        <v>0.44563445092935905</v>
      </c>
      <c r="AB28" s="893">
        <f>+'Quarterly Financial Model '!AB50</f>
        <v>0.40222574965688379</v>
      </c>
      <c r="AC28" s="894">
        <f>+'Quarterly Financial Model '!AC50</f>
        <v>0.43084575012298576</v>
      </c>
      <c r="AD28" s="894">
        <f>+'Quarterly Financial Model '!AD50</f>
        <v>0.42395214931264569</v>
      </c>
      <c r="AE28" s="895">
        <f>+'Quarterly Financial Model '!AE50</f>
        <v>0.43211488250652741</v>
      </c>
      <c r="AF28" s="896">
        <f>+'Quarterly Financial Model '!AF50</f>
        <v>0.42345162840507711</v>
      </c>
      <c r="AG28" s="893">
        <f>+'Quarterly Financial Model '!AG50</f>
        <v>0.39402347348884403</v>
      </c>
      <c r="AH28" s="894">
        <f>+'Quarterly Financial Model '!AH50</f>
        <v>0.4376696581579903</v>
      </c>
      <c r="AI28" s="894">
        <f>+'Quarterly Financial Model '!AI50</f>
        <v>0.43314903008479499</v>
      </c>
      <c r="AJ28" s="895">
        <f>+'Quarterly Financial Model '!AJ50</f>
        <v>0.44025376510178188</v>
      </c>
      <c r="AK28" s="896">
        <f>+'Quarterly Financial Model '!AK50</f>
        <v>0.42749040277427608</v>
      </c>
      <c r="AL28" s="893">
        <f>+'Quarterly Financial Model '!AL50</f>
        <v>0.40081398854386496</v>
      </c>
      <c r="AM28" s="894">
        <f>+'Quarterly Financial Model '!AM50</f>
        <v>0.44803852805834149</v>
      </c>
      <c r="AN28" s="894">
        <f>+'Quarterly Financial Model '!AN50</f>
        <v>0.44550990710433741</v>
      </c>
      <c r="AO28" s="895">
        <f>+'Quarterly Financial Model '!AO50</f>
        <v>0.44995541507766534</v>
      </c>
      <c r="AP28" s="896">
        <f>+'Quarterly Financial Model '!AP50</f>
        <v>0.43720183267087054</v>
      </c>
      <c r="AQ28" s="893">
        <f>+'Quarterly Financial Model '!AQ50</f>
        <v>0.39518836017102388</v>
      </c>
      <c r="AR28" s="894">
        <f>+'Quarterly Financial Model '!AR50</f>
        <v>0.43796117585575162</v>
      </c>
      <c r="AS28" s="894">
        <f>+'Quarterly Financial Model '!AS50</f>
        <v>0.43820457858802814</v>
      </c>
      <c r="AT28" s="895">
        <f>+'Quarterly Financial Model '!AT50</f>
        <v>0.45104132428959887</v>
      </c>
      <c r="AU28" s="896">
        <f>+'Quarterly Financial Model '!AU50</f>
        <v>0.43205944298341464</v>
      </c>
      <c r="AV28" s="893">
        <f>+'Quarterly Financial Model '!AV50</f>
        <v>0.43049999999999988</v>
      </c>
      <c r="AW28" s="894">
        <f>+'Quarterly Financial Model '!AW50</f>
        <v>0.43720000000000003</v>
      </c>
      <c r="AX28" s="894">
        <f>+'Quarterly Financial Model '!AX50</f>
        <v>0.44419999999999993</v>
      </c>
      <c r="AY28" s="895">
        <f>+'Quarterly Financial Model '!AY50</f>
        <v>0.45119999999999993</v>
      </c>
      <c r="AZ28" s="896">
        <f>+'Quarterly Financial Model '!AZ50</f>
        <v>0.44139252579839849</v>
      </c>
      <c r="BA28" s="893">
        <f>+'Quarterly Financial Model '!BA50</f>
        <v>0.44550000000000001</v>
      </c>
      <c r="BB28" s="894">
        <f>+'Quarterly Financial Model '!BB50</f>
        <v>0.45219999999999988</v>
      </c>
      <c r="BC28" s="894">
        <f>+'Quarterly Financial Model '!BC50</f>
        <v>0.45919999999999994</v>
      </c>
      <c r="BD28" s="895">
        <f>+'Quarterly Financial Model '!BD50</f>
        <v>0.4662</v>
      </c>
      <c r="BE28" s="896">
        <f>+'Quarterly Financial Model '!BE50</f>
        <v>0.45619929553932093</v>
      </c>
      <c r="BF28" s="893">
        <f>+'Quarterly Financial Model '!BF50</f>
        <v>0.46250000000000008</v>
      </c>
      <c r="BG28" s="894">
        <f>+'Quarterly Financial Model '!BG50</f>
        <v>0.46920000000000006</v>
      </c>
      <c r="BH28" s="894">
        <f>+'Quarterly Financial Model '!BH50</f>
        <v>0.47620000000000007</v>
      </c>
      <c r="BI28" s="895">
        <f>+'Quarterly Financial Model '!BI50</f>
        <v>0.48319999999999996</v>
      </c>
      <c r="BJ28" s="896">
        <f>+'Quarterly Financial Model '!BJ50</f>
        <v>0.47319613521144582</v>
      </c>
    </row>
    <row r="29" spans="1:62">
      <c r="A29" s="809"/>
      <c r="B29" s="881" t="s">
        <v>99</v>
      </c>
      <c r="C29" s="882"/>
      <c r="D29" s="883"/>
      <c r="E29" s="883"/>
      <c r="F29" s="884"/>
      <c r="G29" s="885"/>
      <c r="H29" s="897">
        <f>+'Quarterly Financial Model '!H51</f>
        <v>24.253751557505975</v>
      </c>
      <c r="I29" s="898">
        <f>+'Quarterly Financial Model '!I51</f>
        <v>16.335815335704385</v>
      </c>
      <c r="J29" s="898">
        <f>+'Quarterly Financial Model '!J51</f>
        <v>-14.775506084079792</v>
      </c>
      <c r="K29" s="899">
        <f>+'Quarterly Financial Model '!K51</f>
        <v>7.7237467980123542</v>
      </c>
      <c r="L29" s="885">
        <f>+'Quarterly Financial Model '!L51</f>
        <v>76.399229623795307</v>
      </c>
      <c r="M29" s="897">
        <f>+'Quarterly Financial Model '!M51</f>
        <v>-108.49219070375393</v>
      </c>
      <c r="N29" s="898">
        <f>+'Quarterly Financial Model '!N51</f>
        <v>-12.274918783402589</v>
      </c>
      <c r="O29" s="898">
        <f>+'Quarterly Financial Model '!O51</f>
        <v>206.19218957879104</v>
      </c>
      <c r="P29" s="899">
        <f>+'Quarterly Financial Model '!P51</f>
        <v>201.26186202693631</v>
      </c>
      <c r="Q29" s="885">
        <f>+'Quarterly Financial Model '!Q51</f>
        <v>86.862173890944746</v>
      </c>
      <c r="R29" s="897">
        <f>+'Quarterly Financial Model '!R51</f>
        <v>-184.56986307110458</v>
      </c>
      <c r="S29" s="898">
        <f>+'Quarterly Financial Model '!S51</f>
        <v>-39.927899666212241</v>
      </c>
      <c r="T29" s="898">
        <f>+'Quarterly Financial Model '!T51</f>
        <v>-88.177040945549564</v>
      </c>
      <c r="U29" s="899">
        <f>+'Quarterly Financial Model '!U51</f>
        <v>-120.69930488917413</v>
      </c>
      <c r="V29" s="885">
        <f>+'Quarterly Financial Model '!V51</f>
        <v>-115.17337982700992</v>
      </c>
      <c r="W29" s="882">
        <f>+'Quarterly Financial Model '!W51</f>
        <v>105.41240002863994</v>
      </c>
      <c r="X29" s="883">
        <f>+'Quarterly Financial Model '!X51</f>
        <v>-11.70864146870343</v>
      </c>
      <c r="Y29" s="883">
        <f>+'Quarterly Financial Model '!Y51</f>
        <v>-159.14160662051145</v>
      </c>
      <c r="Z29" s="884">
        <f>+'Quarterly Financial Model '!Z51</f>
        <v>-325.06545430192767</v>
      </c>
      <c r="AA29" s="886">
        <f>+'Quarterly Financial Model '!AA51</f>
        <v>-107.73558911816971</v>
      </c>
      <c r="AB29" s="882">
        <f>+'Quarterly Financial Model '!AB51</f>
        <v>-96.122428752066227</v>
      </c>
      <c r="AC29" s="883">
        <f>+'Quarterly Financial Model '!AC51</f>
        <v>-314.13475829922044</v>
      </c>
      <c r="AD29" s="883">
        <f>+'Quarterly Financial Model '!AD51</f>
        <v>-275.24027243916782</v>
      </c>
      <c r="AE29" s="884">
        <f>+'Quarterly Financial Model '!AE51</f>
        <v>-218.41737565923668</v>
      </c>
      <c r="AF29" s="886">
        <f>+'Quarterly Financial Model '!AF51</f>
        <v>-221.82822524281943</v>
      </c>
      <c r="AG29" s="882">
        <f>+'Quarterly Financial Model '!AG51</f>
        <v>-82.022761680397565</v>
      </c>
      <c r="AH29" s="883">
        <f>+'Quarterly Financial Model '!AH51</f>
        <v>68.239080350045441</v>
      </c>
      <c r="AI29" s="883">
        <f>+'Quarterly Financial Model '!AI51</f>
        <v>91.968807721493079</v>
      </c>
      <c r="AJ29" s="884">
        <f>+'Quarterly Financial Model '!AJ51</f>
        <v>81.388825952544707</v>
      </c>
      <c r="AK29" s="886">
        <f>+'Quarterly Financial Model '!AK51</f>
        <v>40.387743691989719</v>
      </c>
      <c r="AL29" s="882">
        <f>+'Quarterly Financial Model '!AL51</f>
        <v>67.905150550209299</v>
      </c>
      <c r="AM29" s="883">
        <f>+'Quarterly Financial Model '!AM51</f>
        <v>103.68869900351186</v>
      </c>
      <c r="AN29" s="883">
        <f>+'Quarterly Financial Model '!AN51</f>
        <v>123.60877019542416</v>
      </c>
      <c r="AO29" s="884">
        <f>+'Quarterly Financial Model '!AO51</f>
        <v>97.016499758834641</v>
      </c>
      <c r="AP29" s="886">
        <f>+'Quarterly Financial Model '!AP51</f>
        <v>97.114298965944585</v>
      </c>
      <c r="AQ29" s="882">
        <f>+'Quarterly Financial Model '!AQ51</f>
        <v>-56.25628372841085</v>
      </c>
      <c r="AR29" s="883">
        <f>+'Quarterly Financial Model '!AR51</f>
        <v>-100.77352202589873</v>
      </c>
      <c r="AS29" s="883">
        <f>+'Quarterly Financial Model '!AS51</f>
        <v>-73.053285163092724</v>
      </c>
      <c r="AT29" s="884">
        <f>+'Quarterly Financial Model '!AT51</f>
        <v>10.859092119335223</v>
      </c>
      <c r="AU29" s="886">
        <f>+'Quarterly Financial Model '!AU51</f>
        <v>-51.423896874558949</v>
      </c>
      <c r="AV29" s="882">
        <f>+'Quarterly Financial Model '!AV51</f>
        <v>353.11639828976007</v>
      </c>
      <c r="AW29" s="883">
        <f>+'Quarterly Financial Model '!AW51</f>
        <v>-7.6117585575158353</v>
      </c>
      <c r="AX29" s="883">
        <f>+'Quarterly Financial Model '!AX51</f>
        <v>59.954214119717911</v>
      </c>
      <c r="AY29" s="884">
        <f>+'Quarterly Financial Model '!AY51</f>
        <v>1.5867571040106832</v>
      </c>
      <c r="AZ29" s="886">
        <f>+'Quarterly Financial Model '!AZ51</f>
        <v>93.33082814983851</v>
      </c>
      <c r="BA29" s="882">
        <f>+'Quarterly Financial Model '!BA51</f>
        <v>150.00000000000125</v>
      </c>
      <c r="BB29" s="883">
        <f>+'Quarterly Financial Model '!BB51</f>
        <v>149.99999999999847</v>
      </c>
      <c r="BC29" s="883">
        <f>+'Quarterly Financial Model '!BC51</f>
        <v>150.00000000000014</v>
      </c>
      <c r="BD29" s="884">
        <f>+'Quarterly Financial Model '!BD51</f>
        <v>150.00000000000068</v>
      </c>
      <c r="BE29" s="886">
        <f>+'Quarterly Financial Model '!BE51</f>
        <v>148.06769740922431</v>
      </c>
      <c r="BF29" s="882">
        <f>+'Quarterly Financial Model '!BF51</f>
        <v>170.00000000000071</v>
      </c>
      <c r="BG29" s="883">
        <f>+'Quarterly Financial Model '!BG51</f>
        <v>170.00000000000182</v>
      </c>
      <c r="BH29" s="883">
        <f>+'Quarterly Financial Model '!BH51</f>
        <v>170.00000000000125</v>
      </c>
      <c r="BI29" s="884">
        <f>+'Quarterly Financial Model '!BI51</f>
        <v>169.9999999999996</v>
      </c>
      <c r="BJ29" s="886">
        <f>+'Quarterly Financial Model '!BJ51</f>
        <v>169.96839672124898</v>
      </c>
    </row>
    <row r="30" spans="1:62" ht="4.5" customHeight="1">
      <c r="A30" s="809"/>
      <c r="B30" s="28"/>
      <c r="C30" s="828"/>
      <c r="D30" s="807"/>
      <c r="E30" s="807"/>
      <c r="F30" s="829"/>
      <c r="G30" s="830"/>
      <c r="H30" s="828"/>
      <c r="I30" s="807"/>
      <c r="J30" s="807"/>
      <c r="K30" s="829"/>
      <c r="L30" s="830"/>
      <c r="M30" s="828"/>
      <c r="N30" s="807"/>
      <c r="O30" s="807"/>
      <c r="P30" s="829"/>
      <c r="Q30" s="830"/>
      <c r="R30" s="828"/>
      <c r="S30" s="807"/>
      <c r="T30" s="807"/>
      <c r="U30" s="829"/>
      <c r="V30" s="830"/>
      <c r="W30" s="828"/>
      <c r="X30" s="807"/>
      <c r="Y30" s="807"/>
      <c r="Z30" s="829"/>
      <c r="AA30" s="831"/>
      <c r="AB30" s="828"/>
      <c r="AC30" s="807"/>
      <c r="AD30" s="807"/>
      <c r="AE30" s="829"/>
      <c r="AF30" s="831"/>
      <c r="AG30" s="828"/>
      <c r="AH30" s="807"/>
      <c r="AI30" s="807"/>
      <c r="AJ30" s="829"/>
      <c r="AK30" s="831"/>
      <c r="AL30" s="828"/>
      <c r="AM30" s="807"/>
      <c r="AN30" s="807"/>
      <c r="AO30" s="829"/>
      <c r="AP30" s="831"/>
      <c r="AQ30" s="828"/>
      <c r="AR30" s="807"/>
      <c r="AS30" s="807"/>
      <c r="AT30" s="829"/>
      <c r="AU30" s="831"/>
      <c r="AV30" s="828"/>
      <c r="AW30" s="807"/>
      <c r="AX30" s="807"/>
      <c r="AY30" s="829"/>
      <c r="AZ30" s="831"/>
      <c r="BA30" s="828"/>
      <c r="BB30" s="807"/>
      <c r="BC30" s="807"/>
      <c r="BD30" s="829"/>
      <c r="BE30" s="831"/>
      <c r="BF30" s="828"/>
      <c r="BG30" s="807"/>
      <c r="BH30" s="807"/>
      <c r="BI30" s="829"/>
      <c r="BJ30" s="831"/>
    </row>
    <row r="31" spans="1:62">
      <c r="A31" s="809"/>
      <c r="B31" s="832" t="s">
        <v>298</v>
      </c>
      <c r="C31" s="833">
        <f>+'Quarterly Financial Model '!C57</f>
        <v>-26.6</v>
      </c>
      <c r="D31" s="834">
        <f>+'Quarterly Financial Model '!D57</f>
        <v>-26.6</v>
      </c>
      <c r="E31" s="834">
        <f>+'Quarterly Financial Model '!E57</f>
        <v>-26.6</v>
      </c>
      <c r="F31" s="835">
        <f>+'Quarterly Financial Model '!F57</f>
        <v>-26.6</v>
      </c>
      <c r="G31" s="836">
        <f>+'Quarterly Financial Model '!G57</f>
        <v>-106.4</v>
      </c>
      <c r="H31" s="833">
        <f>+'Quarterly Financial Model '!H57</f>
        <v>-26.6</v>
      </c>
      <c r="I31" s="834">
        <f>+'Quarterly Financial Model '!I57</f>
        <v>-26.6</v>
      </c>
      <c r="J31" s="834">
        <f>+'Quarterly Financial Model '!J57</f>
        <v>-26.6</v>
      </c>
      <c r="K31" s="835">
        <f>+'Quarterly Financial Model '!K57</f>
        <v>-26.6</v>
      </c>
      <c r="L31" s="836">
        <f>+'Quarterly Financial Model '!L57</f>
        <v>-106.4</v>
      </c>
      <c r="M31" s="837">
        <f>+'Quarterly Financial Model '!M57</f>
        <v>-26.6</v>
      </c>
      <c r="N31" s="838">
        <f>+'Quarterly Financial Model '!N57</f>
        <v>-26.6</v>
      </c>
      <c r="O31" s="838">
        <f>+'Quarterly Financial Model '!O57</f>
        <v>-26.6</v>
      </c>
      <c r="P31" s="839">
        <f>+'Quarterly Financial Model '!P57</f>
        <v>-25.8</v>
      </c>
      <c r="Q31" s="836">
        <f>+'Quarterly Financial Model '!Q57</f>
        <v>-105.60000000000001</v>
      </c>
      <c r="R31" s="837">
        <f>+'Quarterly Financial Model '!R57</f>
        <v>-24.45</v>
      </c>
      <c r="S31" s="838">
        <f>+'Quarterly Financial Model '!S57</f>
        <v>-10.169</v>
      </c>
      <c r="T31" s="838">
        <f>+'Quarterly Financial Model '!T57</f>
        <v>-10.055999999999999</v>
      </c>
      <c r="U31" s="839">
        <f>+'Quarterly Financial Model '!U57</f>
        <v>-9.8970000000000002</v>
      </c>
      <c r="V31" s="836">
        <f>+'Quarterly Financial Model '!V57</f>
        <v>-54.571999999999996</v>
      </c>
      <c r="W31" s="833">
        <f>+'Quarterly Financial Model '!W57</f>
        <v>-9.6940000000000008</v>
      </c>
      <c r="X31" s="834">
        <f>+'Quarterly Financial Model '!X57</f>
        <v>-9.8989999999999991</v>
      </c>
      <c r="Y31" s="834">
        <f>+'Quarterly Financial Model '!Y57</f>
        <v>-10.724</v>
      </c>
      <c r="Z31" s="835">
        <f>+'Quarterly Financial Model '!Z57</f>
        <v>-10.585000000000001</v>
      </c>
      <c r="AA31" s="840">
        <f>+'Quarterly Financial Model '!AA57</f>
        <v>-40.902000000000001</v>
      </c>
      <c r="AB31" s="833">
        <f>+'Quarterly Financial Model '!AB57</f>
        <v>-10.554</v>
      </c>
      <c r="AC31" s="834">
        <f>+'Quarterly Financial Model '!AC57</f>
        <v>-13.496</v>
      </c>
      <c r="AD31" s="834">
        <f>+'Quarterly Financial Model '!AD57</f>
        <v>-28.039000000000001</v>
      </c>
      <c r="AE31" s="835">
        <f>+'Quarterly Financial Model '!AE57</f>
        <v>-27.611999999999998</v>
      </c>
      <c r="AF31" s="840">
        <f>+'Quarterly Financial Model '!AF57</f>
        <v>-79.700999999999993</v>
      </c>
      <c r="AG31" s="833">
        <f>+'Quarterly Financial Model '!AG57</f>
        <v>-26.079000000000001</v>
      </c>
      <c r="AH31" s="834">
        <f>+'Quarterly Financial Model '!AH57</f>
        <v>-26.796999999999997</v>
      </c>
      <c r="AI31" s="834">
        <f>+'Quarterly Financial Model '!AI57</f>
        <v>-27.363</v>
      </c>
      <c r="AJ31" s="835">
        <f>+'Quarterly Financial Model '!AJ57</f>
        <v>-26.997999999999998</v>
      </c>
      <c r="AK31" s="840">
        <f>+'Quarterly Financial Model '!AK57</f>
        <v>-105.73599999999999</v>
      </c>
      <c r="AL31" s="833">
        <f>+'Quarterly Financial Model '!AL57</f>
        <v>-28.263999999999999</v>
      </c>
      <c r="AM31" s="834">
        <f>+'Quarterly Financial Model '!AM57</f>
        <v>-26.81</v>
      </c>
      <c r="AN31" s="834">
        <f>+'Quarterly Financial Model '!AN57</f>
        <v>-27.827999999999999</v>
      </c>
      <c r="AO31" s="835">
        <f>+'Quarterly Financial Model '!AO57</f>
        <v>-28.213000000000001</v>
      </c>
      <c r="AP31" s="840">
        <f>+'Quarterly Financial Model '!AP57</f>
        <v>-111.11499999999999</v>
      </c>
      <c r="AQ31" s="833">
        <f>+'Quarterly Financial Model '!AQ57</f>
        <v>-29.426000000000002</v>
      </c>
      <c r="AR31" s="834">
        <f>+'Quarterly Financial Model '!AR57</f>
        <v>-30.178000000000001</v>
      </c>
      <c r="AS31" s="834">
        <f>+'Quarterly Financial Model '!AS57</f>
        <v>-38.980000000000004</v>
      </c>
      <c r="AT31" s="835">
        <f>+'Quarterly Financial Model '!AT57</f>
        <v>-43.881</v>
      </c>
      <c r="AU31" s="840">
        <f>+'Quarterly Financial Model '!AU57</f>
        <v>-142.465</v>
      </c>
      <c r="AV31" s="833">
        <f>+'Quarterly Financial Model '!AV57</f>
        <v>-87.846852250000012</v>
      </c>
      <c r="AW31" s="834">
        <f>+'Quarterly Financial Model '!AW57</f>
        <v>-88.993461999999994</v>
      </c>
      <c r="AX31" s="834">
        <f>+'Quarterly Financial Model '!AX57</f>
        <v>-90.140071750000004</v>
      </c>
      <c r="AY31" s="835">
        <f>+'Quarterly Financial Model '!AY57</f>
        <v>-91.2866815</v>
      </c>
      <c r="AZ31" s="840">
        <f>+'Quarterly Financial Model '!AZ57</f>
        <v>-358.2670675</v>
      </c>
      <c r="BA31" s="833">
        <f>+'Quarterly Financial Model '!BA57</f>
        <v>-89.053969000000009</v>
      </c>
      <c r="BB31" s="834">
        <f>+'Quarterly Financial Model '!BB57</f>
        <v>-88.203969000000015</v>
      </c>
      <c r="BC31" s="834">
        <f>+'Quarterly Financial Model '!BC57</f>
        <v>-87.353968999999992</v>
      </c>
      <c r="BD31" s="835">
        <f>+'Quarterly Financial Model '!BD57</f>
        <v>-86.503968999999998</v>
      </c>
      <c r="BE31" s="840">
        <f>+'Quarterly Financial Model '!BE57</f>
        <v>-351.11587600000001</v>
      </c>
      <c r="BF31" s="833">
        <f>+'Quarterly Financial Model '!BF57</f>
        <v>-86.503968999999998</v>
      </c>
      <c r="BG31" s="834">
        <f>+'Quarterly Financial Model '!BG57</f>
        <v>-86.503968999999998</v>
      </c>
      <c r="BH31" s="834">
        <f>+'Quarterly Financial Model '!BH57</f>
        <v>-86.503968999999998</v>
      </c>
      <c r="BI31" s="835">
        <f>+'Quarterly Financial Model '!BI57</f>
        <v>-86.503968999999998</v>
      </c>
      <c r="BJ31" s="840">
        <f>+'Quarterly Financial Model '!BJ57</f>
        <v>-346.01587599999999</v>
      </c>
    </row>
    <row r="32" spans="1:62" ht="4.5" customHeight="1">
      <c r="A32" s="809"/>
      <c r="B32" s="832"/>
      <c r="C32" s="900"/>
      <c r="D32" s="901"/>
      <c r="E32" s="901"/>
      <c r="F32" s="902"/>
      <c r="G32" s="903"/>
      <c r="H32" s="900"/>
      <c r="I32" s="901"/>
      <c r="J32" s="901"/>
      <c r="K32" s="902"/>
      <c r="L32" s="903"/>
      <c r="M32" s="900"/>
      <c r="N32" s="901"/>
      <c r="O32" s="901"/>
      <c r="P32" s="902"/>
      <c r="Q32" s="903"/>
      <c r="R32" s="900"/>
      <c r="S32" s="901"/>
      <c r="T32" s="901"/>
      <c r="U32" s="902"/>
      <c r="V32" s="903"/>
      <c r="W32" s="900"/>
      <c r="X32" s="901"/>
      <c r="Y32" s="901"/>
      <c r="Z32" s="902"/>
      <c r="AA32" s="904"/>
      <c r="AB32" s="900"/>
      <c r="AC32" s="901"/>
      <c r="AD32" s="901"/>
      <c r="AE32" s="902"/>
      <c r="AF32" s="904"/>
      <c r="AG32" s="900"/>
      <c r="AH32" s="901"/>
      <c r="AI32" s="901"/>
      <c r="AJ32" s="902"/>
      <c r="AK32" s="904"/>
      <c r="AL32" s="900"/>
      <c r="AM32" s="901"/>
      <c r="AN32" s="901"/>
      <c r="AO32" s="902"/>
      <c r="AP32" s="904"/>
      <c r="AQ32" s="900"/>
      <c r="AR32" s="901"/>
      <c r="AS32" s="901"/>
      <c r="AT32" s="902"/>
      <c r="AU32" s="904"/>
      <c r="AV32" s="900"/>
      <c r="AW32" s="901"/>
      <c r="AX32" s="901"/>
      <c r="AY32" s="902"/>
      <c r="AZ32" s="904"/>
      <c r="BA32" s="900"/>
      <c r="BB32" s="901"/>
      <c r="BC32" s="901"/>
      <c r="BD32" s="902"/>
      <c r="BE32" s="904"/>
      <c r="BF32" s="900"/>
      <c r="BG32" s="901"/>
      <c r="BH32" s="901"/>
      <c r="BI32" s="902"/>
      <c r="BJ32" s="904"/>
    </row>
    <row r="33" spans="1:62">
      <c r="A33" s="809"/>
      <c r="B33" s="905" t="s">
        <v>109</v>
      </c>
      <c r="C33" s="906">
        <f>+'Quarterly Financial Model '!C59</f>
        <v>37.399999999999991</v>
      </c>
      <c r="D33" s="907">
        <f>+'Quarterly Financial Model '!D59</f>
        <v>54.500000000000021</v>
      </c>
      <c r="E33" s="907">
        <f>+'Quarterly Financial Model '!E59</f>
        <v>59.900000000000013</v>
      </c>
      <c r="F33" s="908">
        <f>+'Quarterly Financial Model '!F59</f>
        <v>60.9</v>
      </c>
      <c r="G33" s="909">
        <f>+'Quarterly Financial Model '!G59</f>
        <v>212.69999999999996</v>
      </c>
      <c r="H33" s="906">
        <f>+'Quarterly Financial Model '!H59</f>
        <v>49.100000000000016</v>
      </c>
      <c r="I33" s="907">
        <f>+'Quarterly Financial Model '!I59</f>
        <v>61.599999999999987</v>
      </c>
      <c r="J33" s="907">
        <f>+'Quarterly Financial Model '!J59</f>
        <v>64.700000000000017</v>
      </c>
      <c r="K33" s="908">
        <f>+'Quarterly Financial Model '!K59</f>
        <v>73.100000000000023</v>
      </c>
      <c r="L33" s="909">
        <f>+'Quarterly Financial Model '!L59</f>
        <v>248.49999999999991</v>
      </c>
      <c r="M33" s="910">
        <f>+'Quarterly Financial Model '!M59</f>
        <v>52.830000000000034</v>
      </c>
      <c r="N33" s="911">
        <f>+'Quarterly Financial Model '!N59</f>
        <v>74.770000000000039</v>
      </c>
      <c r="O33" s="911">
        <f>+'Quarterly Financial Model '!O59</f>
        <v>76.680000000000007</v>
      </c>
      <c r="P33" s="912">
        <f>+'Quarterly Financial Model '!P59</f>
        <v>95.188000000000031</v>
      </c>
      <c r="Q33" s="909">
        <f>+'Quarterly Financial Model '!Q59</f>
        <v>299.46799999999996</v>
      </c>
      <c r="R33" s="910">
        <f>+'Quarterly Financial Model '!R59</f>
        <v>68.884000000000015</v>
      </c>
      <c r="S33" s="911">
        <f>+'Quarterly Financial Model '!S59</f>
        <v>110.49800000000006</v>
      </c>
      <c r="T33" s="911">
        <f>+'Quarterly Financial Model '!T59</f>
        <v>110.76299999999995</v>
      </c>
      <c r="U33" s="912">
        <f>+'Quarterly Financial Model '!U59</f>
        <v>122.02499999999996</v>
      </c>
      <c r="V33" s="909">
        <f>+'Quarterly Financial Model '!V59</f>
        <v>412.16999999999996</v>
      </c>
      <c r="W33" s="906">
        <f>+'Quarterly Financial Model '!W59</f>
        <v>102.697</v>
      </c>
      <c r="X33" s="907">
        <f>+'Quarterly Financial Model '!X59</f>
        <v>127.34899999999999</v>
      </c>
      <c r="Y33" s="907">
        <f>+'Quarterly Financial Model '!Y59</f>
        <v>122.10300000000002</v>
      </c>
      <c r="Z33" s="908">
        <f>+'Quarterly Financial Model '!Z59</f>
        <v>129.51599999999999</v>
      </c>
      <c r="AA33" s="913">
        <f>+'Quarterly Financial Model '!AA59</f>
        <v>481.66499999999991</v>
      </c>
      <c r="AB33" s="906">
        <f>+'Quarterly Financial Model '!AB59</f>
        <v>105.50099999999999</v>
      </c>
      <c r="AC33" s="907">
        <f>+'Quarterly Financial Model '!AC59</f>
        <v>129.25999999999996</v>
      </c>
      <c r="AD33" s="907">
        <f>+'Quarterly Financial Model '!AD59</f>
        <v>133.28199999999998</v>
      </c>
      <c r="AE33" s="908">
        <f>+'Quarterly Financial Model '!AE59</f>
        <v>146.16299999999998</v>
      </c>
      <c r="AF33" s="913">
        <f>+'Quarterly Financial Model '!AF59</f>
        <v>514.20600000000002</v>
      </c>
      <c r="AG33" s="906">
        <f>+'Quarterly Financial Model '!AG59</f>
        <v>121.46899999999997</v>
      </c>
      <c r="AH33" s="907">
        <f>+'Quarterly Financial Model '!AH59</f>
        <v>158.61999999999995</v>
      </c>
      <c r="AI33" s="907">
        <f>+'Quarterly Financial Model '!AI59</f>
        <v>159.08600000000001</v>
      </c>
      <c r="AJ33" s="908">
        <f>+'Quarterly Financial Model '!AJ59</f>
        <v>172.51400000000001</v>
      </c>
      <c r="AK33" s="913">
        <f>+'Quarterly Financial Model '!AK59</f>
        <v>613.18999999999994</v>
      </c>
      <c r="AL33" s="906">
        <f>+'Quarterly Financial Model '!AL59</f>
        <v>144.571</v>
      </c>
      <c r="AM33" s="907">
        <f>+'Quarterly Financial Model '!AM59</f>
        <v>188.46399999999997</v>
      </c>
      <c r="AN33" s="907">
        <f>+'Quarterly Financial Model '!AN59</f>
        <v>190.76499999999996</v>
      </c>
      <c r="AO33" s="908">
        <f>+'Quarterly Financial Model '!AO59</f>
        <v>197.85</v>
      </c>
      <c r="AP33" s="913">
        <f>+'Quarterly Financial Model '!AP59</f>
        <v>721.65</v>
      </c>
      <c r="AQ33" s="906">
        <f>+'Quarterly Financial Model '!AQ59</f>
        <v>156.35600000000005</v>
      </c>
      <c r="AR33" s="907">
        <f>+'Quarterly Financial Model '!AR59</f>
        <v>201.95499999999987</v>
      </c>
      <c r="AS33" s="907">
        <f>+'Quarterly Financial Model '!AS59</f>
        <v>203.887</v>
      </c>
      <c r="AT33" s="908">
        <f>+'Quarterly Financial Model '!AT59</f>
        <v>212.73400000000012</v>
      </c>
      <c r="AU33" s="913">
        <f>+'Quarterly Financial Model '!AU59</f>
        <v>774.93200000000002</v>
      </c>
      <c r="AV33" s="906">
        <f>+'Quarterly Financial Model '!AV59</f>
        <v>271.26922732851699</v>
      </c>
      <c r="AW33" s="907">
        <f>+'Quarterly Financial Model '!AW59</f>
        <v>336.8571577356073</v>
      </c>
      <c r="AX33" s="907">
        <f>+'Quarterly Financial Model '!AX59</f>
        <v>362.79944822955531</v>
      </c>
      <c r="AY33" s="908">
        <f>+'Quarterly Financial Model '!AY59</f>
        <v>382.91037102470369</v>
      </c>
      <c r="AZ33" s="913">
        <f>+'Quarterly Financial Model '!AZ59</f>
        <v>1353.8362043183834</v>
      </c>
      <c r="BA33" s="906">
        <f>+'Quarterly Financial Model '!BA59</f>
        <v>350.33438961179058</v>
      </c>
      <c r="BB33" s="907">
        <f>+'Quarterly Financial Model '!BB59</f>
        <v>392.28515145819728</v>
      </c>
      <c r="BC33" s="907">
        <f>+'Quarterly Financial Model '!BC59</f>
        <v>423.09043487634432</v>
      </c>
      <c r="BD33" s="908">
        <f>+'Quarterly Financial Model '!BD59</f>
        <v>448.0235782269126</v>
      </c>
      <c r="BE33" s="913">
        <f>+'Quarterly Financial Model '!BE59</f>
        <v>1613.7335541732457</v>
      </c>
      <c r="BF33" s="906">
        <f>+'Quarterly Financial Model '!BF59</f>
        <v>412.22530466155206</v>
      </c>
      <c r="BG33" s="907">
        <f>+'Quarterly Financial Model '!BG59</f>
        <v>458.19458175745888</v>
      </c>
      <c r="BH33" s="907">
        <f>+'Quarterly Financial Model '!BH59</f>
        <v>491.224711919382</v>
      </c>
      <c r="BI33" s="908">
        <f>+'Quarterly Financial Model '!BI59</f>
        <v>518.65592392546193</v>
      </c>
      <c r="BJ33" s="913">
        <f>+'Quarterly Financial Model '!BJ59</f>
        <v>1880.3005222638549</v>
      </c>
    </row>
    <row r="34" spans="1:62">
      <c r="A34" s="809"/>
      <c r="B34" s="28" t="s">
        <v>299</v>
      </c>
      <c r="C34" s="833">
        <f>'Quarterly Financial Model '!C61</f>
        <v>14.398999999999997</v>
      </c>
      <c r="D34" s="834">
        <f>'Quarterly Financial Model '!D61</f>
        <v>20.982500000000009</v>
      </c>
      <c r="E34" s="834">
        <f>'Quarterly Financial Model '!E61</f>
        <v>23.061500000000006</v>
      </c>
      <c r="F34" s="835">
        <f>'Quarterly Financial Model '!F61</f>
        <v>23.4465</v>
      </c>
      <c r="G34" s="836">
        <f>'Quarterly Financial Model '!G61</f>
        <v>81.889500000000012</v>
      </c>
      <c r="H34" s="833">
        <f>'Quarterly Financial Model '!H61</f>
        <v>18.903500000000008</v>
      </c>
      <c r="I34" s="834">
        <f>'Quarterly Financial Model '!I61</f>
        <v>23.715999999999994</v>
      </c>
      <c r="J34" s="834">
        <f>'Quarterly Financial Model '!J61</f>
        <v>24.909500000000008</v>
      </c>
      <c r="K34" s="835">
        <f>'Quarterly Financial Model '!K61</f>
        <v>28.14350000000001</v>
      </c>
      <c r="L34" s="836">
        <f>'Quarterly Financial Model '!L61</f>
        <v>95.672500000000014</v>
      </c>
      <c r="M34" s="837">
        <f>'Quarterly Financial Model '!M61</f>
        <v>20.339550000000013</v>
      </c>
      <c r="N34" s="838">
        <f>'Quarterly Financial Model '!N61</f>
        <v>28.786450000000016</v>
      </c>
      <c r="O34" s="838">
        <f>'Quarterly Financial Model '!O61</f>
        <v>29.521800000000002</v>
      </c>
      <c r="P34" s="839">
        <f>'Quarterly Financial Model '!P61</f>
        <v>36.647380000000013</v>
      </c>
      <c r="Q34" s="836">
        <f>'Quarterly Financial Model '!Q61</f>
        <v>115.29518000000004</v>
      </c>
      <c r="R34" s="837">
        <f>'Quarterly Financial Model '!R61</f>
        <v>26.52</v>
      </c>
      <c r="S34" s="838">
        <f>'Quarterly Financial Model '!S61</f>
        <v>42.542000000000002</v>
      </c>
      <c r="T34" s="838">
        <f>'Quarterly Financial Model '!T61</f>
        <v>42.643999999999998</v>
      </c>
      <c r="U34" s="839">
        <f>'Quarterly Financial Model '!U61</f>
        <v>46.98</v>
      </c>
      <c r="V34" s="836">
        <f>'Quarterly Financial Model '!V61</f>
        <v>158.68599999999998</v>
      </c>
      <c r="W34" s="833">
        <f>'Quarterly Financial Model '!W61</f>
        <v>39.537999999999997</v>
      </c>
      <c r="X34" s="834">
        <f>'Quarterly Financial Model '!X61</f>
        <v>49.029000000000003</v>
      </c>
      <c r="Y34" s="834">
        <f>'Quarterly Financial Model '!Y61</f>
        <v>47.01</v>
      </c>
      <c r="Z34" s="835">
        <f>'Quarterly Financial Model '!Z61</f>
        <v>49.863999999999997</v>
      </c>
      <c r="AA34" s="840">
        <f>'Quarterly Financial Model '!AA61</f>
        <v>185.441</v>
      </c>
      <c r="AB34" s="833">
        <f>'Quarterly Financial Model '!AB61</f>
        <v>38.508000000000003</v>
      </c>
      <c r="AC34" s="834">
        <f>'Quarterly Financial Model '!AC61</f>
        <v>47.18</v>
      </c>
      <c r="AD34" s="834">
        <f>'Quarterly Financial Model '!AD61</f>
        <v>48.648000000000003</v>
      </c>
      <c r="AE34" s="835">
        <f>'Quarterly Financial Model '!AE61</f>
        <v>53.348999999999997</v>
      </c>
      <c r="AF34" s="840">
        <f>'Quarterly Financial Model '!AF61</f>
        <v>187.685</v>
      </c>
      <c r="AG34" s="833">
        <f>'Quarterly Financial Model '!AG61</f>
        <v>43.753</v>
      </c>
      <c r="AH34" s="834">
        <f>'Quarterly Financial Model '!AH61</f>
        <v>57.493000000000002</v>
      </c>
      <c r="AI34" s="834">
        <f>'Quarterly Financial Model '!AI61</f>
        <v>57.386000000000003</v>
      </c>
      <c r="AJ34" s="835">
        <f>'Quarterly Financial Model '!AJ61</f>
        <v>62.116</v>
      </c>
      <c r="AK34" s="840">
        <f>'Quarterly Financial Model '!AK61</f>
        <v>220.74799999999999</v>
      </c>
      <c r="AL34" s="833">
        <f>'Quarterly Financial Model '!AL61</f>
        <v>52.238</v>
      </c>
      <c r="AM34" s="834">
        <f>'Quarterly Financial Model '!AM61</f>
        <v>68.096000000000004</v>
      </c>
      <c r="AN34" s="834">
        <f>'Quarterly Financial Model '!AN61</f>
        <v>68.802999999999997</v>
      </c>
      <c r="AO34" s="835">
        <f>'Quarterly Financial Model '!AO61</f>
        <v>71.225999999999999</v>
      </c>
      <c r="AP34" s="840">
        <f>'Quarterly Financial Model '!AP61</f>
        <v>260.363</v>
      </c>
      <c r="AQ34" s="833">
        <f>'Quarterly Financial Model '!AQ61</f>
        <v>53.247999999999998</v>
      </c>
      <c r="AR34" s="834">
        <f>'Quarterly Financial Model '!AR61</f>
        <v>68.81</v>
      </c>
      <c r="AS34" s="834">
        <f>'Quarterly Financial Model '!AS61</f>
        <v>69.477999999999994</v>
      </c>
      <c r="AT34" s="835">
        <f>'Quarterly Financial Model '!AT61</f>
        <v>72.552999999999997</v>
      </c>
      <c r="AU34" s="840">
        <f>'Quarterly Financial Model '!AU61</f>
        <v>264.089</v>
      </c>
      <c r="AV34" s="833">
        <f>'Quarterly Financial Model '!AV61</f>
        <v>51.541153192418228</v>
      </c>
      <c r="AW34" s="834">
        <f>'Quarterly Financial Model '!AW61</f>
        <v>64.002859969765382</v>
      </c>
      <c r="AX34" s="834">
        <f>'Quarterly Financial Model '!AX61</f>
        <v>68.931895163615508</v>
      </c>
      <c r="AY34" s="835">
        <f>'Quarterly Financial Model '!AY61</f>
        <v>72.752970494693699</v>
      </c>
      <c r="AZ34" s="840">
        <f>'Quarterly Financial Model '!AZ61</f>
        <v>257.22887882049281</v>
      </c>
      <c r="BA34" s="833">
        <f>'Quarterly Financial Model '!BA61</f>
        <v>63.936026104151779</v>
      </c>
      <c r="BB34" s="834">
        <f>'Quarterly Financial Model '!BB61</f>
        <v>71.592040141121004</v>
      </c>
      <c r="BC34" s="834">
        <f>'Quarterly Financial Model '!BC61</f>
        <v>77.214004364932833</v>
      </c>
      <c r="BD34" s="835">
        <f>'Quarterly Financial Model '!BD61</f>
        <v>81.764303026411554</v>
      </c>
      <c r="BE34" s="840">
        <f>'Quarterly Financial Model '!BE61</f>
        <v>294.50637363661718</v>
      </c>
      <c r="BF34" s="833">
        <f>'Quarterly Financial Model '!BF61</f>
        <v>74.200554839079373</v>
      </c>
      <c r="BG34" s="834">
        <f>'Quarterly Financial Model '!BG61</f>
        <v>82.475024716342588</v>
      </c>
      <c r="BH34" s="834">
        <f>'Quarterly Financial Model '!BH61</f>
        <v>88.420448145488763</v>
      </c>
      <c r="BI34" s="835">
        <f>'Quarterly Financial Model '!BI61</f>
        <v>93.35806630658314</v>
      </c>
      <c r="BJ34" s="840">
        <f>'Quarterly Financial Model '!BJ61</f>
        <v>338.45409400749384</v>
      </c>
    </row>
    <row r="35" spans="1:62">
      <c r="A35" s="809"/>
      <c r="B35" s="841" t="s">
        <v>114</v>
      </c>
      <c r="C35" s="842">
        <f>'Quarterly Financial Model '!C68</f>
        <v>0.38500000000000001</v>
      </c>
      <c r="D35" s="843">
        <f>'Quarterly Financial Model '!D68</f>
        <v>0.38500000000000001</v>
      </c>
      <c r="E35" s="843">
        <f>'Quarterly Financial Model '!E68</f>
        <v>0.38500000000000001</v>
      </c>
      <c r="F35" s="844">
        <f>'Quarterly Financial Model '!F68</f>
        <v>0.38500000000000001</v>
      </c>
      <c r="G35" s="845">
        <f>'Quarterly Financial Model '!G68</f>
        <v>0.38500000000000012</v>
      </c>
      <c r="H35" s="842">
        <f>'Quarterly Financial Model '!H68</f>
        <v>0.38500000000000001</v>
      </c>
      <c r="I35" s="843">
        <f>'Quarterly Financial Model '!I68</f>
        <v>0.38500000000000001</v>
      </c>
      <c r="J35" s="843">
        <f>'Quarterly Financial Model '!J68</f>
        <v>0.38500000000000001</v>
      </c>
      <c r="K35" s="844">
        <f>'Quarterly Financial Model '!K68</f>
        <v>0.38500000000000001</v>
      </c>
      <c r="L35" s="845">
        <f>'Quarterly Financial Model '!L68</f>
        <v>0.38500000000000018</v>
      </c>
      <c r="M35" s="846">
        <f>'Quarterly Financial Model '!M68</f>
        <v>0.38500000000000001</v>
      </c>
      <c r="N35" s="303">
        <f>'Quarterly Financial Model '!N68</f>
        <v>0.38500000000000001</v>
      </c>
      <c r="O35" s="303">
        <f>'Quarterly Financial Model '!O68</f>
        <v>0.38500000000000001</v>
      </c>
      <c r="P35" s="847">
        <f>'Quarterly Financial Model '!P68</f>
        <v>0.38500000000000001</v>
      </c>
      <c r="Q35" s="845">
        <f>'Quarterly Financial Model '!Q68</f>
        <v>0.38500000000000018</v>
      </c>
      <c r="R35" s="846">
        <f>'Quarterly Financial Model '!R68</f>
        <v>0.38499506416584395</v>
      </c>
      <c r="S35" s="303">
        <f>'Quarterly Financial Model '!S68</f>
        <v>0.38500244348313978</v>
      </c>
      <c r="T35" s="303">
        <f>'Quarterly Financial Model '!T68</f>
        <v>0.3850022119299768</v>
      </c>
      <c r="U35" s="847">
        <f>'Quarterly Financial Model '!U68</f>
        <v>0.33153042409342359</v>
      </c>
      <c r="V35" s="845">
        <f>'Quarterly Financial Model '!V68</f>
        <v>0.36917048790547591</v>
      </c>
      <c r="W35" s="842">
        <f>'Quarterly Financial Model '!W68</f>
        <v>0.34369066282364624</v>
      </c>
      <c r="X35" s="843">
        <f>'Quarterly Financial Model '!X68</f>
        <v>0.35049352566569042</v>
      </c>
      <c r="Y35" s="843">
        <f>'Quarterly Financial Model '!Y68</f>
        <v>0.3450775165229355</v>
      </c>
      <c r="Z35" s="844">
        <f>'Quarterly Financial Model '!Z68</f>
        <v>0.30174650236264244</v>
      </c>
      <c r="AA35" s="848">
        <f>'Quarterly Financial Model '!AA68</f>
        <v>0.33456240333011539</v>
      </c>
      <c r="AB35" s="842">
        <f>'Quarterly Financial Model '!AB68</f>
        <v>0.26425341939886832</v>
      </c>
      <c r="AC35" s="843">
        <f>'Quarterly Financial Model '!AC68</f>
        <v>0.28022590128423341</v>
      </c>
      <c r="AD35" s="843">
        <f>'Quarterly Financial Model '!AD68</f>
        <v>0.27182965441695062</v>
      </c>
      <c r="AE35" s="844">
        <f>'Quarterly Financial Model '!AE68</f>
        <v>0.27976984599385618</v>
      </c>
      <c r="AF35" s="848">
        <f>'Quarterly Financial Model '!AF68</f>
        <v>0.27464284741912776</v>
      </c>
      <c r="AG35" s="842">
        <f>'Quarterly Financial Model '!AG68</f>
        <v>0.26394388691764986</v>
      </c>
      <c r="AH35" s="843">
        <f>'Quarterly Financial Model '!AH68</f>
        <v>0.28904930021434888</v>
      </c>
      <c r="AI35" s="843">
        <f>'Quarterly Financial Model '!AI68</f>
        <v>0.25485586412380723</v>
      </c>
      <c r="AJ35" s="844">
        <f>'Quarterly Financial Model '!AJ68</f>
        <v>0.2556778000626036</v>
      </c>
      <c r="AK35" s="848">
        <f>'Quarterly Financial Model '!AK68</f>
        <v>0.265108693879548</v>
      </c>
      <c r="AL35" s="842">
        <f>'Quarterly Financial Model '!AL68</f>
        <v>0.23634062156310739</v>
      </c>
      <c r="AM35" s="843">
        <f>'Quarterly Financial Model '!AM68</f>
        <v>0.26544061465319641</v>
      </c>
      <c r="AN35" s="843">
        <f>'Quarterly Financial Model '!AN68</f>
        <v>0.26158362383036726</v>
      </c>
      <c r="AO35" s="844">
        <f>'Quarterly Financial Model '!AO68</f>
        <v>0.25326257265605262</v>
      </c>
      <c r="AP35" s="848">
        <f>'Quarterly Financial Model '!AP68</f>
        <v>0.25525254624818128</v>
      </c>
      <c r="AQ35" s="842">
        <f>'Quarterly Financial Model '!AQ68</f>
        <v>0.13859397784542959</v>
      </c>
      <c r="AR35" s="843">
        <f>'Quarterly Financial Model '!AR68</f>
        <v>0.18435294991458506</v>
      </c>
      <c r="AS35" s="843">
        <f>'Quarterly Financial Model '!AS68</f>
        <v>0.17614659100384034</v>
      </c>
      <c r="AT35" s="844">
        <f>'Quarterly Financial Model '!AT68</f>
        <v>0.1832758280293699</v>
      </c>
      <c r="AU35" s="848">
        <f>'Quarterly Financial Model '!AU68</f>
        <v>0.17266547258340087</v>
      </c>
      <c r="AV35" s="842">
        <f>'Quarterly Financial Model '!AV68</f>
        <v>0.11258613257828826</v>
      </c>
      <c r="AW35" s="843">
        <f>'Quarterly Financial Model '!AW68</f>
        <v>0.12765903583238536</v>
      </c>
      <c r="AX35" s="843">
        <f>'Quarterly Financial Model '!AX68</f>
        <v>0.13211678076557437</v>
      </c>
      <c r="AY35" s="844">
        <f>'Quarterly Financial Model '!AY68</f>
        <v>0.13515687850448643</v>
      </c>
      <c r="AZ35" s="848">
        <f>'Quarterly Financial Model '!AZ68</f>
        <v>0.12795408947399842</v>
      </c>
      <c r="BA35" s="842">
        <f>'Quarterly Financial Model '!BA68</f>
        <v>0.12255726921850198</v>
      </c>
      <c r="BB35" s="843">
        <f>'Quarterly Financial Model '!BB68</f>
        <v>0.1289675124155501</v>
      </c>
      <c r="BC35" s="843">
        <f>'Quarterly Financial Model '!BC68</f>
        <v>0.1328652215485854</v>
      </c>
      <c r="BD35" s="844">
        <f>'Quarterly Financial Model '!BD68</f>
        <v>0.13562746690004776</v>
      </c>
      <c r="BE35" s="848">
        <f>'Quarterly Financial Model '!BE68</f>
        <v>0.13044679717555024</v>
      </c>
      <c r="BF35" s="842">
        <f>'Quarterly Financial Model '!BF68</f>
        <v>0.12905698470587207</v>
      </c>
      <c r="BG35" s="843">
        <f>'Quarterly Financial Model '!BG68</f>
        <v>0.13416794341074037</v>
      </c>
      <c r="BH35" s="843">
        <f>'Quarterly Financial Model '!BH68</f>
        <v>0.13724970773977177</v>
      </c>
      <c r="BI35" s="844">
        <f>'Quarterly Financial Model '!BI68</f>
        <v>0.13951072950047322</v>
      </c>
      <c r="BJ35" s="848">
        <f>'Quarterly Financial Model '!BJ68</f>
        <v>0.13532629013001324</v>
      </c>
    </row>
    <row r="36" spans="1:62" ht="4.5" customHeight="1">
      <c r="A36" s="809"/>
      <c r="B36" s="849"/>
      <c r="C36" s="850"/>
      <c r="D36" s="851"/>
      <c r="E36" s="851"/>
      <c r="F36" s="852"/>
      <c r="G36" s="853"/>
      <c r="H36" s="850"/>
      <c r="I36" s="851"/>
      <c r="J36" s="851"/>
      <c r="K36" s="852"/>
      <c r="L36" s="853"/>
      <c r="M36" s="850"/>
      <c r="N36" s="851"/>
      <c r="O36" s="851"/>
      <c r="P36" s="852"/>
      <c r="Q36" s="853"/>
      <c r="R36" s="850"/>
      <c r="S36" s="851"/>
      <c r="T36" s="851"/>
      <c r="U36" s="852"/>
      <c r="V36" s="853"/>
      <c r="W36" s="850"/>
      <c r="X36" s="851"/>
      <c r="Y36" s="851"/>
      <c r="Z36" s="852"/>
      <c r="AA36" s="854"/>
      <c r="AB36" s="850"/>
      <c r="AC36" s="851"/>
      <c r="AD36" s="851"/>
      <c r="AE36" s="852"/>
      <c r="AF36" s="854"/>
      <c r="AG36" s="850"/>
      <c r="AH36" s="851"/>
      <c r="AI36" s="851"/>
      <c r="AJ36" s="852"/>
      <c r="AK36" s="854"/>
      <c r="AL36" s="850"/>
      <c r="AM36" s="851"/>
      <c r="AN36" s="851"/>
      <c r="AO36" s="852"/>
      <c r="AP36" s="854"/>
      <c r="AQ36" s="850"/>
      <c r="AR36" s="851"/>
      <c r="AS36" s="851"/>
      <c r="AT36" s="852"/>
      <c r="AU36" s="854"/>
      <c r="AV36" s="850"/>
      <c r="AW36" s="851"/>
      <c r="AX36" s="851"/>
      <c r="AY36" s="852"/>
      <c r="AZ36" s="854"/>
      <c r="BA36" s="850"/>
      <c r="BB36" s="851"/>
      <c r="BC36" s="851"/>
      <c r="BD36" s="852"/>
      <c r="BE36" s="854"/>
      <c r="BF36" s="850"/>
      <c r="BG36" s="851"/>
      <c r="BH36" s="851"/>
      <c r="BI36" s="852"/>
      <c r="BJ36" s="854"/>
    </row>
    <row r="37" spans="1:62">
      <c r="A37" s="809"/>
      <c r="B37" s="817" t="s">
        <v>300</v>
      </c>
      <c r="C37" s="818">
        <f>'Quarterly Financial Model '!C69</f>
        <v>23.000999999999994</v>
      </c>
      <c r="D37" s="819">
        <f>'Quarterly Financial Model '!D69</f>
        <v>33.517500000000013</v>
      </c>
      <c r="E37" s="819">
        <f>'Quarterly Financial Model '!E69</f>
        <v>36.83850000000001</v>
      </c>
      <c r="F37" s="820">
        <f>'Quarterly Financial Model '!F69</f>
        <v>37.453499999999998</v>
      </c>
      <c r="G37" s="821">
        <f>'Quarterly Financial Model '!G69</f>
        <v>130.81049999999993</v>
      </c>
      <c r="H37" s="818">
        <f>'Quarterly Financial Model '!H69</f>
        <v>30.196500000000007</v>
      </c>
      <c r="I37" s="819">
        <f>'Quarterly Financial Model '!I69</f>
        <v>37.883999999999993</v>
      </c>
      <c r="J37" s="819">
        <f>'Quarterly Financial Model '!J69</f>
        <v>39.790500000000009</v>
      </c>
      <c r="K37" s="820">
        <f>'Quarterly Financial Model '!K69</f>
        <v>44.956500000000013</v>
      </c>
      <c r="L37" s="821">
        <f>'Quarterly Financial Model '!L69</f>
        <v>152.8274999999999</v>
      </c>
      <c r="M37" s="818">
        <f>'Quarterly Financial Model '!M69</f>
        <v>32.490450000000024</v>
      </c>
      <c r="N37" s="819">
        <f>'Quarterly Financial Model '!N69</f>
        <v>45.983550000000022</v>
      </c>
      <c r="O37" s="819">
        <f>'Quarterly Financial Model '!O69</f>
        <v>47.158200000000008</v>
      </c>
      <c r="P37" s="820">
        <f>'Quarterly Financial Model '!P69</f>
        <v>58.540620000000018</v>
      </c>
      <c r="Q37" s="821">
        <f>'Quarterly Financial Model '!Q69</f>
        <v>184.17281999999992</v>
      </c>
      <c r="R37" s="818">
        <f>'Quarterly Financial Model '!R69</f>
        <v>42.364000000000019</v>
      </c>
      <c r="S37" s="819">
        <f>'Quarterly Financial Model '!S69</f>
        <v>67.95600000000006</v>
      </c>
      <c r="T37" s="819">
        <f>'Quarterly Financial Model '!T69</f>
        <v>68.118999999999943</v>
      </c>
      <c r="U37" s="820">
        <f>'Quarterly Financial Model '!U69</f>
        <v>81.569999999999965</v>
      </c>
      <c r="V37" s="821">
        <f>'Quarterly Financial Model '!V69</f>
        <v>260.00899999999996</v>
      </c>
      <c r="W37" s="818">
        <f>'Quarterly Financial Model '!W69</f>
        <v>67.40100000000001</v>
      </c>
      <c r="X37" s="819">
        <f>'Quarterly Financial Model '!X69</f>
        <v>82.713999999999984</v>
      </c>
      <c r="Y37" s="819">
        <f>'Quarterly Financial Model '!Y69</f>
        <v>79.968000000000018</v>
      </c>
      <c r="Z37" s="820">
        <f>'Quarterly Financial Model '!Z69</f>
        <v>90.435000000000002</v>
      </c>
      <c r="AA37" s="821">
        <f>'Quarterly Financial Model '!AA69</f>
        <v>320.51799999999992</v>
      </c>
      <c r="AB37" s="818">
        <f>'Quarterly Financial Model '!AB69</f>
        <v>77.621999999999986</v>
      </c>
      <c r="AC37" s="819">
        <f>'Quarterly Financial Model '!AC69</f>
        <v>93.037999999999954</v>
      </c>
      <c r="AD37" s="819">
        <f>'Quarterly Financial Model '!AD69</f>
        <v>97.051999999999978</v>
      </c>
      <c r="AE37" s="820">
        <f>'Quarterly Financial Model '!AE69</f>
        <v>105.27099999999999</v>
      </c>
      <c r="AF37" s="821">
        <f>'Quarterly Financial Model '!AF69</f>
        <v>372.983</v>
      </c>
      <c r="AG37" s="818">
        <f>'Quarterly Financial Model '!AG69</f>
        <v>89.407999999999959</v>
      </c>
      <c r="AH37" s="819">
        <f>'Quarterly Financial Model '!AH69</f>
        <v>112.77099999999994</v>
      </c>
      <c r="AI37" s="819">
        <f>'Quarterly Financial Model '!AI69</f>
        <v>118.542</v>
      </c>
      <c r="AJ37" s="820">
        <f>'Quarterly Financial Model '!AJ69</f>
        <v>128.40600000000001</v>
      </c>
      <c r="AK37" s="821">
        <f>'Quarterly Financial Model '!AK69</f>
        <v>450.62799999999993</v>
      </c>
      <c r="AL37" s="818">
        <f>'Quarterly Financial Model '!AL69</f>
        <v>110.40299999999999</v>
      </c>
      <c r="AM37" s="819">
        <f>'Quarterly Financial Model '!AM69</f>
        <v>138.43799999999996</v>
      </c>
      <c r="AN37" s="819">
        <f>'Quarterly Financial Model '!AN69</f>
        <v>140.86399999999998</v>
      </c>
      <c r="AO37" s="820">
        <f>'Quarterly Financial Model '!AO69</f>
        <v>147.74199999999999</v>
      </c>
      <c r="AP37" s="821">
        <f>'Quarterly Financial Model '!AP69</f>
        <v>537.447</v>
      </c>
      <c r="AQ37" s="818">
        <f>'Quarterly Financial Model '!AQ69</f>
        <v>134.68600000000006</v>
      </c>
      <c r="AR37" s="819">
        <f>'Quarterly Financial Model '!AR69</f>
        <v>164.72399999999988</v>
      </c>
      <c r="AS37" s="819">
        <f>'Quarterly Financial Model '!AS69</f>
        <v>167.97300000000001</v>
      </c>
      <c r="AT37" s="820">
        <f>'Quarterly Financial Model '!AT69</f>
        <v>173.74500000000012</v>
      </c>
      <c r="AU37" s="821">
        <f>'Quarterly Financial Model '!AU69</f>
        <v>641.12800000000004</v>
      </c>
      <c r="AV37" s="818">
        <f>'Quarterly Financial Model '!AV69</f>
        <v>240.72807413609877</v>
      </c>
      <c r="AW37" s="819">
        <f>'Quarterly Financial Model '!AW69</f>
        <v>293.85429776584192</v>
      </c>
      <c r="AX37" s="819">
        <f>'Quarterly Financial Model '!AX69</f>
        <v>314.86755306593977</v>
      </c>
      <c r="AY37" s="820">
        <f>'Quarterly Financial Model '!AY69</f>
        <v>331.15740053001002</v>
      </c>
      <c r="AZ37" s="821">
        <f>'Quarterly Financial Model '!AZ69</f>
        <v>1180.6073254978905</v>
      </c>
      <c r="BA37" s="818">
        <f>'Quarterly Financial Model '!BA69</f>
        <v>307.39836350763881</v>
      </c>
      <c r="BB37" s="819">
        <f>'Quarterly Financial Model '!BB69</f>
        <v>341.69311131707627</v>
      </c>
      <c r="BC37" s="819">
        <f>'Quarterly Financial Model '!BC69</f>
        <v>366.87643051141151</v>
      </c>
      <c r="BD37" s="820">
        <f>'Quarterly Financial Model '!BD69</f>
        <v>387.25927520050107</v>
      </c>
      <c r="BE37" s="821">
        <f>'Quarterly Financial Model '!BE69</f>
        <v>1403.2271805366286</v>
      </c>
      <c r="BF37" s="818">
        <f>'Quarterly Financial Model '!BF69</f>
        <v>359.0247498224727</v>
      </c>
      <c r="BG37" s="819">
        <f>'Quarterly Financial Model '!BG69</f>
        <v>396.71955704111627</v>
      </c>
      <c r="BH37" s="819">
        <f>'Quarterly Financial Model '!BH69</f>
        <v>423.80426377389324</v>
      </c>
      <c r="BI37" s="820">
        <f>'Quarterly Financial Model '!BI69</f>
        <v>446.29785761887877</v>
      </c>
      <c r="BJ37" s="821">
        <f>'Quarterly Financial Model '!BJ69</f>
        <v>1625.8464282563609</v>
      </c>
    </row>
    <row r="38" spans="1:62">
      <c r="A38" s="809"/>
      <c r="B38" s="823" t="s">
        <v>16</v>
      </c>
      <c r="C38" s="824"/>
      <c r="D38" s="825"/>
      <c r="E38" s="825"/>
      <c r="F38" s="826"/>
      <c r="G38" s="780"/>
      <c r="H38" s="824"/>
      <c r="I38" s="825"/>
      <c r="J38" s="825"/>
      <c r="K38" s="826"/>
      <c r="L38" s="780">
        <f>+'Quarterly Financial Model '!L70</f>
        <v>0.16831217677479993</v>
      </c>
      <c r="M38" s="824">
        <f>+'Quarterly Financial Model '!M70</f>
        <v>7.5967413441955678E-2</v>
      </c>
      <c r="N38" s="825">
        <f>+'Quarterly Financial Model '!N70</f>
        <v>0.21379870129870215</v>
      </c>
      <c r="O38" s="825">
        <f>+'Quarterly Financial Model '!O70</f>
        <v>0.18516228748067998</v>
      </c>
      <c r="P38" s="826">
        <f>+'Quarterly Financial Model '!P70</f>
        <v>0.30216142270861845</v>
      </c>
      <c r="Q38" s="780">
        <f>+'Quarterly Financial Model '!Q70</f>
        <v>0.20510261569416532</v>
      </c>
      <c r="R38" s="824">
        <f>+'Quarterly Financial Model '!R70</f>
        <v>0.30389083561477248</v>
      </c>
      <c r="S38" s="825">
        <f>+'Quarterly Financial Model '!S70</f>
        <v>0.47783283369813834</v>
      </c>
      <c r="T38" s="825">
        <f>+'Quarterly Financial Model '!T70</f>
        <v>0.44447837279624602</v>
      </c>
      <c r="U38" s="826">
        <f>+'Quarterly Financial Model '!U70</f>
        <v>0.39339146049358442</v>
      </c>
      <c r="V38" s="780">
        <f>+'Quarterly Financial Model '!V70</f>
        <v>0.41176640505368867</v>
      </c>
      <c r="W38" s="824">
        <f>+'Quarterly Financial Model '!W70</f>
        <v>0.59099707298649751</v>
      </c>
      <c r="X38" s="825">
        <f>+'Quarterly Financial Model '!X70</f>
        <v>0.21716993348637215</v>
      </c>
      <c r="Y38" s="825">
        <f>+'Quarterly Financial Model '!Y70</f>
        <v>0.17394559520838659</v>
      </c>
      <c r="Z38" s="826">
        <f>+'Quarterly Financial Model '!Z70</f>
        <v>0.1086796616403094</v>
      </c>
      <c r="AA38" s="780">
        <f>+'Quarterly Financial Model '!AA70</f>
        <v>0.23271886742381986</v>
      </c>
      <c r="AB38" s="824">
        <f>+'Quarterly Financial Model '!AB70</f>
        <v>0.15164463435260567</v>
      </c>
      <c r="AC38" s="825">
        <f>+'Quarterly Financial Model '!AC70</f>
        <v>0.12481562976037885</v>
      </c>
      <c r="AD38" s="825">
        <f>+'Quarterly Financial Model '!AD70</f>
        <v>0.21363545418167207</v>
      </c>
      <c r="AE38" s="826">
        <f>+'Quarterly Financial Model '!AE70</f>
        <v>0.16405152872228657</v>
      </c>
      <c r="AF38" s="780">
        <f>+'Quarterly Financial Model '!AF70</f>
        <v>0.16368815479941867</v>
      </c>
      <c r="AG38" s="824">
        <f>+'Quarterly Financial Model '!AG70</f>
        <v>0.15183839633093688</v>
      </c>
      <c r="AH38" s="825">
        <f>+'Quarterly Financial Model '!AH70</f>
        <v>0.21209613276295713</v>
      </c>
      <c r="AI38" s="825">
        <f>+'Quarterly Financial Model '!AI70</f>
        <v>0.22142768824959846</v>
      </c>
      <c r="AJ38" s="826">
        <f>+'Quarterly Financial Model '!AJ70</f>
        <v>0.21976612742350721</v>
      </c>
      <c r="AK38" s="780">
        <f>+'Quarterly Financial Model '!AK70</f>
        <v>0.20817302665268911</v>
      </c>
      <c r="AL38" s="824">
        <f>+'Quarterly Financial Model '!AL70</f>
        <v>0.23482238725841142</v>
      </c>
      <c r="AM38" s="825">
        <f>+'Quarterly Financial Model '!AM70</f>
        <v>0.22760284115597118</v>
      </c>
      <c r="AN38" s="825">
        <f>+'Quarterly Financial Model '!AN70</f>
        <v>0.18830456715763177</v>
      </c>
      <c r="AO38" s="826">
        <f>+'Quarterly Financial Model '!AO70</f>
        <v>0.15058486363565549</v>
      </c>
      <c r="AP38" s="780">
        <f>+'Quarterly Financial Model '!AP70</f>
        <v>0.19266224025138268</v>
      </c>
      <c r="AQ38" s="824">
        <f>+'Quarterly Financial Model '!AQ70</f>
        <v>0.21994873327717612</v>
      </c>
      <c r="AR38" s="825">
        <f>+'Quarterly Financial Model '!AR70</f>
        <v>0.18987561218740456</v>
      </c>
      <c r="AS38" s="825">
        <f>+'Quarterly Financial Model '!AS70</f>
        <v>0.19244803498409846</v>
      </c>
      <c r="AT38" s="826">
        <f>+'Quarterly Financial Model '!AT70</f>
        <v>0.17600276157084727</v>
      </c>
      <c r="AU38" s="780">
        <f>+'Quarterly Financial Model '!AU70</f>
        <v>0.192913905929329</v>
      </c>
      <c r="AV38" s="824">
        <f>+'Quarterly Financial Model '!AV70</f>
        <v>0.787328112321241</v>
      </c>
      <c r="AW38" s="825">
        <f>+'Quarterly Financial Model '!AW70</f>
        <v>0.78391914818631259</v>
      </c>
      <c r="AX38" s="825">
        <f>+'Quarterly Financial Model '!AX70</f>
        <v>0.87451288639209723</v>
      </c>
      <c r="AY38" s="826">
        <f>+'Quarterly Financial Model '!AY70</f>
        <v>0.90599672238055651</v>
      </c>
      <c r="AZ38" s="780">
        <f>+'Quarterly Financial Model '!AZ70</f>
        <v>0.84145338450027207</v>
      </c>
      <c r="BA38" s="824">
        <f>+'Quarterly Financial Model '!BA70</f>
        <v>0.27695269698309932</v>
      </c>
      <c r="BB38" s="825">
        <f>+'Quarterly Financial Model '!BB70</f>
        <v>0.16279773314513424</v>
      </c>
      <c r="BC38" s="825">
        <f>+'Quarterly Financial Model '!BC70</f>
        <v>0.16517699883347459</v>
      </c>
      <c r="BD38" s="826">
        <f>+'Quarterly Financial Model '!BD70</f>
        <v>0.1694115081852352</v>
      </c>
      <c r="BE38" s="780">
        <f>+'Quarterly Financial Model '!BE70</f>
        <v>0.18856384356657618</v>
      </c>
      <c r="BF38" s="824">
        <f>+'Quarterly Financial Model '!BF70</f>
        <v>0.16794619764965324</v>
      </c>
      <c r="BG38" s="825">
        <f>+'Quarterly Financial Model '!BG70</f>
        <v>0.16104054750163765</v>
      </c>
      <c r="BH38" s="825">
        <f>+'Quarterly Financial Model '!BH70</f>
        <v>0.15516895752372672</v>
      </c>
      <c r="BI38" s="826">
        <f>+'Quarterly Financial Model '!BI70</f>
        <v>0.15245233929596869</v>
      </c>
      <c r="BJ38" s="780">
        <f>+'Quarterly Financial Model '!BJ70</f>
        <v>0.15864804417100675</v>
      </c>
    </row>
    <row r="39" spans="1:62" ht="6.75" customHeight="1">
      <c r="A39" s="809"/>
      <c r="B39" s="914"/>
      <c r="C39" s="842"/>
      <c r="D39" s="843"/>
      <c r="E39" s="843"/>
      <c r="F39" s="844"/>
      <c r="G39" s="845"/>
      <c r="H39" s="842"/>
      <c r="I39" s="843"/>
      <c r="J39" s="843"/>
      <c r="K39" s="844"/>
      <c r="L39" s="845"/>
      <c r="M39" s="842"/>
      <c r="N39" s="843"/>
      <c r="O39" s="843"/>
      <c r="P39" s="844"/>
      <c r="Q39" s="845"/>
      <c r="R39" s="842"/>
      <c r="S39" s="843"/>
      <c r="T39" s="843"/>
      <c r="U39" s="844"/>
      <c r="V39" s="845"/>
      <c r="W39" s="842"/>
      <c r="X39" s="843"/>
      <c r="Y39" s="843"/>
      <c r="Z39" s="844"/>
      <c r="AA39" s="848"/>
      <c r="AB39" s="842"/>
      <c r="AC39" s="843"/>
      <c r="AD39" s="843"/>
      <c r="AE39" s="844"/>
      <c r="AF39" s="848"/>
      <c r="AG39" s="842"/>
      <c r="AH39" s="843"/>
      <c r="AI39" s="843"/>
      <c r="AJ39" s="844"/>
      <c r="AK39" s="848"/>
      <c r="AL39" s="842"/>
      <c r="AM39" s="843"/>
      <c r="AN39" s="843"/>
      <c r="AO39" s="844"/>
      <c r="AP39" s="848"/>
      <c r="AQ39" s="842"/>
      <c r="AR39" s="843"/>
      <c r="AS39" s="843"/>
      <c r="AT39" s="844"/>
      <c r="AU39" s="848"/>
      <c r="AV39" s="842"/>
      <c r="AW39" s="843"/>
      <c r="AX39" s="843"/>
      <c r="AY39" s="844"/>
      <c r="AZ39" s="848"/>
      <c r="BA39" s="842"/>
      <c r="BB39" s="843"/>
      <c r="BC39" s="843"/>
      <c r="BD39" s="844"/>
      <c r="BE39" s="848"/>
      <c r="BF39" s="842"/>
      <c r="BG39" s="843"/>
      <c r="BH39" s="843"/>
      <c r="BI39" s="844"/>
      <c r="BJ39" s="848"/>
    </row>
    <row r="40" spans="1:62">
      <c r="A40" s="809"/>
      <c r="B40" s="832" t="s">
        <v>301</v>
      </c>
      <c r="C40" s="837"/>
      <c r="D40" s="838"/>
      <c r="E40" s="838"/>
      <c r="F40" s="839"/>
      <c r="G40" s="915"/>
      <c r="H40" s="837"/>
      <c r="I40" s="838"/>
      <c r="J40" s="838"/>
      <c r="K40" s="839"/>
      <c r="L40" s="836">
        <f>'Quarterly Financial Model '!L135</f>
        <v>145.13999999999987</v>
      </c>
      <c r="M40" s="837">
        <f>'Quarterly Financial Model '!M135</f>
        <v>29.599950000000018</v>
      </c>
      <c r="N40" s="838">
        <f>'Quarterly Financial Model '!N135</f>
        <v>44.077050000000028</v>
      </c>
      <c r="O40" s="838">
        <f>'Quarterly Financial Model '!O135</f>
        <v>46.912199999999999</v>
      </c>
      <c r="P40" s="839">
        <f>'Quarterly Financial Model '!P135</f>
        <v>58.090440000000015</v>
      </c>
      <c r="Q40" s="836">
        <f>'Quarterly Financial Model '!Q135</f>
        <v>178.67963999999995</v>
      </c>
      <c r="R40" s="837">
        <f>'Quarterly Financial Model '!R135</f>
        <v>37.036212240868721</v>
      </c>
      <c r="S40" s="838">
        <f>'Quarterly Financial Model '!S135</f>
        <v>62.526435000000035</v>
      </c>
      <c r="T40" s="838">
        <f>'Quarterly Financial Model '!T135</f>
        <v>62.340704999999964</v>
      </c>
      <c r="U40" s="839">
        <f>'Quarterly Financial Model '!U135</f>
        <v>71.014049999999969</v>
      </c>
      <c r="V40" s="836">
        <f>'Quarterly Financial Model '!V135</f>
        <v>232.91740224086868</v>
      </c>
      <c r="W40" s="837">
        <f>'Quarterly Financial Model '!W135</f>
        <v>62.977475067431385</v>
      </c>
      <c r="X40" s="838">
        <f>'Quarterly Financial Model '!X135</f>
        <v>65.053918962850105</v>
      </c>
      <c r="Y40" s="838">
        <f>'Quarterly Financial Model '!Y135</f>
        <v>75.107165327633254</v>
      </c>
      <c r="Z40" s="839">
        <f>'Quarterly Financial Model '!Z135</f>
        <v>84.585730450291834</v>
      </c>
      <c r="AA40" s="840">
        <f>'Quarterly Financial Model '!AA135</f>
        <v>287.72428980820638</v>
      </c>
      <c r="AB40" s="837">
        <f>'Quarterly Financial Model '!AB135</f>
        <v>59.385629999999999</v>
      </c>
      <c r="AC40" s="838">
        <f>'Quarterly Financial Model '!AC135</f>
        <v>55.656884999999988</v>
      </c>
      <c r="AD40" s="838">
        <f>'Quarterly Financial Model '!AD135</f>
        <v>77.805850647499284</v>
      </c>
      <c r="AE40" s="839">
        <f>'Quarterly Financial Model '!AE135</f>
        <v>85.591471480470432</v>
      </c>
      <c r="AF40" s="840">
        <f>'Quarterly Financial Model '!AF135</f>
        <v>278.43983712796972</v>
      </c>
      <c r="AG40" s="837">
        <f>'Quarterly Financial Model '!AG135</f>
        <v>70.323098271987078</v>
      </c>
      <c r="AH40" s="838">
        <f>'Quarterly Financial Model '!AH135</f>
        <v>98.947839999999957</v>
      </c>
      <c r="AI40" s="838">
        <f>'Quarterly Financial Model '!AI135</f>
        <v>97.344606690720738</v>
      </c>
      <c r="AJ40" s="839">
        <f>'Quarterly Financial Model '!AJ135</f>
        <v>106.16865987687959</v>
      </c>
      <c r="AK40" s="840">
        <f>'Quarterly Financial Model '!AK135</f>
        <v>372.7842048395874</v>
      </c>
      <c r="AL40" s="837">
        <f>'Quarterly Financial Model '!AL135</f>
        <v>87.340525292071035</v>
      </c>
      <c r="AM40" s="838">
        <f>'Quarterly Financial Model '!AM135</f>
        <v>115.73885457169537</v>
      </c>
      <c r="AN40" s="838">
        <f>'Quarterly Financial Model '!AN135</f>
        <v>116.05074451812435</v>
      </c>
      <c r="AO40" s="839">
        <f>'Quarterly Financial Model '!AO135</f>
        <v>120.23743999999999</v>
      </c>
      <c r="AP40" s="840">
        <f>'Quarterly Financial Model '!AP135</f>
        <v>439.36756438189082</v>
      </c>
      <c r="AQ40" s="837">
        <f>'Quarterly Financial Model '!AQ135</f>
        <v>96.299901864974856</v>
      </c>
      <c r="AR40" s="838">
        <f>'Quarterly Financial Model '!AR135</f>
        <v>126.25354059072552</v>
      </c>
      <c r="AS40" s="838">
        <f>'Quarterly Financial Model '!AS135</f>
        <v>125.74140700976524</v>
      </c>
      <c r="AT40" s="839">
        <f>'Quarterly Financial Model '!AT135</f>
        <v>132.1905762501529</v>
      </c>
      <c r="AU40" s="840">
        <f>'Quarterly Financial Model '!AU135</f>
        <v>480.48542571561853</v>
      </c>
      <c r="AV40" s="837">
        <f>'Quarterly Financial Model '!AV135</f>
        <v>207.565675900896</v>
      </c>
      <c r="AW40" s="838">
        <f>'Quarterly Financial Model '!AW135</f>
        <v>258.65278350292976</v>
      </c>
      <c r="AX40" s="838">
        <f>'Quarterly Financial Model '!AX135</f>
        <v>279.00069534126192</v>
      </c>
      <c r="AY40" s="839">
        <f>'Quarterly Financial Model '!AY135</f>
        <v>294.83427768911861</v>
      </c>
      <c r="AZ40" s="840">
        <f>'Quarterly Financial Model '!AZ135</f>
        <v>1040.0534324342063</v>
      </c>
      <c r="BA40" s="837">
        <f>'Quarterly Financial Model '!BA135</f>
        <v>271.88523287470395</v>
      </c>
      <c r="BB40" s="838">
        <f>'Quarterly Financial Model '!BB135</f>
        <v>305.0575575631126</v>
      </c>
      <c r="BC40" s="838">
        <f>'Quarterly Financial Model '!BC135</f>
        <v>329.51931073127122</v>
      </c>
      <c r="BD40" s="839">
        <f>'Quarterly Financial Model '!BD135</f>
        <v>349.387604549613</v>
      </c>
      <c r="BE40" s="840">
        <f>'Quarterly Financial Model '!BE135</f>
        <v>1255.8497057187017</v>
      </c>
      <c r="BF40" s="837">
        <f>'Quarterly Financial Model '!BF135</f>
        <v>322.10854640789</v>
      </c>
      <c r="BG40" s="838">
        <f>'Quarterly Financial Model '!BG135</f>
        <v>358.58453869248012</v>
      </c>
      <c r="BH40" s="838">
        <f>'Quarterly Financial Model '!BH135</f>
        <v>384.89734371851716</v>
      </c>
      <c r="BI40" s="839">
        <f>'Quarterly Financial Model '!BI135</f>
        <v>406.81242711478143</v>
      </c>
      <c r="BJ40" s="840">
        <f>'Quarterly Financial Model '!BJ135</f>
        <v>1472.4028559336687</v>
      </c>
    </row>
    <row r="41" spans="1:62">
      <c r="A41" s="809"/>
      <c r="B41" s="832" t="s">
        <v>302</v>
      </c>
      <c r="C41" s="833"/>
      <c r="D41" s="834"/>
      <c r="E41" s="834"/>
      <c r="F41" s="835"/>
      <c r="G41" s="836"/>
      <c r="H41" s="833"/>
      <c r="I41" s="834"/>
      <c r="J41" s="834"/>
      <c r="K41" s="835"/>
      <c r="L41" s="836">
        <f>'Quarterly Financial Model '!L117</f>
        <v>54.799999999999933</v>
      </c>
      <c r="M41" s="837">
        <f>'Quarterly Financial Model '!M117</f>
        <v>4.6300000000000221</v>
      </c>
      <c r="N41" s="838">
        <f>'Quarterly Financial Model '!N117</f>
        <v>11.570000000000039</v>
      </c>
      <c r="O41" s="838">
        <f>'Quarterly Financial Model '!O117</f>
        <v>28.679999999999993</v>
      </c>
      <c r="P41" s="839">
        <f>'Quarterly Financial Model '!P117</f>
        <v>39.879000000000019</v>
      </c>
      <c r="Q41" s="836">
        <f>'Quarterly Financial Model '!Q117</f>
        <v>84.759</v>
      </c>
      <c r="R41" s="837">
        <f>'Quarterly Financial Model '!R117</f>
        <v>-42.927999999999983</v>
      </c>
      <c r="S41" s="838">
        <f>'Quarterly Financial Model '!S117</f>
        <v>47.57800000000006</v>
      </c>
      <c r="T41" s="838">
        <f>'Quarterly Financial Model '!T117</f>
        <v>48.638999999999953</v>
      </c>
      <c r="U41" s="839">
        <f>'Quarterly Financial Model '!U117</f>
        <v>57.468999999999951</v>
      </c>
      <c r="V41" s="836">
        <f>'Quarterly Financial Model '!V117</f>
        <v>110.758</v>
      </c>
      <c r="W41" s="837">
        <f>'Quarterly Financial Model '!W117</f>
        <v>44.464999999999996</v>
      </c>
      <c r="X41" s="838">
        <f>'Quarterly Financial Model '!X117</f>
        <v>45.967999999999989</v>
      </c>
      <c r="Y41" s="838">
        <f>'Quarterly Financial Model '!Y117</f>
        <v>54.605000000000018</v>
      </c>
      <c r="Z41" s="839">
        <f>'Quarterly Financial Model '!Z117</f>
        <v>63.101999999999961</v>
      </c>
      <c r="AA41" s="840">
        <f>'Quarterly Financial Model '!AA117</f>
        <v>208.13999999999993</v>
      </c>
      <c r="AB41" s="837">
        <f>'Quarterly Financial Model '!AB117</f>
        <v>41.090999999999994</v>
      </c>
      <c r="AC41" s="838">
        <f>'Quarterly Financial Model '!AC117</f>
        <v>3.3129999999999558</v>
      </c>
      <c r="AD41" s="838">
        <f>'Quarterly Financial Model '!AD117</f>
        <v>42.844999999999999</v>
      </c>
      <c r="AE41" s="839">
        <f>'Quarterly Financial Model '!AE117</f>
        <v>81.740999999999957</v>
      </c>
      <c r="AF41" s="840">
        <f>'Quarterly Financial Model '!AF117</f>
        <v>141.15700000000004</v>
      </c>
      <c r="AG41" s="837">
        <f>'Quarterly Financial Model '!AG117</f>
        <v>26.995999999999974</v>
      </c>
      <c r="AH41" s="838">
        <f>'Quarterly Financial Model '!AH117</f>
        <v>52.692999999999927</v>
      </c>
      <c r="AI41" s="838">
        <f>'Quarterly Financial Model '!AI117</f>
        <v>59.147999999999996</v>
      </c>
      <c r="AJ41" s="839">
        <f>'Quarterly Financial Model '!AJ117</f>
        <v>70.391999999999996</v>
      </c>
      <c r="AK41" s="840">
        <f>'Quarterly Financial Model '!AK117</f>
        <v>240.49699999999987</v>
      </c>
      <c r="AL41" s="837">
        <f>'Quarterly Financial Model '!AL117</f>
        <v>52.447999999999986</v>
      </c>
      <c r="AM41" s="838">
        <f>'Quarterly Financial Model '!AM117</f>
        <v>78.460999999999984</v>
      </c>
      <c r="AN41" s="838">
        <f>'Quarterly Financial Model '!AN117</f>
        <v>87.003999999999934</v>
      </c>
      <c r="AO41" s="839">
        <f>'Quarterly Financial Model '!AO117</f>
        <v>62.95799999999997</v>
      </c>
      <c r="AP41" s="840">
        <f>'Quarterly Financial Model '!AP117</f>
        <v>280.87099999999992</v>
      </c>
      <c r="AQ41" s="837">
        <f>'Quarterly Financial Model '!AQ117</f>
        <v>35.301000000000037</v>
      </c>
      <c r="AR41" s="838">
        <f>'Quarterly Financial Model '!AR117</f>
        <v>86.853999999999871</v>
      </c>
      <c r="AS41" s="838">
        <f>'Quarterly Financial Model '!AS117</f>
        <v>106.90499999999994</v>
      </c>
      <c r="AT41" s="839">
        <f>'Quarterly Financial Model '!AT117</f>
        <v>102.35843652440352</v>
      </c>
      <c r="AU41" s="840">
        <f>'Quarterly Financial Model '!AU117</f>
        <v>331.41843652440349</v>
      </c>
      <c r="AV41" s="837">
        <f>'Quarterly Financial Model '!AV117</f>
        <v>122.34466670187001</v>
      </c>
      <c r="AW41" s="838">
        <f>'Quarterly Financial Model '!AW117</f>
        <v>157.04079908708411</v>
      </c>
      <c r="AX41" s="838">
        <f>'Quarterly Financial Model '!AX117</f>
        <v>171.56549524966374</v>
      </c>
      <c r="AY41" s="839">
        <f>'Quarterly Financial Model '!AY117</f>
        <v>183.16302883132573</v>
      </c>
      <c r="AZ41" s="840">
        <f>'Quarterly Financial Model '!AZ117</f>
        <v>634.11398986994368</v>
      </c>
      <c r="BA41" s="837">
        <f>'Quarterly Financial Model '!BA117</f>
        <v>169.01379024767877</v>
      </c>
      <c r="BB41" s="838">
        <f>'Quarterly Financial Model '!BB117</f>
        <v>192.56494911474337</v>
      </c>
      <c r="BC41" s="838">
        <f>'Quarterly Financial Model '!BC117</f>
        <v>210.4115513984579</v>
      </c>
      <c r="BD41" s="839">
        <f>'Quarterly Financial Model '!BD117</f>
        <v>225.23012674049357</v>
      </c>
      <c r="BE41" s="840">
        <f>'Quarterly Financial Model '!BE117</f>
        <v>797.22041750137453</v>
      </c>
      <c r="BF41" s="837">
        <f>'Quarterly Financial Model '!BF117</f>
        <v>205.38155382585165</v>
      </c>
      <c r="BG41" s="838">
        <f>'Quarterly Financial Model '!BG117</f>
        <v>231.2685952938707</v>
      </c>
      <c r="BH41" s="838">
        <f>'Quarterly Financial Model '!BH117</f>
        <v>250.42636708911726</v>
      </c>
      <c r="BI41" s="839">
        <f>'Quarterly Financial Model '!BI117</f>
        <v>266.67234247506065</v>
      </c>
      <c r="BJ41" s="840">
        <f>'Quarterly Financial Model '!BJ117</f>
        <v>953.74885868389993</v>
      </c>
    </row>
    <row r="42" spans="1:62" ht="6.75" customHeight="1">
      <c r="A42" s="809"/>
      <c r="B42" s="28"/>
      <c r="C42" s="828"/>
      <c r="D42" s="807"/>
      <c r="E42" s="807"/>
      <c r="F42" s="829"/>
      <c r="G42" s="830"/>
      <c r="H42" s="828"/>
      <c r="I42" s="807"/>
      <c r="J42" s="807"/>
      <c r="K42" s="829"/>
      <c r="L42" s="830"/>
      <c r="M42" s="828"/>
      <c r="N42" s="807"/>
      <c r="O42" s="807"/>
      <c r="P42" s="829"/>
      <c r="Q42" s="830"/>
      <c r="R42" s="828"/>
      <c r="S42" s="807"/>
      <c r="T42" s="807"/>
      <c r="U42" s="829"/>
      <c r="V42" s="830"/>
      <c r="W42" s="828"/>
      <c r="X42" s="807"/>
      <c r="Y42" s="807"/>
      <c r="Z42" s="829"/>
      <c r="AA42" s="831"/>
      <c r="AB42" s="828"/>
      <c r="AC42" s="807"/>
      <c r="AD42" s="807"/>
      <c r="AE42" s="829"/>
      <c r="AF42" s="831"/>
      <c r="AG42" s="828"/>
      <c r="AH42" s="807"/>
      <c r="AI42" s="807"/>
      <c r="AJ42" s="829"/>
      <c r="AK42" s="831"/>
      <c r="AL42" s="828"/>
      <c r="AM42" s="807"/>
      <c r="AN42" s="807"/>
      <c r="AO42" s="829"/>
      <c r="AP42" s="831"/>
      <c r="AQ42" s="828"/>
      <c r="AR42" s="807"/>
      <c r="AS42" s="807"/>
      <c r="AT42" s="829"/>
      <c r="AU42" s="831"/>
      <c r="AV42" s="828"/>
      <c r="AW42" s="807"/>
      <c r="AX42" s="807"/>
      <c r="AY42" s="829"/>
      <c r="AZ42" s="831"/>
      <c r="BA42" s="828"/>
      <c r="BB42" s="807"/>
      <c r="BC42" s="807"/>
      <c r="BD42" s="829"/>
      <c r="BE42" s="831"/>
      <c r="BF42" s="828"/>
      <c r="BG42" s="807"/>
      <c r="BH42" s="807"/>
      <c r="BI42" s="829"/>
      <c r="BJ42" s="831"/>
    </row>
    <row r="43" spans="1:62">
      <c r="A43" s="916"/>
      <c r="B43" s="621" t="s">
        <v>303</v>
      </c>
      <c r="C43" s="917"/>
      <c r="D43" s="918"/>
      <c r="E43" s="918"/>
      <c r="F43" s="919"/>
      <c r="G43" s="920"/>
      <c r="H43" s="917"/>
      <c r="I43" s="918"/>
      <c r="J43" s="918"/>
      <c r="K43" s="919"/>
      <c r="L43" s="920">
        <f>'Quarterly Financial Model '!L72</f>
        <v>0.72016906489212951</v>
      </c>
      <c r="M43" s="917">
        <f>'Quarterly Financial Model '!M72</f>
        <v>0.15310475532495474</v>
      </c>
      <c r="N43" s="918">
        <f>'Quarterly Financial Model '!N72</f>
        <v>0.2166882936900788</v>
      </c>
      <c r="O43" s="918">
        <f>'Quarterly Financial Model '!O72</f>
        <v>0.22222359716671444</v>
      </c>
      <c r="P43" s="919">
        <f>'Quarterly Financial Model '!P72</f>
        <v>0.27586097766177903</v>
      </c>
      <c r="Q43" s="920">
        <f>'Quarterly Financial Model '!Q72</f>
        <v>0.86787762384352629</v>
      </c>
      <c r="R43" s="917">
        <f>'Quarterly Financial Model '!R72</f>
        <v>0.19954354813731873</v>
      </c>
      <c r="S43" s="918">
        <f>'Quarterly Financial Model '!S72</f>
        <v>0.31753266595807011</v>
      </c>
      <c r="T43" s="918">
        <f>'Quarterly Financial Model '!T72</f>
        <v>0.31676429469736617</v>
      </c>
      <c r="U43" s="919">
        <f>'Quarterly Financial Model '!U72</f>
        <v>0.3816591092517142</v>
      </c>
      <c r="V43" s="920">
        <f>'Quarterly Financial Model '!V72</f>
        <v>1.2162908331391524</v>
      </c>
      <c r="W43" s="917">
        <f>'Quarterly Financial Model '!W72</f>
        <v>0.31409961389108892</v>
      </c>
      <c r="X43" s="918">
        <f>'Quarterly Financial Model '!X72</f>
        <v>0.39785092200702982</v>
      </c>
      <c r="Y43" s="918">
        <f>'Quarterly Financial Model '!Y72</f>
        <v>0.39782894682576958</v>
      </c>
      <c r="Z43" s="919">
        <f>'Quarterly Financial Model '!Z72</f>
        <v>0.45091699119543383</v>
      </c>
      <c r="AA43" s="921">
        <f>'Quarterly Financial Model '!AA72</f>
        <v>1.555807307931778</v>
      </c>
      <c r="AB43" s="917">
        <f>'Quarterly Financial Model '!AB72</f>
        <v>0.39015837634401934</v>
      </c>
      <c r="AC43" s="918">
        <f>'Quarterly Financial Model '!AC72</f>
        <v>0.4686931862908163</v>
      </c>
      <c r="AD43" s="918">
        <f>'Quarterly Financial Model '!AD72</f>
        <v>0.48599142194994882</v>
      </c>
      <c r="AE43" s="919">
        <f>'Quarterly Financial Model '!AE72</f>
        <v>0.52785303900690594</v>
      </c>
      <c r="AF43" s="921">
        <f>'Quarterly Financial Model '!AF72</f>
        <v>1.8729064483372166</v>
      </c>
      <c r="AG43" s="917">
        <f>'Quarterly Financial Model '!AG72</f>
        <v>0.44544721883408694</v>
      </c>
      <c r="AH43" s="918">
        <f>'Quarterly Financial Model '!AH72</f>
        <v>0.55873844488282864</v>
      </c>
      <c r="AI43" s="918">
        <f>'Quarterly Financial Model '!AI72</f>
        <v>0.58713508194076269</v>
      </c>
      <c r="AJ43" s="919">
        <f>'Quarterly Financial Model '!AJ72</f>
        <v>0.64681788179278543</v>
      </c>
      <c r="AK43" s="921">
        <f>'Quarterly Financial Model '!AK72</f>
        <v>2.2448196125842745</v>
      </c>
      <c r="AL43" s="917">
        <f>'Quarterly Financial Model '!AL72</f>
        <v>0.56105406632018551</v>
      </c>
      <c r="AM43" s="918">
        <f>'Quarterly Financial Model '!AM72</f>
        <v>0.70181109674376063</v>
      </c>
      <c r="AN43" s="918">
        <f>'Quarterly Financial Model '!AN72</f>
        <v>0.71380587693854713</v>
      </c>
      <c r="AO43" s="919">
        <f>'Quarterly Financial Model '!AO72</f>
        <v>0.7490308663461489</v>
      </c>
      <c r="AP43" s="921">
        <f>'Quarterly Financial Model '!AP72</f>
        <v>2.7260041872535523</v>
      </c>
      <c r="AQ43" s="917">
        <f>'Quarterly Financial Model '!AQ72</f>
        <v>0.68196589431275534</v>
      </c>
      <c r="AR43" s="918">
        <f>'Quarterly Financial Model '!AR72</f>
        <v>0.83381994427614115</v>
      </c>
      <c r="AS43" s="918">
        <f>'Quarterly Financial Model '!AS72</f>
        <v>0.90054140405745497</v>
      </c>
      <c r="AT43" s="919">
        <f>'Quarterly Financial Model '!AT72</f>
        <v>0.97267912864879447</v>
      </c>
      <c r="AU43" s="921">
        <f>'Quarterly Financial Model '!AU72</f>
        <v>3.3734711201488001</v>
      </c>
      <c r="AV43" s="917">
        <f>'Quarterly Financial Model '!AV72</f>
        <v>0.75789980507748766</v>
      </c>
      <c r="AW43" s="918">
        <f>'Quarterly Financial Model '!AW72</f>
        <v>0.92486935712156093</v>
      </c>
      <c r="AX43" s="918">
        <f>'Quarterly Financial Model '!AX72</f>
        <v>0.99069412063208406</v>
      </c>
      <c r="AY43" s="919">
        <f>'Quarterly Financial Model '!AY72</f>
        <v>1.0416204965711808</v>
      </c>
      <c r="AZ43" s="921">
        <f>'Quarterly Financial Model '!AZ72</f>
        <v>3.7152280617203695</v>
      </c>
      <c r="BA43" s="917">
        <f>'Quarterly Financial Model '!BA72</f>
        <v>0.96673692594449656</v>
      </c>
      <c r="BB43" s="918">
        <f>'Quarterly Financial Model '!BB72</f>
        <v>1.0742526157779251</v>
      </c>
      <c r="BC43" s="918">
        <f>'Quarterly Financial Model '!BC72</f>
        <v>1.1530642084099207</v>
      </c>
      <c r="BD43" s="919">
        <f>'Quarterly Financial Model '!BD72</f>
        <v>1.2167434976632641</v>
      </c>
      <c r="BE43" s="921">
        <f>'Quarterly Financial Model '!BE72</f>
        <v>4.4109275158973205</v>
      </c>
      <c r="BF43" s="917">
        <f>'Quarterly Financial Model '!BF72</f>
        <v>1.1276781430626039</v>
      </c>
      <c r="BG43" s="918">
        <f>'Quarterly Financial Model '!BG72</f>
        <v>1.2456843170955019</v>
      </c>
      <c r="BH43" s="918">
        <f>'Quarterly Financial Model '!BH72</f>
        <v>1.3303115531125436</v>
      </c>
      <c r="BI43" s="919">
        <f>'Quarterly Financial Model '!BI72</f>
        <v>1.4004788048169223</v>
      </c>
      <c r="BJ43" s="921">
        <f>'Quarterly Financial Model '!BJ72</f>
        <v>5.1042945697029261</v>
      </c>
    </row>
    <row r="44" spans="1:62">
      <c r="A44" s="916"/>
      <c r="B44" s="823" t="s">
        <v>16</v>
      </c>
      <c r="C44" s="824"/>
      <c r="D44" s="825"/>
      <c r="E44" s="825"/>
      <c r="F44" s="826"/>
      <c r="G44" s="780"/>
      <c r="H44" s="824"/>
      <c r="I44" s="825"/>
      <c r="J44" s="825"/>
      <c r="K44" s="826"/>
      <c r="L44" s="780"/>
      <c r="M44" s="824"/>
      <c r="N44" s="825"/>
      <c r="O44" s="825"/>
      <c r="P44" s="826"/>
      <c r="Q44" s="780"/>
      <c r="R44" s="824">
        <f>'Quarterly Financial Model '!R73</f>
        <v>0.30331385014006074</v>
      </c>
      <c r="S44" s="825">
        <f>'Quarterly Financial Model '!S73</f>
        <v>0.46538911055446897</v>
      </c>
      <c r="T44" s="825">
        <f>'Quarterly Financial Model '!T73</f>
        <v>0.42543050664293913</v>
      </c>
      <c r="U44" s="826">
        <f>'Quarterly Financial Model '!U73</f>
        <v>0.38351974420843815</v>
      </c>
      <c r="V44" s="780">
        <f>'Quarterly Financial Model '!V73</f>
        <v>0.40145430614125743</v>
      </c>
      <c r="W44" s="824">
        <f>'Quarterly Financial Model '!W73</f>
        <v>0.57409055227852734</v>
      </c>
      <c r="X44" s="825">
        <f>'Quarterly Financial Model '!X73</f>
        <v>0.25294486098499758</v>
      </c>
      <c r="Y44" s="825">
        <f>'Quarterly Financial Model '!Y73</f>
        <v>0.25591474003044401</v>
      </c>
      <c r="Z44" s="826">
        <f>'Quarterly Financial Model '!Z73</f>
        <v>0.18146529262594435</v>
      </c>
      <c r="AA44" s="827">
        <f>'Quarterly Financial Model '!AA73</f>
        <v>0.27914086462064325</v>
      </c>
      <c r="AB44" s="824">
        <f>'Quarterly Financial Model '!AB73</f>
        <v>0.24214853851843032</v>
      </c>
      <c r="AC44" s="825">
        <f>'Quarterly Financial Model '!AC73</f>
        <v>0.17806233532502591</v>
      </c>
      <c r="AD44" s="825">
        <f>'Quarterly Financial Model '!AD73</f>
        <v>0.22160900011831042</v>
      </c>
      <c r="AE44" s="826">
        <f>'Quarterly Financial Model '!AE73</f>
        <v>0.17062131016066973</v>
      </c>
      <c r="AF44" s="827">
        <f>'Quarterly Financial Model '!AF73</f>
        <v>0.20381646158159294</v>
      </c>
      <c r="AG44" s="824">
        <f>'Quarterly Financial Model '!AG73</f>
        <v>0.14170871585060385</v>
      </c>
      <c r="AH44" s="825">
        <f>'Quarterly Financial Model '!AH73</f>
        <v>0.19211983708280478</v>
      </c>
      <c r="AI44" s="825">
        <f>'Quarterly Financial Model '!AI73</f>
        <v>0.20811820008055704</v>
      </c>
      <c r="AJ44" s="826">
        <f>'Quarterly Financial Model '!AJ73</f>
        <v>0.22537493202596304</v>
      </c>
      <c r="AK44" s="827">
        <f>'Quarterly Financial Model '!AK73</f>
        <v>0.19857540913335292</v>
      </c>
      <c r="AL44" s="824">
        <f>'Quarterly Financial Model '!AL73</f>
        <v>0.25952984461029471</v>
      </c>
      <c r="AM44" s="825">
        <f>'Quarterly Financial Model '!AM73</f>
        <v>0.25606373280960715</v>
      </c>
      <c r="AN44" s="825">
        <f>'Quarterly Financial Model '!AN73</f>
        <v>0.21574387035275899</v>
      </c>
      <c r="AO44" s="826">
        <f>'Quarterly Financial Model '!AO73</f>
        <v>0.1580243642461765</v>
      </c>
      <c r="AP44" s="827">
        <f>'Quarterly Financial Model '!AP73</f>
        <v>0.2143533368880941</v>
      </c>
      <c r="AQ44" s="824">
        <f>'Quarterly Financial Model '!AQ73</f>
        <v>0.21550833556131321</v>
      </c>
      <c r="AR44" s="825">
        <f>'Quarterly Financial Model '!AR73</f>
        <v>0.18809740704424693</v>
      </c>
      <c r="AS44" s="825">
        <f>'Quarterly Financial Model '!AS73</f>
        <v>0.26160547727597971</v>
      </c>
      <c r="AT44" s="826">
        <f>'Quarterly Financial Model '!AT73</f>
        <v>0.29858350616927876</v>
      </c>
      <c r="AU44" s="827">
        <f>'Quarterly Financial Model '!AU73</f>
        <v>0.23751501774014905</v>
      </c>
      <c r="AV44" s="824">
        <f>'Quarterly Financial Model '!AV73</f>
        <v>0.11134561331876291</v>
      </c>
      <c r="AW44" s="825">
        <f>'Quarterly Financial Model '!AW73</f>
        <v>0.1091955325252647</v>
      </c>
      <c r="AX44" s="825">
        <f>'Quarterly Financial Model '!AX73</f>
        <v>0.10010946322783099</v>
      </c>
      <c r="AY44" s="826">
        <f>'Quarterly Financial Model '!AY73</f>
        <v>7.0877811491809162E-2</v>
      </c>
      <c r="AZ44" s="827">
        <f>'Quarterly Financial Model '!AZ73</f>
        <v>0.10130720833219842</v>
      </c>
      <c r="BA44" s="824">
        <f>'Quarterly Financial Model '!BA73</f>
        <v>0.27554713626777794</v>
      </c>
      <c r="BB44" s="825">
        <f>'Quarterly Financial Model '!BB73</f>
        <v>0.16151822687831774</v>
      </c>
      <c r="BC44" s="825">
        <f>'Quarterly Financial Model '!BC73</f>
        <v>0.16389527745883981</v>
      </c>
      <c r="BD44" s="826">
        <f>'Quarterly Financial Model '!BD73</f>
        <v>0.16812553292543231</v>
      </c>
      <c r="BE44" s="827">
        <f>'Quarterly Financial Model '!BE73</f>
        <v>0.18725619063471477</v>
      </c>
      <c r="BF44" s="824">
        <f>'Quarterly Financial Model '!BF73</f>
        <v>0.16647881424501154</v>
      </c>
      <c r="BG44" s="825">
        <f>'Quarterly Financial Model '!BG73</f>
        <v>0.15958229824130687</v>
      </c>
      <c r="BH44" s="825">
        <f>'Quarterly Financial Model '!BH73</f>
        <v>0.15371853831717441</v>
      </c>
      <c r="BI44" s="826">
        <f>'Quarterly Financial Model '!BI73</f>
        <v>0.15100578511947571</v>
      </c>
      <c r="BJ44" s="827">
        <f>'Quarterly Financial Model '!BJ73</f>
        <v>0.15719302829317816</v>
      </c>
    </row>
    <row r="45" spans="1:62" ht="6" customHeight="1">
      <c r="A45" s="922"/>
      <c r="B45" s="1285"/>
      <c r="C45" s="1286"/>
      <c r="D45" s="1287"/>
      <c r="E45" s="1287"/>
      <c r="F45" s="1288"/>
      <c r="G45" s="1289"/>
      <c r="H45" s="1286"/>
      <c r="I45" s="1287"/>
      <c r="J45" s="1287"/>
      <c r="K45" s="1288"/>
      <c r="L45" s="1289"/>
      <c r="M45" s="1286"/>
      <c r="N45" s="1287"/>
      <c r="O45" s="1287"/>
      <c r="P45" s="1288"/>
      <c r="Q45" s="1289"/>
      <c r="R45" s="1286"/>
      <c r="S45" s="1287"/>
      <c r="T45" s="1287"/>
      <c r="U45" s="1288"/>
      <c r="V45" s="1289"/>
      <c r="W45" s="1286"/>
      <c r="X45" s="1287"/>
      <c r="Y45" s="1287"/>
      <c r="Z45" s="1288"/>
      <c r="AA45" s="1290"/>
      <c r="AB45" s="1286"/>
      <c r="AC45" s="1287"/>
      <c r="AD45" s="1287"/>
      <c r="AE45" s="1288"/>
      <c r="AF45" s="1290"/>
      <c r="AG45" s="1286"/>
      <c r="AH45" s="1287"/>
      <c r="AI45" s="1287"/>
      <c r="AJ45" s="1288"/>
      <c r="AK45" s="1290"/>
      <c r="AL45" s="1286"/>
      <c r="AM45" s="1287"/>
      <c r="AN45" s="1287"/>
      <c r="AO45" s="1288"/>
      <c r="AP45" s="1290"/>
      <c r="AQ45" s="1286"/>
      <c r="AR45" s="1287"/>
      <c r="AS45" s="1287"/>
      <c r="AT45" s="1288"/>
      <c r="AU45" s="1290"/>
      <c r="AV45" s="1286"/>
      <c r="AW45" s="1287"/>
      <c r="AX45" s="1287"/>
      <c r="AY45" s="1288"/>
      <c r="AZ45" s="1290"/>
      <c r="BA45" s="1286"/>
      <c r="BB45" s="1287"/>
      <c r="BC45" s="1287"/>
      <c r="BD45" s="1288"/>
      <c r="BE45" s="1290"/>
      <c r="BF45" s="1286"/>
      <c r="BG45" s="1287"/>
      <c r="BH45" s="1287"/>
      <c r="BI45" s="1288"/>
      <c r="BJ45" s="1290"/>
    </row>
    <row r="46" spans="1:62">
      <c r="A46" s="922"/>
      <c r="B46" s="1291" t="s">
        <v>439</v>
      </c>
      <c r="C46" s="925"/>
      <c r="D46" s="926"/>
      <c r="E46" s="926"/>
      <c r="F46" s="927"/>
      <c r="G46" s="928"/>
      <c r="H46" s="925"/>
      <c r="I46" s="926"/>
      <c r="J46" s="926"/>
      <c r="K46" s="927"/>
      <c r="L46" s="929"/>
      <c r="M46" s="925"/>
      <c r="N46" s="926"/>
      <c r="O46" s="926"/>
      <c r="P46" s="927"/>
      <c r="Q46" s="929"/>
      <c r="R46" s="925"/>
      <c r="S46" s="926"/>
      <c r="T46" s="926"/>
      <c r="U46" s="927"/>
      <c r="V46" s="929"/>
      <c r="W46" s="925"/>
      <c r="X46" s="926"/>
      <c r="Y46" s="926"/>
      <c r="Z46" s="927"/>
      <c r="AA46" s="930"/>
      <c r="AB46" s="925">
        <f>+'Quarterly Financial Model '!AB137</f>
        <v>0.29849528457095525</v>
      </c>
      <c r="AC46" s="926">
        <f>+'Quarterly Financial Model '!AC137</f>
        <v>0.28038008952977866</v>
      </c>
      <c r="AD46" s="926">
        <f>+'Quarterly Financial Model '!AD137</f>
        <v>0.38961562865477817</v>
      </c>
      <c r="AE46" s="927">
        <f>+'Quarterly Financial Model '!AE137</f>
        <v>0.42917535060975237</v>
      </c>
      <c r="AF46" s="1292">
        <f>+'Quarterly Financial Model '!AF99</f>
        <v>1.7384396932627073</v>
      </c>
      <c r="AG46" s="925">
        <f>+'Quarterly Financial Model '!AG99</f>
        <v>0.4083976555723664</v>
      </c>
      <c r="AH46" s="926">
        <f>+'Quarterly Financial Model '!AH99</f>
        <v>0.54257604935309689</v>
      </c>
      <c r="AI46" s="926">
        <f>+'Quarterly Financial Model '!AI99</f>
        <v>0.56455288941601389</v>
      </c>
      <c r="AJ46" s="927">
        <f>+'Quarterly Financial Model '!AJ99</f>
        <v>0.62541355167808155</v>
      </c>
      <c r="AK46" s="930">
        <f>+'Quarterly Financial Model '!AK99</f>
        <v>2.14760543589676</v>
      </c>
      <c r="AL46" s="925">
        <f>+'Quarterly Financial Model '!AL99</f>
        <v>0.53394652760484529</v>
      </c>
      <c r="AM46" s="926">
        <f>+'Quarterly Financial Model '!AM99</f>
        <v>0.6761031106199954</v>
      </c>
      <c r="AN46" s="926">
        <f>+'Quarterly Financial Model '!AN99</f>
        <v>0.68270467476060948</v>
      </c>
      <c r="AO46" s="927">
        <f>+'Quarterly Financial Model '!AO99</f>
        <v>0.71665191811361073</v>
      </c>
      <c r="AP46" s="930">
        <f>+'Quarterly Financial Model '!AP99</f>
        <v>2.6097043896134462</v>
      </c>
      <c r="AQ46" s="925">
        <f>+'Quarterly Financial Model '!AQ99</f>
        <v>0.64663914473726436</v>
      </c>
      <c r="AR46" s="926">
        <f>+'Quarterly Financial Model '!AR99</f>
        <v>0.79750758542941802</v>
      </c>
      <c r="AS46" s="926">
        <f>+'Quarterly Financial Model '!AS99</f>
        <v>0.85245022715719421</v>
      </c>
      <c r="AT46" s="927">
        <f>+'Quarterly Financial Model '!AT99</f>
        <v>0.92550779071212075</v>
      </c>
      <c r="AU46" s="930">
        <f>+'Quarterly Financial Model '!AU99</f>
        <v>3.2074805469756384</v>
      </c>
      <c r="AV46" s="925">
        <f>+'Quarterly Financial Model '!AV99</f>
        <v>0.71960813808012902</v>
      </c>
      <c r="AW46" s="926">
        <f>+'Quarterly Financial Model '!AW99</f>
        <v>0.88017188131006741</v>
      </c>
      <c r="AX46" s="926">
        <f>+'Quarterly Financial Model '!AX99</f>
        <v>0.94391728257208984</v>
      </c>
      <c r="AY46" s="927">
        <f>+'Quarterly Financial Model '!AY99</f>
        <v>0.99342323811642352</v>
      </c>
      <c r="AZ46" s="930">
        <f>+'Quarterly Financial Model '!AZ99</f>
        <v>3.5372598194674909</v>
      </c>
      <c r="BA46" s="925">
        <f>+'Quarterly Financial Model '!BA99</f>
        <v>0.92109459026704665</v>
      </c>
      <c r="BB46" s="926">
        <f>+'Quarterly Financial Model '!BB99</f>
        <v>1.0250958316256529</v>
      </c>
      <c r="BC46" s="926">
        <f>+'Quarterly Financial Model '!BC99</f>
        <v>1.1016550477155083</v>
      </c>
      <c r="BD46" s="927">
        <f>+'Quarterly Financial Model '!BD99</f>
        <v>1.1637338039675982</v>
      </c>
      <c r="BE46" s="930">
        <f>+'Quarterly Financial Model '!BE99</f>
        <v>4.2117057138683895</v>
      </c>
      <c r="BF46" s="925">
        <f>+'Quarterly Financial Model '!BF99</f>
        <v>1.0776861725367886</v>
      </c>
      <c r="BG46" s="926">
        <f>+'Quarterly Financial Model '!BG99</f>
        <v>1.191881011331507</v>
      </c>
      <c r="BH46" s="926">
        <f>+'Quarterly Financial Model '!BH99</f>
        <v>1.2741021548912959</v>
      </c>
      <c r="BI46" s="927">
        <f>+'Quarterly Financial Model '!BI99</f>
        <v>1.3424716842875377</v>
      </c>
      <c r="BJ46" s="930">
        <f>+'Quarterly Financial Model '!BJ99</f>
        <v>4.8862786224725152</v>
      </c>
    </row>
    <row r="47" spans="1:62" hidden="1">
      <c r="A47" s="923"/>
      <c r="B47" s="924" t="s">
        <v>153</v>
      </c>
      <c r="C47" s="925"/>
      <c r="D47" s="926"/>
      <c r="E47" s="926"/>
      <c r="F47" s="927"/>
      <c r="G47" s="928"/>
      <c r="H47" s="925"/>
      <c r="I47" s="926"/>
      <c r="J47" s="926"/>
      <c r="K47" s="927"/>
      <c r="L47" s="929">
        <f>+'Quarterly Financial Model '!L118</f>
        <v>0.2582340531389225</v>
      </c>
      <c r="M47" s="925">
        <f>+'Quarterly Financial Model '!M118</f>
        <v>2.1817950110095224E-2</v>
      </c>
      <c r="N47" s="926">
        <f>+'Quarterly Financial Model '!N118</f>
        <v>5.4521313774039175E-2</v>
      </c>
      <c r="O47" s="926">
        <f>+'Quarterly Financial Model '!O118</f>
        <v>0.13514877087635591</v>
      </c>
      <c r="P47" s="927">
        <f>+'Quarterly Financial Model '!P118</f>
        <v>0.18792182126144355</v>
      </c>
      <c r="Q47" s="929">
        <f>+'Quarterly Financial Model '!Q118</f>
        <v>0.39940985602193352</v>
      </c>
      <c r="R47" s="925">
        <f>+'Quarterly Financial Model '!R118</f>
        <v>-0.20220010939568528</v>
      </c>
      <c r="S47" s="926">
        <f>+'Quarterly Financial Model '!S118</f>
        <v>0.22231398523975904</v>
      </c>
      <c r="T47" s="926">
        <f>+'Quarterly Financial Model '!T118</f>
        <v>0.22617916484072273</v>
      </c>
      <c r="U47" s="927">
        <f>+'Quarterly Financial Model '!U118</f>
        <v>0.26889257508381459</v>
      </c>
      <c r="V47" s="929">
        <f>+'Quarterly Financial Model '!V118</f>
        <v>0.51811260416687988</v>
      </c>
      <c r="W47" s="925">
        <f>+'Quarterly Financial Model '!W118</f>
        <v>0.20721412637301026</v>
      </c>
      <c r="X47" s="926">
        <f>+'Quarterly Financial Model '!X118</f>
        <v>0.22110418046303101</v>
      </c>
      <c r="Y47" s="926">
        <f>+'Quarterly Financial Model '!Y118</f>
        <v>0.27165178123025646</v>
      </c>
      <c r="Z47" s="927">
        <f>+'Quarterly Financial Model '!Z118</f>
        <v>0.31463221074157399</v>
      </c>
      <c r="AA47" s="930">
        <f>+'Quarterly Financial Model '!AA118</f>
        <v>1.0103199604169508</v>
      </c>
      <c r="AB47" s="925">
        <f>+'Quarterly Financial Model '!AB118</f>
        <v>0.20653935536770632</v>
      </c>
      <c r="AC47" s="926">
        <f>+'Quarterly Financial Model '!AC118</f>
        <v>1.6689745331815543E-2</v>
      </c>
      <c r="AD47" s="926">
        <f>+'Quarterly Financial Model '!AD118</f>
        <v>0.2145478967300577</v>
      </c>
      <c r="AE47" s="927">
        <f>+'Quarterly Financial Model '!AE118</f>
        <v>0.40986819980301775</v>
      </c>
      <c r="AF47" s="930">
        <f>+'Quarterly Financial Model '!AF118</f>
        <v>0.70880939755414207</v>
      </c>
      <c r="AG47" s="925">
        <f>+'Quarterly Financial Model '!AG118</f>
        <v>0.13449907300963007</v>
      </c>
      <c r="AH47" s="926">
        <f>+'Quarterly Financial Model '!AH118</f>
        <v>0.26107425558176184</v>
      </c>
      <c r="AI47" s="926">
        <f>+'Quarterly Financial Model '!AI118</f>
        <v>0.29295832554396101</v>
      </c>
      <c r="AJ47" s="927">
        <f>+'Quarterly Financial Model '!AJ118</f>
        <v>0.35458471048983498</v>
      </c>
      <c r="AK47" s="930">
        <f>+'Quarterly Financial Model '!AK118</f>
        <v>1.1980444676488813</v>
      </c>
      <c r="AL47" s="925">
        <f>+'Quarterly Financial Model '!AL118</f>
        <v>0.26653409481953466</v>
      </c>
      <c r="AM47" s="926">
        <f>+'Quarterly Financial Model '!AM118</f>
        <v>0.39775784438963441</v>
      </c>
      <c r="AN47" s="926">
        <f>+'Quarterly Financial Model '!AN118</f>
        <v>0.44087890814659042</v>
      </c>
      <c r="AO47" s="927">
        <f>+'Quarterly Financial Model '!AO118</f>
        <v>0.31918807978381791</v>
      </c>
      <c r="AP47" s="930">
        <f>+'Quarterly Financial Model '!AP118</f>
        <v>1.4246158636630073</v>
      </c>
      <c r="AQ47" s="925">
        <f>+'Quarterly Financial Model '!AQ118</f>
        <v>0.17874224518609649</v>
      </c>
      <c r="AR47" s="926">
        <f>+'Quarterly Financial Model '!AR118</f>
        <v>0.43964812316456564</v>
      </c>
      <c r="AS47" s="926">
        <f>+'Quarterly Financial Model '!AS118</f>
        <v>0.57314198591894039</v>
      </c>
      <c r="AT47" s="927">
        <f>+'Quarterly Financial Model '!AT118</f>
        <v>0.57303470516221866</v>
      </c>
      <c r="AU47" s="930">
        <f>+'Quarterly Financial Model '!AU118</f>
        <v>1.7438491600740311</v>
      </c>
      <c r="AV47" s="925">
        <f>+'Quarterly Financial Model '!AV118</f>
        <v>0.38518564724276477</v>
      </c>
      <c r="AW47" s="926">
        <f>+'Quarterly Financial Model '!AW118</f>
        <v>0.49426611758887423</v>
      </c>
      <c r="AX47" s="926">
        <f>+'Quarterly Financial Model '!AX118</f>
        <v>0.53981086902142184</v>
      </c>
      <c r="AY47" s="927">
        <f>+'Quarterly Financial Model '!AY118</f>
        <v>0.57611988963380467</v>
      </c>
      <c r="AZ47" s="930">
        <f>+'Quarterly Financial Model '!AZ118</f>
        <v>1.9954798167127672</v>
      </c>
      <c r="BA47" s="925">
        <f>+'Quarterly Financial Model '!BA118</f>
        <v>0.53153136588578043</v>
      </c>
      <c r="BB47" s="926">
        <f>+'Quarterly Financial Model '!BB118</f>
        <v>0.60540699663592545</v>
      </c>
      <c r="BC47" s="926">
        <f>+'Quarterly Financial Model '!BC118</f>
        <v>0.66130721075585619</v>
      </c>
      <c r="BD47" s="927">
        <f>+'Quarterly Financial Model '!BD118</f>
        <v>0.70765843386832283</v>
      </c>
      <c r="BE47" s="930">
        <f>+'Quarterly Financial Model '!BE118</f>
        <v>2.5059958391393002</v>
      </c>
      <c r="BF47" s="925">
        <f>+'Quarterly Financial Model '!BF118</f>
        <v>0.64509282257607647</v>
      </c>
      <c r="BG47" s="926">
        <f>+'Quarterly Financial Model '!BG118</f>
        <v>0.72617459129806328</v>
      </c>
      <c r="BH47" s="926">
        <f>+'Quarterly Financial Model '!BH118</f>
        <v>0.78608243903934416</v>
      </c>
      <c r="BI47" s="927">
        <f>+'Quarterly Financial Model '!BI118</f>
        <v>0.83681549685172385</v>
      </c>
      <c r="BJ47" s="930">
        <f>+'Quarterly Financial Model '!BJ118</f>
        <v>2.9942650398177588</v>
      </c>
    </row>
    <row r="48" spans="1:62">
      <c r="A48" s="809"/>
      <c r="B48" s="84"/>
      <c r="C48" s="843"/>
      <c r="D48" s="843"/>
      <c r="E48" s="843"/>
      <c r="F48" s="843"/>
      <c r="G48" s="931"/>
      <c r="H48" s="843"/>
      <c r="I48" s="843"/>
      <c r="J48" s="843"/>
      <c r="K48" s="843"/>
      <c r="L48" s="931"/>
      <c r="M48" s="931"/>
      <c r="N48" s="931"/>
      <c r="O48" s="931"/>
      <c r="P48" s="931"/>
      <c r="Q48" s="931"/>
      <c r="R48" s="931"/>
      <c r="S48" s="931"/>
      <c r="T48" s="931"/>
      <c r="U48" s="931"/>
      <c r="V48" s="931"/>
      <c r="W48" s="931"/>
      <c r="X48" s="931"/>
      <c r="Y48" s="931"/>
      <c r="Z48" s="931"/>
      <c r="AA48" s="931"/>
      <c r="AB48" s="931"/>
      <c r="AC48" s="931"/>
      <c r="AD48" s="931"/>
      <c r="AE48" s="931"/>
      <c r="AF48" s="931"/>
      <c r="AG48" s="931"/>
      <c r="AH48" s="931"/>
      <c r="AI48" s="931"/>
      <c r="AJ48" s="931"/>
      <c r="AK48" s="931"/>
      <c r="AL48" s="931"/>
      <c r="AM48" s="931"/>
      <c r="AN48" s="931"/>
      <c r="AO48" s="931"/>
      <c r="AP48" s="931"/>
      <c r="AQ48" s="931"/>
      <c r="AR48" s="931"/>
      <c r="AS48" s="931"/>
      <c r="AT48" s="931"/>
      <c r="AU48" s="931"/>
      <c r="AV48" s="931"/>
      <c r="AW48" s="931"/>
      <c r="AX48" s="931"/>
      <c r="AY48" s="931"/>
      <c r="AZ48" s="931"/>
      <c r="BA48" s="931"/>
      <c r="BB48" s="931"/>
      <c r="BC48" s="931"/>
      <c r="BD48" s="931"/>
      <c r="BE48" s="931"/>
      <c r="BF48" s="931"/>
      <c r="BG48" s="931"/>
      <c r="BH48" s="931"/>
      <c r="BI48" s="931"/>
      <c r="BJ48" s="931"/>
    </row>
    <row r="49" spans="1:62">
      <c r="A49" s="809"/>
      <c r="B49" s="1314" t="s">
        <v>304</v>
      </c>
      <c r="C49" s="810"/>
      <c r="D49" s="810"/>
      <c r="E49" s="810"/>
      <c r="F49" s="810"/>
      <c r="G49" s="811"/>
      <c r="H49" s="810"/>
      <c r="I49" s="810"/>
      <c r="J49" s="810"/>
      <c r="K49" s="810"/>
      <c r="L49" s="811"/>
      <c r="M49" s="810"/>
      <c r="N49" s="810"/>
      <c r="O49" s="810"/>
      <c r="P49" s="810"/>
      <c r="Q49" s="811"/>
      <c r="R49" s="810"/>
      <c r="S49" s="810"/>
      <c r="T49" s="810"/>
      <c r="U49" s="810"/>
      <c r="V49" s="811"/>
      <c r="W49" s="810"/>
      <c r="X49" s="810"/>
      <c r="Y49" s="810"/>
      <c r="Z49" s="810"/>
      <c r="AA49" s="811"/>
      <c r="AB49" s="810"/>
      <c r="AC49" s="810"/>
      <c r="AD49" s="810"/>
      <c r="AE49" s="810"/>
      <c r="AF49" s="811"/>
      <c r="AG49" s="810"/>
      <c r="AH49" s="810"/>
      <c r="AI49" s="810"/>
      <c r="AJ49" s="810"/>
      <c r="AK49" s="811"/>
      <c r="AL49" s="810"/>
      <c r="AM49" s="810"/>
      <c r="AN49" s="810"/>
      <c r="AO49" s="810"/>
      <c r="AP49" s="811"/>
      <c r="AQ49" s="810"/>
      <c r="AR49" s="810"/>
      <c r="AS49" s="810"/>
      <c r="AT49" s="810"/>
      <c r="AU49" s="811"/>
      <c r="AV49" s="810"/>
      <c r="AW49" s="810"/>
      <c r="AX49" s="810"/>
      <c r="AY49" s="810"/>
      <c r="AZ49" s="811"/>
      <c r="BA49" s="810"/>
      <c r="BB49" s="810"/>
      <c r="BC49" s="810"/>
      <c r="BD49" s="810"/>
      <c r="BE49" s="811"/>
      <c r="BF49" s="810"/>
      <c r="BG49" s="810"/>
      <c r="BH49" s="810"/>
      <c r="BI49" s="810"/>
      <c r="BJ49" s="811"/>
    </row>
    <row r="50" spans="1:62">
      <c r="A50" s="809"/>
      <c r="B50" s="1313"/>
      <c r="C50" s="812" t="str">
        <f>+C5</f>
        <v>1Q09A</v>
      </c>
      <c r="D50" s="812" t="str">
        <f t="shared" ref="D50:AZ50" si="0">+D5</f>
        <v>2Q09A</v>
      </c>
      <c r="E50" s="812" t="str">
        <f t="shared" si="0"/>
        <v>3Q09A</v>
      </c>
      <c r="F50" s="812" t="str">
        <f t="shared" si="0"/>
        <v>4Q09A</v>
      </c>
      <c r="G50" s="813" t="str">
        <f t="shared" si="0"/>
        <v>2009A</v>
      </c>
      <c r="H50" s="812" t="str">
        <f t="shared" si="0"/>
        <v>1Q10A</v>
      </c>
      <c r="I50" s="812" t="str">
        <f t="shared" si="0"/>
        <v>2Q10A</v>
      </c>
      <c r="J50" s="812" t="str">
        <f t="shared" si="0"/>
        <v>3Q10A</v>
      </c>
      <c r="K50" s="812" t="str">
        <f t="shared" si="0"/>
        <v>4Q10A</v>
      </c>
      <c r="L50" s="813" t="str">
        <f t="shared" si="0"/>
        <v>2010A</v>
      </c>
      <c r="M50" s="812" t="str">
        <f t="shared" si="0"/>
        <v>1Q11A</v>
      </c>
      <c r="N50" s="812" t="str">
        <f t="shared" si="0"/>
        <v>2Q11A</v>
      </c>
      <c r="O50" s="812" t="str">
        <f t="shared" si="0"/>
        <v>3Q11A</v>
      </c>
      <c r="P50" s="812" t="str">
        <f t="shared" si="0"/>
        <v>4Q11A</v>
      </c>
      <c r="Q50" s="813" t="str">
        <f t="shared" si="0"/>
        <v>2011A</v>
      </c>
      <c r="R50" s="812" t="str">
        <f t="shared" si="0"/>
        <v>1Q12A</v>
      </c>
      <c r="S50" s="812" t="str">
        <f t="shared" si="0"/>
        <v>2Q12A</v>
      </c>
      <c r="T50" s="812" t="str">
        <f t="shared" si="0"/>
        <v>3Q12A</v>
      </c>
      <c r="U50" s="812" t="str">
        <f t="shared" si="0"/>
        <v>4Q12A</v>
      </c>
      <c r="V50" s="813" t="str">
        <f t="shared" si="0"/>
        <v>2012A</v>
      </c>
      <c r="W50" s="812" t="str">
        <f t="shared" si="0"/>
        <v>1Q13A</v>
      </c>
      <c r="X50" s="812" t="str">
        <f t="shared" si="0"/>
        <v>2Q13A</v>
      </c>
      <c r="Y50" s="812" t="str">
        <f t="shared" si="0"/>
        <v>3Q13A</v>
      </c>
      <c r="Z50" s="812" t="str">
        <f t="shared" si="0"/>
        <v>4Q13A</v>
      </c>
      <c r="AA50" s="813" t="str">
        <f t="shared" si="0"/>
        <v>2013A</v>
      </c>
      <c r="AB50" s="812" t="str">
        <f t="shared" si="0"/>
        <v>1Q14A</v>
      </c>
      <c r="AC50" s="812" t="str">
        <f t="shared" si="0"/>
        <v>2Q14A</v>
      </c>
      <c r="AD50" s="812" t="str">
        <f t="shared" si="0"/>
        <v>3Q14A</v>
      </c>
      <c r="AE50" s="812" t="str">
        <f t="shared" si="0"/>
        <v>4Q14A</v>
      </c>
      <c r="AF50" s="813" t="str">
        <f t="shared" si="0"/>
        <v>2014A</v>
      </c>
      <c r="AG50" s="812" t="str">
        <f t="shared" si="0"/>
        <v>1Q15A</v>
      </c>
      <c r="AH50" s="812" t="str">
        <f t="shared" si="0"/>
        <v>2Q15A</v>
      </c>
      <c r="AI50" s="812" t="str">
        <f t="shared" si="0"/>
        <v>3Q15A</v>
      </c>
      <c r="AJ50" s="812" t="str">
        <f t="shared" si="0"/>
        <v>4Q15A</v>
      </c>
      <c r="AK50" s="813" t="str">
        <f t="shared" si="0"/>
        <v>2015A</v>
      </c>
      <c r="AL50" s="812" t="str">
        <f t="shared" si="0"/>
        <v>1Q16A</v>
      </c>
      <c r="AM50" s="812" t="str">
        <f t="shared" si="0"/>
        <v>2Q16A</v>
      </c>
      <c r="AN50" s="812" t="str">
        <f t="shared" si="0"/>
        <v>3Q16A</v>
      </c>
      <c r="AO50" s="812" t="str">
        <f t="shared" si="0"/>
        <v>4Q16A</v>
      </c>
      <c r="AP50" s="813" t="str">
        <f t="shared" si="0"/>
        <v>2016A</v>
      </c>
      <c r="AQ50" s="812" t="str">
        <f t="shared" si="0"/>
        <v>1Q17A</v>
      </c>
      <c r="AR50" s="812" t="str">
        <f t="shared" si="0"/>
        <v>2Q17A</v>
      </c>
      <c r="AS50" s="812" t="str">
        <f t="shared" si="0"/>
        <v>3Q17A</v>
      </c>
      <c r="AT50" s="812" t="str">
        <f t="shared" si="0"/>
        <v>4Q17A</v>
      </c>
      <c r="AU50" s="813" t="str">
        <f t="shared" si="0"/>
        <v>2017A</v>
      </c>
      <c r="AV50" s="812" t="str">
        <f t="shared" si="0"/>
        <v>1Q18E</v>
      </c>
      <c r="AW50" s="812" t="str">
        <f t="shared" si="0"/>
        <v>2Q18E</v>
      </c>
      <c r="AX50" s="812" t="str">
        <f t="shared" si="0"/>
        <v>3Q18E</v>
      </c>
      <c r="AY50" s="812" t="str">
        <f t="shared" si="0"/>
        <v>4Q18E</v>
      </c>
      <c r="AZ50" s="813" t="str">
        <f t="shared" si="0"/>
        <v>2018E</v>
      </c>
      <c r="BA50" s="812" t="str">
        <f t="shared" ref="BA50:BJ50" si="1">+BA5</f>
        <v>1Q19E</v>
      </c>
      <c r="BB50" s="812" t="str">
        <f t="shared" si="1"/>
        <v>2Q19E</v>
      </c>
      <c r="BC50" s="812" t="str">
        <f t="shared" si="1"/>
        <v>3Q19E</v>
      </c>
      <c r="BD50" s="812" t="str">
        <f t="shared" si="1"/>
        <v>4Q19E</v>
      </c>
      <c r="BE50" s="813" t="str">
        <f t="shared" si="1"/>
        <v>2019E</v>
      </c>
      <c r="BF50" s="812" t="str">
        <f t="shared" si="1"/>
        <v>1Q20E</v>
      </c>
      <c r="BG50" s="812" t="str">
        <f t="shared" si="1"/>
        <v>2Q20E</v>
      </c>
      <c r="BH50" s="812" t="str">
        <f t="shared" si="1"/>
        <v>3Q20E</v>
      </c>
      <c r="BI50" s="812" t="str">
        <f t="shared" si="1"/>
        <v>4Q20E</v>
      </c>
      <c r="BJ50" s="813" t="str">
        <f t="shared" si="1"/>
        <v>2020E</v>
      </c>
    </row>
    <row r="51" spans="1:62">
      <c r="A51" s="809"/>
      <c r="B51" s="932"/>
      <c r="C51" s="15"/>
      <c r="D51" s="15"/>
      <c r="E51" s="15"/>
      <c r="F51" s="15"/>
      <c r="G51" s="830"/>
      <c r="H51" s="15"/>
      <c r="I51" s="15"/>
      <c r="J51" s="15"/>
      <c r="K51" s="15"/>
      <c r="L51" s="830"/>
      <c r="M51" s="15"/>
      <c r="N51" s="15"/>
      <c r="O51" s="15"/>
      <c r="P51" s="15"/>
      <c r="Q51" s="830"/>
      <c r="R51" s="15"/>
      <c r="S51" s="15"/>
      <c r="T51" s="15"/>
      <c r="U51" s="15"/>
      <c r="V51" s="831"/>
      <c r="W51" s="15"/>
      <c r="X51" s="15"/>
      <c r="Y51" s="15"/>
      <c r="Z51" s="15"/>
      <c r="AA51" s="830"/>
      <c r="AB51" s="15"/>
      <c r="AC51" s="15"/>
      <c r="AD51" s="15"/>
      <c r="AE51" s="15"/>
      <c r="AF51" s="830"/>
      <c r="AG51" s="15"/>
      <c r="AH51" s="15"/>
      <c r="AI51" s="15"/>
      <c r="AJ51" s="15"/>
      <c r="AK51" s="830"/>
      <c r="AL51" s="15"/>
      <c r="AM51" s="15"/>
      <c r="AN51" s="15"/>
      <c r="AO51" s="15"/>
      <c r="AP51" s="830"/>
      <c r="AQ51" s="15"/>
      <c r="AR51" s="15"/>
      <c r="AS51" s="15"/>
      <c r="AT51" s="15"/>
      <c r="AU51" s="830"/>
      <c r="AV51" s="15"/>
      <c r="AW51" s="15"/>
      <c r="AX51" s="15"/>
      <c r="AY51" s="15"/>
      <c r="AZ51" s="830"/>
      <c r="BA51" s="15"/>
      <c r="BB51" s="15"/>
      <c r="BC51" s="15"/>
      <c r="BD51" s="15"/>
      <c r="BE51" s="830"/>
      <c r="BF51" s="15"/>
      <c r="BG51" s="15"/>
      <c r="BH51" s="15"/>
      <c r="BI51" s="15"/>
      <c r="BJ51" s="1179"/>
    </row>
    <row r="52" spans="1:62">
      <c r="A52" s="809"/>
      <c r="B52" s="933" t="s">
        <v>305</v>
      </c>
      <c r="C52" s="934"/>
      <c r="D52" s="934"/>
      <c r="E52" s="934"/>
      <c r="F52" s="934"/>
      <c r="G52" s="935"/>
      <c r="H52" s="934"/>
      <c r="I52" s="934"/>
      <c r="J52" s="934"/>
      <c r="K52" s="934"/>
      <c r="L52" s="936">
        <f>+'Quarterly Financial Model '!L146</f>
        <v>54.917000000000002</v>
      </c>
      <c r="M52" s="934">
        <f>+'Quarterly Financial Model '!M146</f>
        <v>4.6989999999999998</v>
      </c>
      <c r="N52" s="934">
        <f>+'Quarterly Financial Model '!N146</f>
        <v>11.661</v>
      </c>
      <c r="O52" s="934">
        <f>+'Quarterly Financial Model '!O146</f>
        <v>28.683</v>
      </c>
      <c r="P52" s="934">
        <f>+'Quarterly Financial Model '!P146</f>
        <v>39.767000000000003</v>
      </c>
      <c r="Q52" s="833">
        <f>+'Quarterly Financial Model '!Q146</f>
        <v>84.81</v>
      </c>
      <c r="R52" s="934">
        <f>+'Quarterly Financial Model '!R146</f>
        <v>-42.927999999999997</v>
      </c>
      <c r="S52" s="934">
        <f>+'Quarterly Financial Model '!S146</f>
        <v>47.577999999999996</v>
      </c>
      <c r="T52" s="934">
        <f>+'Quarterly Financial Model '!T146</f>
        <v>48.639000000000003</v>
      </c>
      <c r="U52" s="934">
        <f>+'Quarterly Financial Model '!U146</f>
        <v>57.468999999999994</v>
      </c>
      <c r="V52" s="833">
        <f>+'Quarterly Financial Model '!V146</f>
        <v>110.758</v>
      </c>
      <c r="W52" s="934">
        <f>+'Quarterly Financial Model '!W146</f>
        <v>44.465000000000003</v>
      </c>
      <c r="X52" s="934">
        <f>+'Quarterly Financial Model '!X146</f>
        <v>45.968000000000004</v>
      </c>
      <c r="Y52" s="934">
        <f>+'Quarterly Financial Model '!Y146</f>
        <v>54.605000000000004</v>
      </c>
      <c r="Z52" s="934">
        <f>+'Quarterly Financial Model '!Z146</f>
        <v>63.101999999999975</v>
      </c>
      <c r="AA52" s="833">
        <f>+'Quarterly Financial Model '!AA146</f>
        <v>208.14</v>
      </c>
      <c r="AB52" s="934">
        <f>+'Quarterly Financial Model '!AB146</f>
        <v>41.091000000000001</v>
      </c>
      <c r="AC52" s="934">
        <f>+'Quarterly Financial Model '!AC146</f>
        <v>3.3130000000000024</v>
      </c>
      <c r="AD52" s="934">
        <f>+'Quarterly Financial Model '!AD146</f>
        <v>42.844999999999992</v>
      </c>
      <c r="AE52" s="934">
        <f>+'Quarterly Financial Model '!AE146</f>
        <v>81.741000000000014</v>
      </c>
      <c r="AF52" s="833">
        <f>+'Quarterly Financial Model '!AF146</f>
        <v>168.99</v>
      </c>
      <c r="AG52" s="837">
        <f>+'Quarterly Financial Model '!AG146</f>
        <v>26.995999999999999</v>
      </c>
      <c r="AH52" s="838">
        <f>+'Quarterly Financial Model '!AH146</f>
        <v>52.692999999999998</v>
      </c>
      <c r="AI52" s="838">
        <f>+'Quarterly Financial Model '!AI146</f>
        <v>59.147999999999996</v>
      </c>
      <c r="AJ52" s="839">
        <f>+'Quarterly Financial Model '!AJ146</f>
        <v>70.392000000000024</v>
      </c>
      <c r="AK52" s="833">
        <f>+'Quarterly Financial Model '!AK146</f>
        <v>209.22900000000001</v>
      </c>
      <c r="AL52" s="837">
        <f>+'Quarterly Financial Model '!AL146</f>
        <v>52.448</v>
      </c>
      <c r="AM52" s="838">
        <f>+'Quarterly Financial Model '!AM146</f>
        <v>78.460999999999984</v>
      </c>
      <c r="AN52" s="838">
        <f>+'Quarterly Financial Model '!AN146</f>
        <v>87.004000000000019</v>
      </c>
      <c r="AO52" s="839">
        <f>+'Quarterly Financial Model '!AO146</f>
        <v>62.957999999999977</v>
      </c>
      <c r="AP52" s="833">
        <f>+'Quarterly Financial Model '!AP146</f>
        <v>280.87099999999998</v>
      </c>
      <c r="AQ52" s="837">
        <f>+'Quarterly Financial Model '!AQ146</f>
        <v>35.301000000000002</v>
      </c>
      <c r="AR52" s="838">
        <f>+'Quarterly Financial Model '!AR146</f>
        <v>86.853999999999999</v>
      </c>
      <c r="AS52" s="838">
        <f>+'Quarterly Financial Model '!AS146</f>
        <v>106.90500000000002</v>
      </c>
      <c r="AT52" s="839">
        <f>+'Quarterly Financial Model '!AT146</f>
        <v>-46.368000000000009</v>
      </c>
      <c r="AU52" s="833">
        <f>+'Quarterly Financial Model '!AU146</f>
        <v>182.69200000000001</v>
      </c>
      <c r="AV52" s="837">
        <f>+'Quarterly Financial Model '!AV146</f>
        <v>122.34466670187001</v>
      </c>
      <c r="AW52" s="838">
        <f>+'Quarterly Financial Model '!AW146</f>
        <v>157.04079908708411</v>
      </c>
      <c r="AX52" s="838">
        <f>+'Quarterly Financial Model '!AX146</f>
        <v>171.56549524966374</v>
      </c>
      <c r="AY52" s="839">
        <f>+'Quarterly Financial Model '!AY146</f>
        <v>183.16302883132573</v>
      </c>
      <c r="AZ52" s="833">
        <f>+'Quarterly Financial Model '!AZ146</f>
        <v>634.11398986994357</v>
      </c>
      <c r="BA52" s="837">
        <f>+'Quarterly Financial Model '!BA146</f>
        <v>169.01379024767877</v>
      </c>
      <c r="BB52" s="838">
        <f>+'Quarterly Financial Model '!BB146</f>
        <v>192.56494911474337</v>
      </c>
      <c r="BC52" s="838">
        <f>+'Quarterly Financial Model '!BC146</f>
        <v>210.4115513984579</v>
      </c>
      <c r="BD52" s="839">
        <f>+'Quarterly Financial Model '!BD146</f>
        <v>225.23012674049357</v>
      </c>
      <c r="BE52" s="833">
        <f>+'Quarterly Financial Model '!BE146</f>
        <v>797.22041750137362</v>
      </c>
      <c r="BF52" s="837">
        <f>+'Quarterly Financial Model '!BF146</f>
        <v>205.38155382585165</v>
      </c>
      <c r="BG52" s="838">
        <f>+'Quarterly Financial Model '!BG146</f>
        <v>231.2685952938707</v>
      </c>
      <c r="BH52" s="838">
        <f>+'Quarterly Financial Model '!BH146</f>
        <v>250.42636708911726</v>
      </c>
      <c r="BI52" s="839">
        <f>+'Quarterly Financial Model '!BI146</f>
        <v>266.67234247506065</v>
      </c>
      <c r="BJ52" s="836">
        <f>+'Quarterly Financial Model '!BJ146</f>
        <v>953.74885868390027</v>
      </c>
    </row>
    <row r="53" spans="1:62">
      <c r="A53" s="809"/>
      <c r="B53" s="932" t="s">
        <v>306</v>
      </c>
      <c r="C53" s="934"/>
      <c r="D53" s="934"/>
      <c r="E53" s="934"/>
      <c r="F53" s="934"/>
      <c r="G53" s="937"/>
      <c r="H53" s="934"/>
      <c r="I53" s="934"/>
      <c r="J53" s="934"/>
      <c r="K53" s="934"/>
      <c r="L53" s="938">
        <f>+'Quarterly Financial Model '!L147</f>
        <v>0</v>
      </c>
      <c r="M53" s="934">
        <f>+'Quarterly Financial Model '!M147</f>
        <v>0</v>
      </c>
      <c r="N53" s="934">
        <f>+'Quarterly Financial Model '!N147</f>
        <v>0</v>
      </c>
      <c r="O53" s="934">
        <f>+'Quarterly Financial Model '!O147</f>
        <v>0</v>
      </c>
      <c r="P53" s="934">
        <f>+'Quarterly Financial Model '!P147</f>
        <v>0</v>
      </c>
      <c r="Q53" s="833">
        <f>+'Quarterly Financial Model '!Q147</f>
        <v>0</v>
      </c>
      <c r="R53" s="934">
        <f>+'Quarterly Financial Model '!R147</f>
        <v>0</v>
      </c>
      <c r="S53" s="934">
        <f>+'Quarterly Financial Model '!S147</f>
        <v>0</v>
      </c>
      <c r="T53" s="934">
        <f>+'Quarterly Financial Model '!T147</f>
        <v>0</v>
      </c>
      <c r="U53" s="934">
        <f>+'Quarterly Financial Model '!U147</f>
        <v>0</v>
      </c>
      <c r="V53" s="833">
        <f>+'Quarterly Financial Model '!V147</f>
        <v>0</v>
      </c>
      <c r="W53" s="934">
        <f>+'Quarterly Financial Model '!W147</f>
        <v>0</v>
      </c>
      <c r="X53" s="934">
        <f>+'Quarterly Financial Model '!X147</f>
        <v>0</v>
      </c>
      <c r="Y53" s="934">
        <f>+'Quarterly Financial Model '!Y147</f>
        <v>0</v>
      </c>
      <c r="Z53" s="934">
        <f>+'Quarterly Financial Model '!Z147</f>
        <v>0</v>
      </c>
      <c r="AA53" s="833">
        <f>+'Quarterly Financial Model '!AA147</f>
        <v>0</v>
      </c>
      <c r="AB53" s="934">
        <f>+'Quarterly Financial Model '!AB147</f>
        <v>0</v>
      </c>
      <c r="AC53" s="934">
        <f>+'Quarterly Financial Model '!AC147</f>
        <v>0</v>
      </c>
      <c r="AD53" s="934">
        <f>+'Quarterly Financial Model '!AD147</f>
        <v>0</v>
      </c>
      <c r="AE53" s="934">
        <f>+'Quarterly Financial Model '!AE147</f>
        <v>0</v>
      </c>
      <c r="AF53" s="833">
        <f>+'Quarterly Financial Model '!AF147</f>
        <v>0</v>
      </c>
      <c r="AG53" s="837">
        <f>+'Quarterly Financial Model '!AG147</f>
        <v>0</v>
      </c>
      <c r="AH53" s="838">
        <f>+'Quarterly Financial Model '!AH147</f>
        <v>0</v>
      </c>
      <c r="AI53" s="838">
        <f>+'Quarterly Financial Model '!AI147</f>
        <v>0</v>
      </c>
      <c r="AJ53" s="839">
        <f>+'Quarterly Financial Model '!AJ147</f>
        <v>0</v>
      </c>
      <c r="AK53" s="833">
        <f>+'Quarterly Financial Model '!AK147</f>
        <v>0</v>
      </c>
      <c r="AL53" s="837">
        <f>+'Quarterly Financial Model '!AL147</f>
        <v>0</v>
      </c>
      <c r="AM53" s="838">
        <f>+'Quarterly Financial Model '!AM147</f>
        <v>0</v>
      </c>
      <c r="AN53" s="838">
        <f>+'Quarterly Financial Model '!AN147</f>
        <v>0</v>
      </c>
      <c r="AO53" s="839">
        <f>+'Quarterly Financial Model '!AO147</f>
        <v>0</v>
      </c>
      <c r="AP53" s="833">
        <f>+'Quarterly Financial Model '!AP147</f>
        <v>0</v>
      </c>
      <c r="AQ53" s="837">
        <f>+'Quarterly Financial Model '!AQ147</f>
        <v>0</v>
      </c>
      <c r="AR53" s="838">
        <f>+'Quarterly Financial Model '!AR147</f>
        <v>0</v>
      </c>
      <c r="AS53" s="838">
        <f>+'Quarterly Financial Model '!AS147</f>
        <v>0</v>
      </c>
      <c r="AT53" s="839">
        <f>+'Quarterly Financial Model '!AT147</f>
        <v>0</v>
      </c>
      <c r="AU53" s="833">
        <f>+'Quarterly Financial Model '!AU147</f>
        <v>0</v>
      </c>
      <c r="AV53" s="837">
        <f>+'Quarterly Financial Model '!AV147</f>
        <v>0</v>
      </c>
      <c r="AW53" s="838">
        <f>+'Quarterly Financial Model '!AW147</f>
        <v>0</v>
      </c>
      <c r="AX53" s="838">
        <f>+'Quarterly Financial Model '!AX147</f>
        <v>0</v>
      </c>
      <c r="AY53" s="839">
        <f>+'Quarterly Financial Model '!AY147</f>
        <v>0</v>
      </c>
      <c r="AZ53" s="833">
        <f>+'Quarterly Financial Model '!AZ147</f>
        <v>0</v>
      </c>
      <c r="BA53" s="837">
        <f>+'Quarterly Financial Model '!BA147</f>
        <v>0</v>
      </c>
      <c r="BB53" s="838">
        <f>+'Quarterly Financial Model '!BB147</f>
        <v>0</v>
      </c>
      <c r="BC53" s="838">
        <f>+'Quarterly Financial Model '!BC147</f>
        <v>0</v>
      </c>
      <c r="BD53" s="839">
        <f>+'Quarterly Financial Model '!BD147</f>
        <v>0</v>
      </c>
      <c r="BE53" s="833">
        <f>+'Quarterly Financial Model '!BE147</f>
        <v>0</v>
      </c>
      <c r="BF53" s="837">
        <f>+'Quarterly Financial Model '!BF147</f>
        <v>0</v>
      </c>
      <c r="BG53" s="838">
        <f>+'Quarterly Financial Model '!BG147</f>
        <v>0</v>
      </c>
      <c r="BH53" s="838">
        <f>+'Quarterly Financial Model '!BH147</f>
        <v>0</v>
      </c>
      <c r="BI53" s="839">
        <f>+'Quarterly Financial Model '!BI147</f>
        <v>0</v>
      </c>
      <c r="BJ53" s="836">
        <f>+'Quarterly Financial Model '!BJ147</f>
        <v>0</v>
      </c>
    </row>
    <row r="54" spans="1:62">
      <c r="A54" s="809"/>
      <c r="B54" s="932" t="s">
        <v>169</v>
      </c>
      <c r="C54" s="934"/>
      <c r="D54" s="934"/>
      <c r="E54" s="934"/>
      <c r="F54" s="934"/>
      <c r="G54" s="937"/>
      <c r="H54" s="934"/>
      <c r="I54" s="934"/>
      <c r="J54" s="934"/>
      <c r="K54" s="934"/>
      <c r="L54" s="938">
        <f>+'Quarterly Financial Model '!L148</f>
        <v>110.964</v>
      </c>
      <c r="M54" s="934">
        <f>+'Quarterly Financial Model '!M148</f>
        <v>36.700000000000003</v>
      </c>
      <c r="N54" s="934">
        <f>+'Quarterly Financial Model '!N148</f>
        <v>39.000999999999991</v>
      </c>
      <c r="O54" s="934">
        <f>+'Quarterly Financial Model '!O148</f>
        <v>40.066000000000003</v>
      </c>
      <c r="P54" s="934">
        <f>+'Quarterly Financial Model '!P148</f>
        <v>39.558999999999997</v>
      </c>
      <c r="Q54" s="833">
        <f>+'Quarterly Financial Model '!Q148</f>
        <v>155.32599999999999</v>
      </c>
      <c r="R54" s="934">
        <f>+'Quarterly Financial Model '!R148</f>
        <v>38.895000000000003</v>
      </c>
      <c r="S54" s="934">
        <f>+'Quarterly Financial Model '!S148</f>
        <v>39.666999999999994</v>
      </c>
      <c r="T54" s="934">
        <f>+'Quarterly Financial Model '!T148</f>
        <v>40.619000000000007</v>
      </c>
      <c r="U54" s="934">
        <f>+'Quarterly Financial Model '!U148</f>
        <v>41.357000000000006</v>
      </c>
      <c r="V54" s="833">
        <f>+'Quarterly Financial Model '!V148</f>
        <v>160.53800000000001</v>
      </c>
      <c r="W54" s="934">
        <f>+'Quarterly Financial Model '!W148</f>
        <v>43.295999999999999</v>
      </c>
      <c r="X54" s="934">
        <f>+'Quarterly Financial Model '!X148</f>
        <v>44.527999999999999</v>
      </c>
      <c r="Y54" s="934">
        <f>+'Quarterly Financial Model '!Y148</f>
        <v>48.604000000000006</v>
      </c>
      <c r="Z54" s="934">
        <f>+'Quarterly Financial Model '!Z148</f>
        <v>49.025000000000006</v>
      </c>
      <c r="AA54" s="833">
        <f>+'Quarterly Financial Model '!AA148</f>
        <v>185.453</v>
      </c>
      <c r="AB54" s="934">
        <f>+'Quarterly Financial Model '!AB148</f>
        <v>49.845999999999997</v>
      </c>
      <c r="AC54" s="934">
        <f>+'Quarterly Financial Model '!AC148</f>
        <v>54.774000000000008</v>
      </c>
      <c r="AD54" s="934">
        <f>+'Quarterly Financial Model '!AD148</f>
        <v>65.288999999999987</v>
      </c>
      <c r="AE54" s="934">
        <f>+'Quarterly Financial Model '!AE148</f>
        <v>70.893000000000001</v>
      </c>
      <c r="AF54" s="833">
        <f>+'Quarterly Financial Model '!AF148</f>
        <v>240.80199999999999</v>
      </c>
      <c r="AG54" s="837">
        <f>+'Quarterly Financial Model '!AG148</f>
        <v>67.802000000000007</v>
      </c>
      <c r="AH54" s="838">
        <f>+'Quarterly Financial Model '!AH148</f>
        <v>67.659000000000006</v>
      </c>
      <c r="AI54" s="838">
        <f>+'Quarterly Financial Model '!AI148</f>
        <v>70.637999999999991</v>
      </c>
      <c r="AJ54" s="839">
        <f>+'Quarterly Financial Model '!AJ148</f>
        <v>70.843000000000018</v>
      </c>
      <c r="AK54" s="833">
        <f>+'Quarterly Financial Model '!AK148</f>
        <v>276.94200000000001</v>
      </c>
      <c r="AL54" s="837">
        <f>+'Quarterly Financial Model '!AL148</f>
        <v>68.23</v>
      </c>
      <c r="AM54" s="838">
        <f>+'Quarterly Financial Model '!AM148</f>
        <v>65.233999999999995</v>
      </c>
      <c r="AN54" s="838">
        <f>+'Quarterly Financial Model '!AN148</f>
        <v>66.086000000000027</v>
      </c>
      <c r="AO54" s="839">
        <f>+'Quarterly Financial Model '!AO148</f>
        <v>70.503999999999976</v>
      </c>
      <c r="AP54" s="833">
        <f>+'Quarterly Financial Model '!AP148</f>
        <v>270.05399999999997</v>
      </c>
      <c r="AQ54" s="837">
        <f>+'Quarterly Financial Model '!AQ148</f>
        <v>76.085999999999999</v>
      </c>
      <c r="AR54" s="838">
        <f>+'Quarterly Financial Model '!AR148</f>
        <v>78.378</v>
      </c>
      <c r="AS54" s="838">
        <f>+'Quarterly Financial Model '!AS148</f>
        <v>82.500000000000014</v>
      </c>
      <c r="AT54" s="839">
        <f>+'Quarterly Financial Model '!AT148</f>
        <v>81.529000000000011</v>
      </c>
      <c r="AU54" s="833">
        <f>+'Quarterly Financial Model '!AU148</f>
        <v>318.49299999999999</v>
      </c>
      <c r="AV54" s="837">
        <f>+'Quarterly Financial Model '!AV148</f>
        <v>118.26924368337474</v>
      </c>
      <c r="AW54" s="838">
        <f>+'Quarterly Financial Model '!AW148</f>
        <v>138.0979572081304</v>
      </c>
      <c r="AX54" s="838">
        <f>+'Quarterly Financial Model '!AX148</f>
        <v>144.5678709941273</v>
      </c>
      <c r="AY54" s="839">
        <f>+'Quarterly Financial Model '!AY148</f>
        <v>149.00467113585319</v>
      </c>
      <c r="AZ54" s="833">
        <f>+'Quarterly Financial Model '!AZ148</f>
        <v>549.93974302148558</v>
      </c>
      <c r="BA54" s="837">
        <f>+'Quarterly Financial Model '!BA148</f>
        <v>139.8334143292623</v>
      </c>
      <c r="BB54" s="838">
        <f>+'Quarterly Financial Model '!BB148</f>
        <v>150.64791474996312</v>
      </c>
      <c r="BC54" s="838">
        <f>+'Quarterly Financial Model '!BC148</f>
        <v>157.60017361513846</v>
      </c>
      <c r="BD54" s="839">
        <f>+'Quarterly Financial Model '!BD148</f>
        <v>162.55785000643897</v>
      </c>
      <c r="BE54" s="833">
        <f>+'Quarterly Financial Model '!BE148</f>
        <v>610.63935270080287</v>
      </c>
      <c r="BF54" s="837">
        <f>+'Quarterly Financial Model '!BF148</f>
        <v>152.88442616914742</v>
      </c>
      <c r="BG54" s="838">
        <f>+'Quarterly Financial Model '!BG148</f>
        <v>164.59185519260555</v>
      </c>
      <c r="BH54" s="838">
        <f>+'Quarterly Financial Model '!BH148</f>
        <v>172.00642174594503</v>
      </c>
      <c r="BI54" s="839">
        <f>+'Quarterly Financial Model '!BI148</f>
        <v>177.56335235821462</v>
      </c>
      <c r="BJ54" s="836">
        <f>+'Quarterly Financial Model '!BJ148</f>
        <v>667.04605546591256</v>
      </c>
    </row>
    <row r="55" spans="1:62">
      <c r="A55" s="809"/>
      <c r="B55" s="932" t="s">
        <v>170</v>
      </c>
      <c r="C55" s="934"/>
      <c r="D55" s="934"/>
      <c r="E55" s="934"/>
      <c r="F55" s="934"/>
      <c r="G55" s="937"/>
      <c r="H55" s="934"/>
      <c r="I55" s="934"/>
      <c r="J55" s="934"/>
      <c r="K55" s="934"/>
      <c r="L55" s="938">
        <f>+'Quarterly Financial Model '!L149</f>
        <v>4.3</v>
      </c>
      <c r="M55" s="934">
        <f>+'Quarterly Financial Model '!M149</f>
        <v>0</v>
      </c>
      <c r="N55" s="934">
        <f>+'Quarterly Financial Model '!N149</f>
        <v>0.1</v>
      </c>
      <c r="O55" s="934">
        <f>+'Quarterly Financial Model '!O149</f>
        <v>0</v>
      </c>
      <c r="P55" s="934">
        <f>+'Quarterly Financial Model '!P149</f>
        <v>0.70000000000000007</v>
      </c>
      <c r="Q55" s="833">
        <f>+'Quarterly Financial Model '!Q149</f>
        <v>0.8</v>
      </c>
      <c r="R55" s="934">
        <f>+'Quarterly Financial Model '!R149</f>
        <v>0</v>
      </c>
      <c r="S55" s="934">
        <f>+'Quarterly Financial Model '!S149</f>
        <v>0</v>
      </c>
      <c r="T55" s="934">
        <f>+'Quarterly Financial Model '!T149</f>
        <v>0</v>
      </c>
      <c r="U55" s="934">
        <f>+'Quarterly Financial Model '!U149</f>
        <v>0</v>
      </c>
      <c r="V55" s="833">
        <f>+'Quarterly Financial Model '!V149</f>
        <v>0</v>
      </c>
      <c r="W55" s="934">
        <f>+'Quarterly Financial Model '!W149</f>
        <v>0</v>
      </c>
      <c r="X55" s="934">
        <f>+'Quarterly Financial Model '!X149</f>
        <v>0</v>
      </c>
      <c r="Y55" s="934">
        <f>+'Quarterly Financial Model '!Y149</f>
        <v>0</v>
      </c>
      <c r="Z55" s="934">
        <f>+'Quarterly Financial Model '!Z149</f>
        <v>0</v>
      </c>
      <c r="AA55" s="833">
        <f>+'Quarterly Financial Model '!AA149</f>
        <v>0</v>
      </c>
      <c r="AB55" s="934">
        <f>+'Quarterly Financial Model '!AB149</f>
        <v>0</v>
      </c>
      <c r="AC55" s="934">
        <f>+'Quarterly Financial Model '!AC149</f>
        <v>0</v>
      </c>
      <c r="AD55" s="934">
        <f>+'Quarterly Financial Model '!AD149</f>
        <v>0</v>
      </c>
      <c r="AE55" s="934">
        <f>+'Quarterly Financial Model '!AE149</f>
        <v>0</v>
      </c>
      <c r="AF55" s="833">
        <f>+'Quarterly Financial Model '!AF149</f>
        <v>0</v>
      </c>
      <c r="AG55" s="837">
        <f>+'Quarterly Financial Model '!AG149</f>
        <v>0</v>
      </c>
      <c r="AH55" s="838">
        <f>+'Quarterly Financial Model '!AH149</f>
        <v>0</v>
      </c>
      <c r="AI55" s="838">
        <f>+'Quarterly Financial Model '!AI149</f>
        <v>0</v>
      </c>
      <c r="AJ55" s="839">
        <f>+'Quarterly Financial Model '!AJ149</f>
        <v>0</v>
      </c>
      <c r="AK55" s="833">
        <f>+'Quarterly Financial Model '!AK149</f>
        <v>0</v>
      </c>
      <c r="AL55" s="837">
        <f>+'Quarterly Financial Model '!AL149</f>
        <v>0</v>
      </c>
      <c r="AM55" s="838">
        <f>+'Quarterly Financial Model '!AM149</f>
        <v>0</v>
      </c>
      <c r="AN55" s="838">
        <f>+'Quarterly Financial Model '!AN149</f>
        <v>0</v>
      </c>
      <c r="AO55" s="839">
        <f>+'Quarterly Financial Model '!AO149</f>
        <v>0</v>
      </c>
      <c r="AP55" s="833">
        <f>+'Quarterly Financial Model '!AP149</f>
        <v>0</v>
      </c>
      <c r="AQ55" s="837">
        <f>+'Quarterly Financial Model '!AQ149</f>
        <v>0</v>
      </c>
      <c r="AR55" s="838">
        <f>+'Quarterly Financial Model '!AR149</f>
        <v>0</v>
      </c>
      <c r="AS55" s="838">
        <f>+'Quarterly Financial Model '!AS149</f>
        <v>0</v>
      </c>
      <c r="AT55" s="839">
        <f>+'Quarterly Financial Model '!AT149</f>
        <v>0</v>
      </c>
      <c r="AU55" s="833">
        <f>+'Quarterly Financial Model '!AU149</f>
        <v>0</v>
      </c>
      <c r="AV55" s="837">
        <f>+'Quarterly Financial Model '!AV149</f>
        <v>0</v>
      </c>
      <c r="AW55" s="838">
        <f>+'Quarterly Financial Model '!AW149</f>
        <v>0</v>
      </c>
      <c r="AX55" s="838">
        <f>+'Quarterly Financial Model '!AX149</f>
        <v>0</v>
      </c>
      <c r="AY55" s="839">
        <f>+'Quarterly Financial Model '!AY149</f>
        <v>0</v>
      </c>
      <c r="AZ55" s="833">
        <f>+'Quarterly Financial Model '!AZ149</f>
        <v>0</v>
      </c>
      <c r="BA55" s="837">
        <f>+'Quarterly Financial Model '!BA149</f>
        <v>0</v>
      </c>
      <c r="BB55" s="838">
        <f>+'Quarterly Financial Model '!BB149</f>
        <v>0</v>
      </c>
      <c r="BC55" s="838">
        <f>+'Quarterly Financial Model '!BC149</f>
        <v>0</v>
      </c>
      <c r="BD55" s="839">
        <f>+'Quarterly Financial Model '!BD149</f>
        <v>0</v>
      </c>
      <c r="BE55" s="833">
        <f>+'Quarterly Financial Model '!BE149</f>
        <v>0</v>
      </c>
      <c r="BF55" s="837">
        <f>+'Quarterly Financial Model '!BF149</f>
        <v>0</v>
      </c>
      <c r="BG55" s="838">
        <f>+'Quarterly Financial Model '!BG149</f>
        <v>0</v>
      </c>
      <c r="BH55" s="838">
        <f>+'Quarterly Financial Model '!BH149</f>
        <v>0</v>
      </c>
      <c r="BI55" s="839">
        <f>+'Quarterly Financial Model '!BI149</f>
        <v>0</v>
      </c>
      <c r="BJ55" s="836">
        <f>+'Quarterly Financial Model '!BJ149</f>
        <v>0</v>
      </c>
    </row>
    <row r="56" spans="1:62">
      <c r="A56" s="939"/>
      <c r="B56" s="932" t="s">
        <v>171</v>
      </c>
      <c r="C56" s="934"/>
      <c r="D56" s="934"/>
      <c r="E56" s="934"/>
      <c r="F56" s="934"/>
      <c r="G56" s="937"/>
      <c r="H56" s="934"/>
      <c r="I56" s="934"/>
      <c r="J56" s="934"/>
      <c r="K56" s="934"/>
      <c r="L56" s="938">
        <f>+'Quarterly Financial Model '!L150</f>
        <v>1.619</v>
      </c>
      <c r="M56" s="934">
        <f>+'Quarterly Financial Model '!M150</f>
        <v>0.68400000000000005</v>
      </c>
      <c r="N56" s="934">
        <f>+'Quarterly Financial Model '!N150</f>
        <v>0.96399999999999986</v>
      </c>
      <c r="O56" s="934">
        <f>+'Quarterly Financial Model '!O150</f>
        <v>0.92599999999999993</v>
      </c>
      <c r="P56" s="934">
        <f>+'Quarterly Financial Model '!P150</f>
        <v>0.93700000000000006</v>
      </c>
      <c r="Q56" s="833">
        <f>+'Quarterly Financial Model '!Q150</f>
        <v>3.5110000000000001</v>
      </c>
      <c r="R56" s="934">
        <f>+'Quarterly Financial Model '!R150</f>
        <v>1.234</v>
      </c>
      <c r="S56" s="934">
        <f>+'Quarterly Financial Model '!S150</f>
        <v>1.6640000000000001</v>
      </c>
      <c r="T56" s="934">
        <f>+'Quarterly Financial Model '!T150</f>
        <v>1.669</v>
      </c>
      <c r="U56" s="934">
        <f>+'Quarterly Financial Model '!U150</f>
        <v>1.8049999999999993</v>
      </c>
      <c r="V56" s="833">
        <f>+'Quarterly Financial Model '!V150</f>
        <v>6.3719999999999999</v>
      </c>
      <c r="W56" s="934">
        <f>+'Quarterly Financial Model '!W150</f>
        <v>2.4750000000000001</v>
      </c>
      <c r="X56" s="934">
        <f>+'Quarterly Financial Model '!X150</f>
        <v>2.4869999999999997</v>
      </c>
      <c r="Y56" s="934">
        <f>+'Quarterly Financial Model '!Y150</f>
        <v>2.5040000000000009</v>
      </c>
      <c r="Z56" s="934">
        <f>+'Quarterly Financial Model '!Z150</f>
        <v>2.6729999999999983</v>
      </c>
      <c r="AA56" s="833">
        <f>+'Quarterly Financial Model '!AA150</f>
        <v>10.138999999999999</v>
      </c>
      <c r="AB56" s="934">
        <f>+'Quarterly Financial Model '!AB150</f>
        <v>1.8939999999999999</v>
      </c>
      <c r="AC56" s="934">
        <f>+'Quarterly Financial Model '!AC150</f>
        <v>2.9889999999999999</v>
      </c>
      <c r="AD56" s="934">
        <f>+'Quarterly Financial Model '!AD150</f>
        <v>3.2109999999999994</v>
      </c>
      <c r="AE56" s="934">
        <f>+'Quarterly Financial Model '!AE150</f>
        <v>3.9380000000000015</v>
      </c>
      <c r="AF56" s="833">
        <f>+'Quarterly Financial Model '!AF150</f>
        <v>12.032</v>
      </c>
      <c r="AG56" s="837">
        <f>+'Quarterly Financial Model '!AG150</f>
        <v>3.8719999999999999</v>
      </c>
      <c r="AH56" s="838">
        <f>+'Quarterly Financial Model '!AH150</f>
        <v>4.3109999999999999</v>
      </c>
      <c r="AI56" s="838">
        <f>+'Quarterly Financial Model '!AI150</f>
        <v>4.3520000000000003</v>
      </c>
      <c r="AJ56" s="839">
        <f>+'Quarterly Financial Model '!AJ150</f>
        <v>5.7210000000000001</v>
      </c>
      <c r="AK56" s="833">
        <f>+'Quarterly Financial Model '!AK150</f>
        <v>18.256</v>
      </c>
      <c r="AL56" s="837">
        <f>+'Quarterly Financial Model '!AL150</f>
        <v>7.1769999999999996</v>
      </c>
      <c r="AM56" s="838">
        <f>+'Quarterly Financial Model '!AM150</f>
        <v>5.4039999999999999</v>
      </c>
      <c r="AN56" s="838">
        <f>+'Quarterly Financial Model '!AN150</f>
        <v>5.9269999999999996</v>
      </c>
      <c r="AO56" s="839">
        <f>+'Quarterly Financial Model '!AO150</f>
        <v>7.3100000000000023</v>
      </c>
      <c r="AP56" s="833">
        <f>+'Quarterly Financial Model '!AP150</f>
        <v>25.818000000000001</v>
      </c>
      <c r="AQ56" s="837">
        <f>+'Quarterly Financial Model '!AQ150</f>
        <v>6.68</v>
      </c>
      <c r="AR56" s="838">
        <f>+'Quarterly Financial Model '!AR150</f>
        <v>6.2949999999999999</v>
      </c>
      <c r="AS56" s="838">
        <f>+'Quarterly Financial Model '!AS150</f>
        <v>5.673</v>
      </c>
      <c r="AT56" s="839">
        <f>+'Quarterly Financial Model '!AT150</f>
        <v>5.6989999999999998</v>
      </c>
      <c r="AU56" s="833">
        <f>+'Quarterly Financial Model '!AU150</f>
        <v>24.347000000000001</v>
      </c>
      <c r="AV56" s="837">
        <f>+'Quarterly Financial Model '!AV150</f>
        <v>0</v>
      </c>
      <c r="AW56" s="838">
        <f>+'Quarterly Financial Model '!AW150</f>
        <v>0</v>
      </c>
      <c r="AX56" s="838">
        <f>+'Quarterly Financial Model '!AX150</f>
        <v>0</v>
      </c>
      <c r="AY56" s="839">
        <f>+'Quarterly Financial Model '!AY150</f>
        <v>0</v>
      </c>
      <c r="AZ56" s="833">
        <f>+'Quarterly Financial Model '!AZ150</f>
        <v>0</v>
      </c>
      <c r="BA56" s="837">
        <f>+'Quarterly Financial Model '!BA150</f>
        <v>0</v>
      </c>
      <c r="BB56" s="838">
        <f>+'Quarterly Financial Model '!BB150</f>
        <v>0</v>
      </c>
      <c r="BC56" s="838">
        <f>+'Quarterly Financial Model '!BC150</f>
        <v>0</v>
      </c>
      <c r="BD56" s="839">
        <f>+'Quarterly Financial Model '!BD150</f>
        <v>0</v>
      </c>
      <c r="BE56" s="833">
        <f>+'Quarterly Financial Model '!BE150</f>
        <v>0</v>
      </c>
      <c r="BF56" s="837">
        <f>+'Quarterly Financial Model '!BF150</f>
        <v>0</v>
      </c>
      <c r="BG56" s="838">
        <f>+'Quarterly Financial Model '!BG150</f>
        <v>0</v>
      </c>
      <c r="BH56" s="838">
        <f>+'Quarterly Financial Model '!BH150</f>
        <v>0</v>
      </c>
      <c r="BI56" s="839">
        <f>+'Quarterly Financial Model '!BI150</f>
        <v>0</v>
      </c>
      <c r="BJ56" s="836">
        <f>+'Quarterly Financial Model '!BJ150</f>
        <v>0</v>
      </c>
    </row>
    <row r="57" spans="1:62">
      <c r="A57" s="939"/>
      <c r="B57" s="932" t="s">
        <v>172</v>
      </c>
      <c r="C57" s="934"/>
      <c r="D57" s="934"/>
      <c r="E57" s="934"/>
      <c r="F57" s="934"/>
      <c r="G57" s="937"/>
      <c r="H57" s="934"/>
      <c r="I57" s="934"/>
      <c r="J57" s="934"/>
      <c r="K57" s="934"/>
      <c r="L57" s="938">
        <f>+'Quarterly Financial Model '!L151</f>
        <v>1.7170000000000001</v>
      </c>
      <c r="M57" s="934">
        <f>+'Quarterly Financial Model '!M151</f>
        <v>2.5750000000000002</v>
      </c>
      <c r="N57" s="934">
        <f>+'Quarterly Financial Model '!N151</f>
        <v>12.151</v>
      </c>
      <c r="O57" s="934">
        <f>+'Quarterly Financial Model '!O151</f>
        <v>2.620000000000001</v>
      </c>
      <c r="P57" s="934">
        <f>+'Quarterly Financial Model '!P151</f>
        <v>2.1980000000000004</v>
      </c>
      <c r="Q57" s="833">
        <f>+'Quarterly Financial Model '!Q151</f>
        <v>19.544</v>
      </c>
      <c r="R57" s="934">
        <f>+'Quarterly Financial Model '!R151</f>
        <v>56.351999999999997</v>
      </c>
      <c r="S57" s="934">
        <f>+'Quarterly Financial Model '!S151</f>
        <v>1.054000000000002</v>
      </c>
      <c r="T57" s="934">
        <f>+'Quarterly Financial Model '!T151</f>
        <v>1.0009999999999977</v>
      </c>
      <c r="U57" s="934">
        <f>+'Quarterly Financial Model '!U151</f>
        <v>1</v>
      </c>
      <c r="V57" s="833">
        <f>+'Quarterly Financial Model '!V151</f>
        <v>59.406999999999996</v>
      </c>
      <c r="W57" s="934">
        <f>+'Quarterly Financial Model '!W151</f>
        <v>1.0009999999999999</v>
      </c>
      <c r="X57" s="934">
        <f>+'Quarterly Financial Model '!X151</f>
        <v>21.154999999999998</v>
      </c>
      <c r="Y57" s="934">
        <f>+'Quarterly Financial Model '!Y151</f>
        <v>1.1000000000000028</v>
      </c>
      <c r="Z57" s="934">
        <f>+'Quarterly Financial Model '!Z151</f>
        <v>1.1709999999999994</v>
      </c>
      <c r="AA57" s="833">
        <f>+'Quarterly Financial Model '!AA151</f>
        <v>24.427</v>
      </c>
      <c r="AB57" s="934">
        <f>+'Quarterly Financial Model '!AB151</f>
        <v>1.17</v>
      </c>
      <c r="AC57" s="934">
        <f>+'Quarterly Financial Model '!AC151</f>
        <v>27.707999999999998</v>
      </c>
      <c r="AD57" s="934">
        <f>+'Quarterly Financial Model '!AD151</f>
        <v>1.538000000000002</v>
      </c>
      <c r="AE57" s="934">
        <f>+'Quarterly Financial Model '!AE151</f>
        <v>1.5400000000000009</v>
      </c>
      <c r="AF57" s="833">
        <f>+'Quarterly Financial Model '!AF151</f>
        <v>31.956000000000003</v>
      </c>
      <c r="AG57" s="837">
        <f>+'Quarterly Financial Model '!AG151</f>
        <v>3.6059999999999999</v>
      </c>
      <c r="AH57" s="838">
        <f>+'Quarterly Financial Model '!AH151</f>
        <v>1.5899999999999999</v>
      </c>
      <c r="AI57" s="838">
        <f>+'Quarterly Financial Model '!AI151</f>
        <v>1.5880000000000001</v>
      </c>
      <c r="AJ57" s="839">
        <f>+'Quarterly Financial Model '!AJ151</f>
        <v>1.5919999999999996</v>
      </c>
      <c r="AK57" s="833">
        <f>+'Quarterly Financial Model '!AK151</f>
        <v>8.3759999999999994</v>
      </c>
      <c r="AL57" s="837">
        <f>+'Quarterly Financial Model '!AL151</f>
        <v>1.591</v>
      </c>
      <c r="AM57" s="838">
        <f>+'Quarterly Financial Model '!AM151</f>
        <v>1.6460000000000001</v>
      </c>
      <c r="AN57" s="838">
        <f>+'Quarterly Financial Model '!AN151</f>
        <v>1.5809999999999997</v>
      </c>
      <c r="AO57" s="839">
        <f>+'Quarterly Financial Model '!AO151</f>
        <v>17.765999999999998</v>
      </c>
      <c r="AP57" s="833">
        <f>+'Quarterly Financial Model '!AP151</f>
        <v>22.583999999999996</v>
      </c>
      <c r="AQ57" s="837">
        <f>+'Quarterly Financial Model '!AQ151</f>
        <v>1.1539999999999999</v>
      </c>
      <c r="AR57" s="838">
        <f>+'Quarterly Financial Model '!AR151</f>
        <v>1.1539999999999999</v>
      </c>
      <c r="AS57" s="838">
        <f>+'Quarterly Financial Model '!AS151</f>
        <v>1.633</v>
      </c>
      <c r="AT57" s="839">
        <f>+'Quarterly Financial Model '!AT151</f>
        <v>2.048</v>
      </c>
      <c r="AU57" s="833">
        <f>+'Quarterly Financial Model '!AU151</f>
        <v>5.9889999999999999</v>
      </c>
      <c r="AV57" s="837">
        <f>+'Quarterly Financial Model '!AV151</f>
        <v>0</v>
      </c>
      <c r="AW57" s="838">
        <f>+'Quarterly Financial Model '!AW151</f>
        <v>0</v>
      </c>
      <c r="AX57" s="838">
        <f>+'Quarterly Financial Model '!AX151</f>
        <v>0</v>
      </c>
      <c r="AY57" s="839">
        <f>+'Quarterly Financial Model '!AY151</f>
        <v>0</v>
      </c>
      <c r="AZ57" s="833">
        <f>+'Quarterly Financial Model '!AZ151</f>
        <v>0</v>
      </c>
      <c r="BA57" s="837">
        <f>+'Quarterly Financial Model '!BA151</f>
        <v>0</v>
      </c>
      <c r="BB57" s="838">
        <f>+'Quarterly Financial Model '!BB151</f>
        <v>0</v>
      </c>
      <c r="BC57" s="838">
        <f>+'Quarterly Financial Model '!BC151</f>
        <v>0</v>
      </c>
      <c r="BD57" s="839">
        <f>+'Quarterly Financial Model '!BD151</f>
        <v>0</v>
      </c>
      <c r="BE57" s="833">
        <f>+'Quarterly Financial Model '!BE151</f>
        <v>0</v>
      </c>
      <c r="BF57" s="837">
        <f>+'Quarterly Financial Model '!BF151</f>
        <v>0</v>
      </c>
      <c r="BG57" s="838">
        <f>+'Quarterly Financial Model '!BG151</f>
        <v>0</v>
      </c>
      <c r="BH57" s="838">
        <f>+'Quarterly Financial Model '!BH151</f>
        <v>0</v>
      </c>
      <c r="BI57" s="839">
        <f>+'Quarterly Financial Model '!BI151</f>
        <v>0</v>
      </c>
      <c r="BJ57" s="836">
        <f>+'Quarterly Financial Model '!BJ151</f>
        <v>0</v>
      </c>
    </row>
    <row r="58" spans="1:62">
      <c r="A58" s="939"/>
      <c r="B58" s="932" t="s">
        <v>173</v>
      </c>
      <c r="C58" s="934"/>
      <c r="D58" s="934"/>
      <c r="E58" s="934"/>
      <c r="F58" s="934"/>
      <c r="G58" s="937"/>
      <c r="H58" s="934"/>
      <c r="I58" s="934"/>
      <c r="J58" s="934"/>
      <c r="K58" s="934"/>
      <c r="L58" s="938">
        <f>+'Quarterly Financial Model '!L152</f>
        <v>2.7989999999999999</v>
      </c>
      <c r="M58" s="934">
        <f>+'Quarterly Financial Model '!M152</f>
        <v>0.65200000000000002</v>
      </c>
      <c r="N58" s="934">
        <f>+'Quarterly Financial Model '!N152</f>
        <v>0.74099999999999999</v>
      </c>
      <c r="O58" s="934">
        <f>+'Quarterly Financial Model '!O152</f>
        <v>0.80899999999999994</v>
      </c>
      <c r="P58" s="934">
        <f>+'Quarterly Financial Model '!P152</f>
        <v>0.77200000000000002</v>
      </c>
      <c r="Q58" s="833">
        <f>+'Quarterly Financial Model '!Q152</f>
        <v>2.9740000000000002</v>
      </c>
      <c r="R58" s="934">
        <f>+'Quarterly Financial Model '!R152</f>
        <v>8.6630000000000003</v>
      </c>
      <c r="S58" s="934">
        <f>+'Quarterly Financial Model '!S152</f>
        <v>8.8290000000000006</v>
      </c>
      <c r="T58" s="934">
        <f>+'Quarterly Financial Model '!T152</f>
        <v>9.3969999999999985</v>
      </c>
      <c r="U58" s="934">
        <f>+'Quarterly Financial Model '!U152</f>
        <v>6.5550000000000033</v>
      </c>
      <c r="V58" s="833">
        <f>+'Quarterly Financial Model '!V152</f>
        <v>33.444000000000003</v>
      </c>
      <c r="W58" s="934">
        <f>+'Quarterly Financial Model '!W152</f>
        <v>6.74</v>
      </c>
      <c r="X58" s="934">
        <f>+'Quarterly Financial Model '!X152</f>
        <v>7.1899999999999995</v>
      </c>
      <c r="Y58" s="934">
        <f>+'Quarterly Financial Model '!Y152</f>
        <v>7.4220000000000006</v>
      </c>
      <c r="Z58" s="934">
        <f>+'Quarterly Financial Model '!Z152</f>
        <v>8.3769999999999989</v>
      </c>
      <c r="AA58" s="833">
        <f>+'Quarterly Financial Model '!AA152</f>
        <v>29.728999999999999</v>
      </c>
      <c r="AB58" s="934">
        <f>+'Quarterly Financial Model '!AB152</f>
        <v>8.9390000000000001</v>
      </c>
      <c r="AC58" s="934">
        <f>+'Quarterly Financial Model '!AC152</f>
        <v>11.105</v>
      </c>
      <c r="AD58" s="934">
        <f>+'Quarterly Financial Model '!AD152</f>
        <v>10.753</v>
      </c>
      <c r="AE58" s="934">
        <f>+'Quarterly Financial Model '!AE152</f>
        <v>11.373999999999999</v>
      </c>
      <c r="AF58" s="833">
        <f>+'Quarterly Financial Model '!AF152</f>
        <v>42.170999999999999</v>
      </c>
      <c r="AG58" s="837">
        <f>+'Quarterly Financial Model '!AG152</f>
        <v>11.622999999999999</v>
      </c>
      <c r="AH58" s="838">
        <f>+'Quarterly Financial Model '!AH152</f>
        <v>5.0969999999999995</v>
      </c>
      <c r="AI58" s="838">
        <f>+'Quarterly Financial Model '!AI152</f>
        <v>7.1320000000000032</v>
      </c>
      <c r="AJ58" s="839">
        <f>+'Quarterly Financial Model '!AJ152</f>
        <v>6.639999999999997</v>
      </c>
      <c r="AK58" s="833">
        <f>+'Quarterly Financial Model '!AK152</f>
        <v>30.492000000000001</v>
      </c>
      <c r="AL58" s="837">
        <f>+'Quarterly Financial Model '!AL152</f>
        <v>8.3520000000000003</v>
      </c>
      <c r="AM58" s="838">
        <f>+'Quarterly Financial Model '!AM152</f>
        <v>7.9400000000000013</v>
      </c>
      <c r="AN58" s="838">
        <f>+'Quarterly Financial Model '!AN152</f>
        <v>9.5999999999999979</v>
      </c>
      <c r="AO58" s="839">
        <f>+'Quarterly Financial Model '!AO152</f>
        <v>9.9790000000000028</v>
      </c>
      <c r="AP58" s="833">
        <f>+'Quarterly Financial Model '!AP152</f>
        <v>35.871000000000002</v>
      </c>
      <c r="AQ58" s="837">
        <f>+'Quarterly Financial Model '!AQ152</f>
        <v>10.58</v>
      </c>
      <c r="AR58" s="838">
        <f>+'Quarterly Financial Model '!AR152</f>
        <v>10.880999999999998</v>
      </c>
      <c r="AS58" s="838">
        <f>+'Quarterly Financial Model '!AS152</f>
        <v>13.606999999999998</v>
      </c>
      <c r="AT58" s="839">
        <f>+'Quarterly Financial Model '!AT152</f>
        <v>12.787000000000001</v>
      </c>
      <c r="AU58" s="833">
        <f>+'Quarterly Financial Model '!AU152</f>
        <v>47.854999999999997</v>
      </c>
      <c r="AV58" s="837">
        <f>+'Quarterly Financial Model '!AV152</f>
        <v>15.015306463213259</v>
      </c>
      <c r="AW58" s="838">
        <f>+'Quarterly Financial Model '!AW152</f>
        <v>17.532733657916125</v>
      </c>
      <c r="AX58" s="838">
        <f>+'Quarterly Financial Model '!AX152</f>
        <v>18.354145339108502</v>
      </c>
      <c r="AY58" s="839">
        <f>+'Quarterly Financial Model '!AY152</f>
        <v>18.917435606038712</v>
      </c>
      <c r="AZ58" s="833">
        <f>+'Quarterly Financial Model '!AZ152</f>
        <v>69.819621066276596</v>
      </c>
      <c r="BA58" s="837">
        <f>+'Quarterly Financial Model '!BA152</f>
        <v>17.75306499441578</v>
      </c>
      <c r="BB58" s="838">
        <f>+'Quarterly Financial Model '!BB152</f>
        <v>19.126059637876057</v>
      </c>
      <c r="BC58" s="838">
        <f>+'Quarterly Financial Model '!BC152</f>
        <v>20.008709211180744</v>
      </c>
      <c r="BD58" s="839">
        <f>+'Quarterly Financial Model '!BD152</f>
        <v>20.638129236560331</v>
      </c>
      <c r="BE58" s="833">
        <f>+'Quarterly Financial Model '!BE152</f>
        <v>77.525963080032909</v>
      </c>
      <c r="BF58" s="837">
        <f>+'Quarterly Financial Model '!BF152</f>
        <v>19.410004164125265</v>
      </c>
      <c r="BG58" s="838">
        <f>+'Quarterly Financial Model '!BG152</f>
        <v>20.896363839800205</v>
      </c>
      <c r="BH58" s="838">
        <f>+'Quarterly Financial Model '!BH152</f>
        <v>21.837707384604943</v>
      </c>
      <c r="BI58" s="839">
        <f>+'Quarterly Financial Model '!BI152</f>
        <v>22.543207931825982</v>
      </c>
      <c r="BJ58" s="836">
        <f>+'Quarterly Financial Model '!BJ152</f>
        <v>84.687283320356386</v>
      </c>
    </row>
    <row r="59" spans="1:62">
      <c r="A59" s="939"/>
      <c r="B59" s="932" t="s">
        <v>174</v>
      </c>
      <c r="C59" s="934"/>
      <c r="D59" s="934"/>
      <c r="E59" s="934"/>
      <c r="F59" s="934"/>
      <c r="G59" s="937"/>
      <c r="H59" s="934"/>
      <c r="I59" s="934"/>
      <c r="J59" s="934"/>
      <c r="K59" s="934"/>
      <c r="L59" s="938">
        <f>+'Quarterly Financial Model '!L153</f>
        <v>-8.7550000000000008</v>
      </c>
      <c r="M59" s="934">
        <f>+'Quarterly Financial Model '!M153</f>
        <v>0</v>
      </c>
      <c r="N59" s="934">
        <f>+'Quarterly Financial Model '!N153</f>
        <v>0</v>
      </c>
      <c r="O59" s="934">
        <f>+'Quarterly Financial Model '!O153</f>
        <v>-2.2549999999999999</v>
      </c>
      <c r="P59" s="934">
        <f>+'Quarterly Financial Model '!P153</f>
        <v>33.387999999999998</v>
      </c>
      <c r="Q59" s="833">
        <f>+'Quarterly Financial Model '!Q153</f>
        <v>31.132999999999999</v>
      </c>
      <c r="R59" s="934">
        <f>+'Quarterly Financial Model '!R153</f>
        <v>0</v>
      </c>
      <c r="S59" s="934">
        <f>+'Quarterly Financial Model '!S153</f>
        <v>0</v>
      </c>
      <c r="T59" s="934">
        <f>+'Quarterly Financial Model '!T153</f>
        <v>0</v>
      </c>
      <c r="U59" s="934">
        <f>+'Quarterly Financial Model '!U153</f>
        <v>0.35199999999999998</v>
      </c>
      <c r="V59" s="833">
        <f>+'Quarterly Financial Model '!V153</f>
        <v>0.35199999999999998</v>
      </c>
      <c r="W59" s="934">
        <f>+'Quarterly Financial Model '!W153</f>
        <v>0</v>
      </c>
      <c r="X59" s="934">
        <f>+'Quarterly Financial Model '!X153</f>
        <v>0</v>
      </c>
      <c r="Y59" s="934">
        <f>+'Quarterly Financial Model '!Y153</f>
        <v>0</v>
      </c>
      <c r="Z59" s="934">
        <f>+'Quarterly Financial Model '!Z153</f>
        <v>31.34</v>
      </c>
      <c r="AA59" s="833">
        <f>+'Quarterly Financial Model '!AA153</f>
        <v>31.34</v>
      </c>
      <c r="AB59" s="934">
        <f>+'Quarterly Financial Model '!AB153</f>
        <v>0</v>
      </c>
      <c r="AC59" s="934">
        <f>+'Quarterly Financial Model '!AC153</f>
        <v>0</v>
      </c>
      <c r="AD59" s="934">
        <f>+'Quarterly Financial Model '!AD153</f>
        <v>0</v>
      </c>
      <c r="AE59" s="934">
        <f>+'Quarterly Financial Model '!AE153</f>
        <v>32.469000000000001</v>
      </c>
      <c r="AF59" s="833">
        <f>+'Quarterly Financial Model '!AF153</f>
        <v>32.469000000000001</v>
      </c>
      <c r="AG59" s="837">
        <f>+'Quarterly Financial Model '!AG153</f>
        <v>0</v>
      </c>
      <c r="AH59" s="838">
        <f>+'Quarterly Financial Model '!AH153</f>
        <v>0</v>
      </c>
      <c r="AI59" s="838">
        <f>+'Quarterly Financial Model '!AI153</f>
        <v>0</v>
      </c>
      <c r="AJ59" s="839">
        <f>+'Quarterly Financial Model '!AJ153</f>
        <v>55.28</v>
      </c>
      <c r="AK59" s="833">
        <f>+'Quarterly Financial Model '!AK153</f>
        <v>55.28</v>
      </c>
      <c r="AL59" s="837">
        <f>+'Quarterly Financial Model '!AL153</f>
        <v>-6.94</v>
      </c>
      <c r="AM59" s="838">
        <f>+'Quarterly Financial Model '!AM153</f>
        <v>39.339999999999996</v>
      </c>
      <c r="AN59" s="838">
        <f>+'Quarterly Financial Model '!AN153</f>
        <v>17.500000000000004</v>
      </c>
      <c r="AO59" s="839">
        <f>+'Quarterly Financial Model '!AO153</f>
        <v>29.768000000000011</v>
      </c>
      <c r="AP59" s="833">
        <f>+'Quarterly Financial Model '!AP153</f>
        <v>79.668000000000021</v>
      </c>
      <c r="AQ59" s="837">
        <f>+'Quarterly Financial Model '!AQ153</f>
        <v>20</v>
      </c>
      <c r="AR59" s="838">
        <f>+'Quarterly Financial Model '!AR153</f>
        <v>20.5</v>
      </c>
      <c r="AS59" s="838">
        <f>+'Quarterly Financial Model '!AS153</f>
        <v>19.5</v>
      </c>
      <c r="AT59" s="839">
        <f>+'Quarterly Financial Model '!AT153</f>
        <v>536.80200000000002</v>
      </c>
      <c r="AU59" s="833">
        <f>+'Quarterly Financial Model '!AU153</f>
        <v>596.80200000000002</v>
      </c>
      <c r="AV59" s="837">
        <f>+'Quarterly Financial Model '!AV153</f>
        <v>0</v>
      </c>
      <c r="AW59" s="838">
        <f>+'Quarterly Financial Model '!AW153</f>
        <v>0</v>
      </c>
      <c r="AX59" s="838">
        <f>+'Quarterly Financial Model '!AX153</f>
        <v>0</v>
      </c>
      <c r="AY59" s="839">
        <f>+'Quarterly Financial Model '!AY153</f>
        <v>0</v>
      </c>
      <c r="AZ59" s="833">
        <f>+'Quarterly Financial Model '!AZ153</f>
        <v>0</v>
      </c>
      <c r="BA59" s="837">
        <f>+'Quarterly Financial Model '!BA153</f>
        <v>0</v>
      </c>
      <c r="BB59" s="838">
        <f>+'Quarterly Financial Model '!BB153</f>
        <v>0</v>
      </c>
      <c r="BC59" s="838">
        <f>+'Quarterly Financial Model '!BC153</f>
        <v>0</v>
      </c>
      <c r="BD59" s="839">
        <f>+'Quarterly Financial Model '!BD153</f>
        <v>0</v>
      </c>
      <c r="BE59" s="833">
        <f>+'Quarterly Financial Model '!BE153</f>
        <v>0</v>
      </c>
      <c r="BF59" s="837">
        <f>+'Quarterly Financial Model '!BF153</f>
        <v>0</v>
      </c>
      <c r="BG59" s="838">
        <f>+'Quarterly Financial Model '!BG153</f>
        <v>0</v>
      </c>
      <c r="BH59" s="838">
        <f>+'Quarterly Financial Model '!BH153</f>
        <v>0</v>
      </c>
      <c r="BI59" s="839">
        <f>+'Quarterly Financial Model '!BI153</f>
        <v>0</v>
      </c>
      <c r="BJ59" s="836">
        <f>+'Quarterly Financial Model '!BJ153</f>
        <v>0</v>
      </c>
    </row>
    <row r="60" spans="1:62">
      <c r="A60" s="939"/>
      <c r="B60" s="932" t="s">
        <v>175</v>
      </c>
      <c r="C60" s="934"/>
      <c r="D60" s="934"/>
      <c r="E60" s="934"/>
      <c r="F60" s="934"/>
      <c r="G60" s="937"/>
      <c r="H60" s="934"/>
      <c r="I60" s="934"/>
      <c r="J60" s="934"/>
      <c r="K60" s="934"/>
      <c r="L60" s="938">
        <f>+'Quarterly Financial Model '!L154</f>
        <v>0</v>
      </c>
      <c r="M60" s="934">
        <f>+'Quarterly Financial Model '!M154</f>
        <v>0</v>
      </c>
      <c r="N60" s="934">
        <f>+'Quarterly Financial Model '!N154</f>
        <v>0</v>
      </c>
      <c r="O60" s="934">
        <f>+'Quarterly Financial Model '!O154</f>
        <v>0</v>
      </c>
      <c r="P60" s="934">
        <f>+'Quarterly Financial Model '!P154</f>
        <v>0</v>
      </c>
      <c r="Q60" s="833">
        <f>+'Quarterly Financial Model '!Q154</f>
        <v>0</v>
      </c>
      <c r="R60" s="934">
        <f>+'Quarterly Financial Model '!R154</f>
        <v>0</v>
      </c>
      <c r="S60" s="934">
        <f>+'Quarterly Financial Model '!S154</f>
        <v>0</v>
      </c>
      <c r="T60" s="934">
        <f>+'Quarterly Financial Model '!T154</f>
        <v>0</v>
      </c>
      <c r="U60" s="934">
        <f>+'Quarterly Financial Model '!U154</f>
        <v>0</v>
      </c>
      <c r="V60" s="833">
        <f>+'Quarterly Financial Model '!V154</f>
        <v>0</v>
      </c>
      <c r="W60" s="934">
        <f>+'Quarterly Financial Model '!W154</f>
        <v>0</v>
      </c>
      <c r="X60" s="934">
        <f>+'Quarterly Financial Model '!X154</f>
        <v>0</v>
      </c>
      <c r="Y60" s="934">
        <f>+'Quarterly Financial Model '!Y154</f>
        <v>0</v>
      </c>
      <c r="Z60" s="934">
        <f>+'Quarterly Financial Model '!Z154</f>
        <v>0</v>
      </c>
      <c r="AA60" s="833">
        <f>+'Quarterly Financial Model '!AA154</f>
        <v>0</v>
      </c>
      <c r="AB60" s="934">
        <f>+'Quarterly Financial Model '!AB154</f>
        <v>0</v>
      </c>
      <c r="AC60" s="934">
        <f>+'Quarterly Financial Model '!AC154</f>
        <v>34.267000000000003</v>
      </c>
      <c r="AD60" s="934">
        <f>+'Quarterly Financial Model '!AD154</f>
        <v>0</v>
      </c>
      <c r="AE60" s="934">
        <f>+'Quarterly Financial Model '!AE154</f>
        <v>0</v>
      </c>
      <c r="AF60" s="833">
        <f>+'Quarterly Financial Model '!AF154</f>
        <v>34.267000000000003</v>
      </c>
      <c r="AG60" s="837">
        <f>+'Quarterly Financial Model '!AG154</f>
        <v>0</v>
      </c>
      <c r="AH60" s="838">
        <f>+'Quarterly Financial Model '!AH154</f>
        <v>0</v>
      </c>
      <c r="AI60" s="838">
        <f>+'Quarterly Financial Model '!AI154</f>
        <v>0</v>
      </c>
      <c r="AJ60" s="839">
        <f>+'Quarterly Financial Model '!AJ154</f>
        <v>0</v>
      </c>
      <c r="AK60" s="833">
        <f>+'Quarterly Financial Model '!AK154</f>
        <v>0</v>
      </c>
      <c r="AL60" s="837">
        <f>+'Quarterly Financial Model '!AL154</f>
        <v>0</v>
      </c>
      <c r="AM60" s="838">
        <f>+'Quarterly Financial Model '!AM154</f>
        <v>0</v>
      </c>
      <c r="AN60" s="838">
        <f>+'Quarterly Financial Model '!AN154</f>
        <v>0</v>
      </c>
      <c r="AO60" s="839">
        <f>+'Quarterly Financial Model '!AO154</f>
        <v>0</v>
      </c>
      <c r="AP60" s="833">
        <f>+'Quarterly Financial Model '!AP154</f>
        <v>0</v>
      </c>
      <c r="AQ60" s="837">
        <f>+'Quarterly Financial Model '!AQ154</f>
        <v>0</v>
      </c>
      <c r="AR60" s="838">
        <f>+'Quarterly Financial Model '!AR154</f>
        <v>0</v>
      </c>
      <c r="AS60" s="838">
        <f>+'Quarterly Financial Model '!AS154</f>
        <v>0</v>
      </c>
      <c r="AT60" s="839">
        <f>+'Quarterly Financial Model '!AT154</f>
        <v>0</v>
      </c>
      <c r="AU60" s="833">
        <f>+'Quarterly Financial Model '!AU154</f>
        <v>0</v>
      </c>
      <c r="AV60" s="837">
        <f>+'Quarterly Financial Model '!AV154</f>
        <v>0</v>
      </c>
      <c r="AW60" s="838">
        <f>+'Quarterly Financial Model '!AW154</f>
        <v>0</v>
      </c>
      <c r="AX60" s="838">
        <f>+'Quarterly Financial Model '!AX154</f>
        <v>0</v>
      </c>
      <c r="AY60" s="839">
        <f>+'Quarterly Financial Model '!AY154</f>
        <v>0</v>
      </c>
      <c r="AZ60" s="833">
        <f>+'Quarterly Financial Model '!AZ154</f>
        <v>0</v>
      </c>
      <c r="BA60" s="837">
        <f>+'Quarterly Financial Model '!BA154</f>
        <v>0</v>
      </c>
      <c r="BB60" s="838">
        <f>+'Quarterly Financial Model '!BB154</f>
        <v>0</v>
      </c>
      <c r="BC60" s="838">
        <f>+'Quarterly Financial Model '!BC154</f>
        <v>0</v>
      </c>
      <c r="BD60" s="839">
        <f>+'Quarterly Financial Model '!BD154</f>
        <v>0</v>
      </c>
      <c r="BE60" s="833">
        <f>+'Quarterly Financial Model '!BE154</f>
        <v>0</v>
      </c>
      <c r="BF60" s="837">
        <f>+'Quarterly Financial Model '!BF154</f>
        <v>0</v>
      </c>
      <c r="BG60" s="838">
        <f>+'Quarterly Financial Model '!BG154</f>
        <v>0</v>
      </c>
      <c r="BH60" s="838">
        <f>+'Quarterly Financial Model '!BH154</f>
        <v>0</v>
      </c>
      <c r="BI60" s="839">
        <f>+'Quarterly Financial Model '!BI154</f>
        <v>0</v>
      </c>
      <c r="BJ60" s="836">
        <f>+'Quarterly Financial Model '!BJ154</f>
        <v>0</v>
      </c>
    </row>
    <row r="61" spans="1:62">
      <c r="A61" s="939"/>
      <c r="B61" s="932" t="s">
        <v>176</v>
      </c>
      <c r="C61" s="934"/>
      <c r="D61" s="934"/>
      <c r="E61" s="934"/>
      <c r="F61" s="934"/>
      <c r="G61" s="937"/>
      <c r="H61" s="934"/>
      <c r="I61" s="934"/>
      <c r="J61" s="934"/>
      <c r="K61" s="934"/>
      <c r="L61" s="938">
        <f>+'Quarterly Financial Model '!L156</f>
        <v>0</v>
      </c>
      <c r="M61" s="934">
        <f>+'Quarterly Financial Model '!M156</f>
        <v>0.03</v>
      </c>
      <c r="N61" s="934">
        <f>+'Quarterly Financial Model '!N156</f>
        <v>0.63200000000000001</v>
      </c>
      <c r="O61" s="934">
        <f>+'Quarterly Financial Model '!O156</f>
        <v>4.8999999999999932E-2</v>
      </c>
      <c r="P61" s="934">
        <f>+'Quarterly Financial Model '!P156</f>
        <v>-0.40799999999999992</v>
      </c>
      <c r="Q61" s="833">
        <f>+'Quarterly Financial Model '!Q156</f>
        <v>0.30300000000000005</v>
      </c>
      <c r="R61" s="934">
        <f>+'Quarterly Financial Model '!R156</f>
        <v>0</v>
      </c>
      <c r="S61" s="934">
        <f>+'Quarterly Financial Model '!S156</f>
        <v>0</v>
      </c>
      <c r="T61" s="934">
        <f>+'Quarterly Financial Model '!T156</f>
        <v>0</v>
      </c>
      <c r="U61" s="934">
        <f>+'Quarterly Financial Model '!U156</f>
        <v>1.208</v>
      </c>
      <c r="V61" s="833">
        <f>+'Quarterly Financial Model '!V156</f>
        <v>1.208</v>
      </c>
      <c r="W61" s="934">
        <f>+'Quarterly Financial Model '!W156</f>
        <v>0</v>
      </c>
      <c r="X61" s="934">
        <f>+'Quarterly Financial Model '!X156</f>
        <v>0</v>
      </c>
      <c r="Y61" s="934">
        <f>+'Quarterly Financial Model '!Y156</f>
        <v>0</v>
      </c>
      <c r="Z61" s="934">
        <f>+'Quarterly Financial Model '!Z156</f>
        <v>0.49099999999999999</v>
      </c>
      <c r="AA61" s="833">
        <f>+'Quarterly Financial Model '!AA156</f>
        <v>0.49099999999999999</v>
      </c>
      <c r="AB61" s="934">
        <f>+'Quarterly Financial Model '!AB156</f>
        <v>0</v>
      </c>
      <c r="AC61" s="934">
        <f>+'Quarterly Financial Model '!AC156</f>
        <v>0</v>
      </c>
      <c r="AD61" s="934">
        <f>+'Quarterly Financial Model '!AD156</f>
        <v>0</v>
      </c>
      <c r="AE61" s="934">
        <f>+'Quarterly Financial Model '!AE156</f>
        <v>-13.42</v>
      </c>
      <c r="AF61" s="833">
        <f>+'Quarterly Financial Model '!AF156</f>
        <v>-13.42</v>
      </c>
      <c r="AG61" s="837">
        <f>+'Quarterly Financial Model '!AG156</f>
        <v>-11.593999999999999</v>
      </c>
      <c r="AH61" s="838">
        <f>+'Quarterly Financial Model '!AH156</f>
        <v>-2.1590000000000007</v>
      </c>
      <c r="AI61" s="838">
        <f>+'Quarterly Financial Model '!AI156</f>
        <v>-2.0440000000000005</v>
      </c>
      <c r="AJ61" s="839">
        <f>+'Quarterly Financial Model '!AJ156</f>
        <v>-1.8550000000000004</v>
      </c>
      <c r="AK61" s="833">
        <f>+'Quarterly Financial Model '!AK156</f>
        <v>-17.652000000000001</v>
      </c>
      <c r="AL61" s="837">
        <f>+'Quarterly Financial Model '!AL156</f>
        <v>0</v>
      </c>
      <c r="AM61" s="838">
        <f>+'Quarterly Financial Model '!AM156</f>
        <v>-7.6850000000000005</v>
      </c>
      <c r="AN61" s="838">
        <f>+'Quarterly Financial Model '!AN156</f>
        <v>-3.0749999999999993</v>
      </c>
      <c r="AO61" s="839">
        <f>+'Quarterly Financial Model '!AO156</f>
        <v>-0.9399999999999995</v>
      </c>
      <c r="AP61" s="833">
        <f>+'Quarterly Financial Model '!AP156</f>
        <v>-11.7</v>
      </c>
      <c r="AQ61" s="837">
        <f>+'Quarterly Financial Model '!AQ156</f>
        <v>0.153</v>
      </c>
      <c r="AR61" s="838">
        <f>+'Quarterly Financial Model '!AR156</f>
        <v>1.131</v>
      </c>
      <c r="AS61" s="838">
        <f>+'Quarterly Financial Model '!AS156</f>
        <v>-23.344999999999999</v>
      </c>
      <c r="AT61" s="839">
        <f>+'Quarterly Financial Model '!AT156</f>
        <v>-7.0809999999999969</v>
      </c>
      <c r="AU61" s="833">
        <f>+'Quarterly Financial Model '!AU156</f>
        <v>-29.141999999999996</v>
      </c>
      <c r="AV61" s="837">
        <f>+'Quarterly Financial Model '!AV156</f>
        <v>0</v>
      </c>
      <c r="AW61" s="838">
        <f>+'Quarterly Financial Model '!AW156</f>
        <v>0</v>
      </c>
      <c r="AX61" s="838">
        <f>+'Quarterly Financial Model '!AX156</f>
        <v>0</v>
      </c>
      <c r="AY61" s="839">
        <f>+'Quarterly Financial Model '!AY156</f>
        <v>0</v>
      </c>
      <c r="AZ61" s="833">
        <f>+'Quarterly Financial Model '!AZ156</f>
        <v>0</v>
      </c>
      <c r="BA61" s="837">
        <f>+'Quarterly Financial Model '!BA156</f>
        <v>0</v>
      </c>
      <c r="BB61" s="838">
        <f>+'Quarterly Financial Model '!BB156</f>
        <v>0</v>
      </c>
      <c r="BC61" s="838">
        <f>+'Quarterly Financial Model '!BC156</f>
        <v>0</v>
      </c>
      <c r="BD61" s="839">
        <f>+'Quarterly Financial Model '!BD156</f>
        <v>0</v>
      </c>
      <c r="BE61" s="833">
        <f>+'Quarterly Financial Model '!BE156</f>
        <v>0</v>
      </c>
      <c r="BF61" s="837">
        <f>+'Quarterly Financial Model '!BF156</f>
        <v>0</v>
      </c>
      <c r="BG61" s="838">
        <f>+'Quarterly Financial Model '!BG156</f>
        <v>0</v>
      </c>
      <c r="BH61" s="838">
        <f>+'Quarterly Financial Model '!BH156</f>
        <v>0</v>
      </c>
      <c r="BI61" s="839">
        <f>+'Quarterly Financial Model '!BI156</f>
        <v>0</v>
      </c>
      <c r="BJ61" s="836">
        <f>+'Quarterly Financial Model '!BJ156</f>
        <v>0</v>
      </c>
    </row>
    <row r="62" spans="1:62">
      <c r="A62" s="939"/>
      <c r="B62" s="932" t="s">
        <v>177</v>
      </c>
      <c r="C62" s="934"/>
      <c r="D62" s="934"/>
      <c r="E62" s="934"/>
      <c r="F62" s="934"/>
      <c r="G62" s="937"/>
      <c r="H62" s="934"/>
      <c r="I62" s="934"/>
      <c r="J62" s="934"/>
      <c r="K62" s="934"/>
      <c r="L62" s="938">
        <f>+'Quarterly Financial Model '!L157</f>
        <v>0</v>
      </c>
      <c r="M62" s="934">
        <f>+'Quarterly Financial Model '!M157</f>
        <v>0</v>
      </c>
      <c r="N62" s="934">
        <f>+'Quarterly Financial Model '!N157</f>
        <v>0</v>
      </c>
      <c r="O62" s="934">
        <f>+'Quarterly Financial Model '!O157</f>
        <v>0</v>
      </c>
      <c r="P62" s="934">
        <f>+'Quarterly Financial Model '!P157</f>
        <v>0</v>
      </c>
      <c r="Q62" s="833">
        <f>+'Quarterly Financial Model '!Q157</f>
        <v>0</v>
      </c>
      <c r="R62" s="934">
        <f>+'Quarterly Financial Model '!R157</f>
        <v>0</v>
      </c>
      <c r="S62" s="934">
        <f>+'Quarterly Financial Model '!S157</f>
        <v>0</v>
      </c>
      <c r="T62" s="934">
        <f>+'Quarterly Financial Model '!T157</f>
        <v>0</v>
      </c>
      <c r="U62" s="934">
        <f>+'Quarterly Financial Model '!U157</f>
        <v>0</v>
      </c>
      <c r="V62" s="833">
        <f>+'Quarterly Financial Model '!V157</f>
        <v>0</v>
      </c>
      <c r="W62" s="934">
        <f>+'Quarterly Financial Model '!W157</f>
        <v>0</v>
      </c>
      <c r="X62" s="934">
        <f>+'Quarterly Financial Model '!X157</f>
        <v>0</v>
      </c>
      <c r="Y62" s="934">
        <f>+'Quarterly Financial Model '!Y157</f>
        <v>0</v>
      </c>
      <c r="Z62" s="934">
        <f>+'Quarterly Financial Model '!Z157</f>
        <v>0</v>
      </c>
      <c r="AA62" s="833">
        <f>+'Quarterly Financial Model '!AA157</f>
        <v>0</v>
      </c>
      <c r="AB62" s="934">
        <f>+'Quarterly Financial Model '!AB157</f>
        <v>0</v>
      </c>
      <c r="AC62" s="934">
        <f>+'Quarterly Financial Model '!AC157</f>
        <v>0</v>
      </c>
      <c r="AD62" s="934">
        <f>+'Quarterly Financial Model '!AD157</f>
        <v>0</v>
      </c>
      <c r="AE62" s="934">
        <f>+'Quarterly Financial Model '!AE157</f>
        <v>0</v>
      </c>
      <c r="AF62" s="833">
        <f>+'Quarterly Financial Model '!AF157</f>
        <v>0</v>
      </c>
      <c r="AG62" s="837">
        <f>+'Quarterly Financial Model '!AG157</f>
        <v>0</v>
      </c>
      <c r="AH62" s="838">
        <f>+'Quarterly Financial Model '!AH157</f>
        <v>0</v>
      </c>
      <c r="AI62" s="838">
        <f>+'Quarterly Financial Model '!AI157</f>
        <v>0</v>
      </c>
      <c r="AJ62" s="839">
        <f>+'Quarterly Financial Model '!AJ157</f>
        <v>0</v>
      </c>
      <c r="AK62" s="833">
        <f>+'Quarterly Financial Model '!AK157</f>
        <v>0</v>
      </c>
      <c r="AL62" s="837">
        <f>+'Quarterly Financial Model '!AL157</f>
        <v>0</v>
      </c>
      <c r="AM62" s="838">
        <f>+'Quarterly Financial Model '!AM157</f>
        <v>0</v>
      </c>
      <c r="AN62" s="838">
        <f>+'Quarterly Financial Model '!AN157</f>
        <v>0</v>
      </c>
      <c r="AO62" s="839">
        <f>+'Quarterly Financial Model '!AO157</f>
        <v>0</v>
      </c>
      <c r="AP62" s="833">
        <f>+'Quarterly Financial Model '!AP157</f>
        <v>0</v>
      </c>
      <c r="AQ62" s="837">
        <f>+'Quarterly Financial Model '!AQ157</f>
        <v>0</v>
      </c>
      <c r="AR62" s="838">
        <f>+'Quarterly Financial Model '!AR157</f>
        <v>0</v>
      </c>
      <c r="AS62" s="838">
        <f>+'Quarterly Financial Model '!AS157</f>
        <v>0</v>
      </c>
      <c r="AT62" s="839">
        <f>+'Quarterly Financial Model '!AT157</f>
        <v>0</v>
      </c>
      <c r="AU62" s="833">
        <f>+'Quarterly Financial Model '!AU157</f>
        <v>0</v>
      </c>
      <c r="AV62" s="837">
        <f>+'Quarterly Financial Model '!AV157</f>
        <v>0</v>
      </c>
      <c r="AW62" s="838">
        <f>+'Quarterly Financial Model '!AW157</f>
        <v>0</v>
      </c>
      <c r="AX62" s="838">
        <f>+'Quarterly Financial Model '!AX157</f>
        <v>0</v>
      </c>
      <c r="AY62" s="839">
        <f>+'Quarterly Financial Model '!AY157</f>
        <v>0</v>
      </c>
      <c r="AZ62" s="833">
        <f>+'Quarterly Financial Model '!AZ157</f>
        <v>0</v>
      </c>
      <c r="BA62" s="837">
        <f>+'Quarterly Financial Model '!BA157</f>
        <v>0</v>
      </c>
      <c r="BB62" s="838">
        <f>+'Quarterly Financial Model '!BB157</f>
        <v>0</v>
      </c>
      <c r="BC62" s="838">
        <f>+'Quarterly Financial Model '!BC157</f>
        <v>0</v>
      </c>
      <c r="BD62" s="839">
        <f>+'Quarterly Financial Model '!BD157</f>
        <v>0</v>
      </c>
      <c r="BE62" s="833">
        <f>+'Quarterly Financial Model '!BE157</f>
        <v>0</v>
      </c>
      <c r="BF62" s="837">
        <f>+'Quarterly Financial Model '!BF157</f>
        <v>0</v>
      </c>
      <c r="BG62" s="838">
        <f>+'Quarterly Financial Model '!BG157</f>
        <v>0</v>
      </c>
      <c r="BH62" s="838">
        <f>+'Quarterly Financial Model '!BH157</f>
        <v>0</v>
      </c>
      <c r="BI62" s="839">
        <f>+'Quarterly Financial Model '!BI157</f>
        <v>0</v>
      </c>
      <c r="BJ62" s="836">
        <f>+'Quarterly Financial Model '!BJ157</f>
        <v>0</v>
      </c>
    </row>
    <row r="63" spans="1:62">
      <c r="A63" s="939"/>
      <c r="B63" s="932" t="s">
        <v>307</v>
      </c>
      <c r="C63" s="934"/>
      <c r="D63" s="934"/>
      <c r="E63" s="934"/>
      <c r="F63" s="934"/>
      <c r="G63" s="937"/>
      <c r="H63" s="934"/>
      <c r="I63" s="934"/>
      <c r="J63" s="934"/>
      <c r="K63" s="934"/>
      <c r="L63" s="938">
        <f>+'Quarterly Financial Model '!L158</f>
        <v>-80.180999999999997</v>
      </c>
      <c r="M63" s="934">
        <f>+'Quarterly Financial Model '!M158</f>
        <v>25.611000000000001</v>
      </c>
      <c r="N63" s="934">
        <f>+'Quarterly Financial Model '!N158</f>
        <v>2.5509999999999984</v>
      </c>
      <c r="O63" s="934">
        <f>+'Quarterly Financial Model '!O158</f>
        <v>-8.7590000000000003</v>
      </c>
      <c r="P63" s="934">
        <f>+'Quarterly Financial Model '!P158</f>
        <v>-45.117999999999995</v>
      </c>
      <c r="Q63" s="833">
        <f>+'Quarterly Financial Model '!Q158</f>
        <v>-25.714999999999996</v>
      </c>
      <c r="R63" s="934">
        <f>+'Quarterly Financial Model '!R158</f>
        <v>15.984</v>
      </c>
      <c r="S63" s="934">
        <f>+'Quarterly Financial Model '!S158</f>
        <v>-7.1340000000000003</v>
      </c>
      <c r="T63" s="934">
        <f>+'Quarterly Financial Model '!T158</f>
        <v>-7.2720000000000002</v>
      </c>
      <c r="U63" s="934">
        <f>+'Quarterly Financial Model '!U158</f>
        <v>-30.094999999999999</v>
      </c>
      <c r="V63" s="833">
        <f>+'Quarterly Financial Model '!V158</f>
        <v>-28.516999999999999</v>
      </c>
      <c r="W63" s="934">
        <f>+'Quarterly Financial Model '!W158</f>
        <v>-4.3440000000000003</v>
      </c>
      <c r="X63" s="934">
        <f>+'Quarterly Financial Model '!X158</f>
        <v>6.2279999999999998</v>
      </c>
      <c r="Y63" s="934">
        <f>+'Quarterly Financial Model '!Y158</f>
        <v>23.85</v>
      </c>
      <c r="Z63" s="934">
        <f>+'Quarterly Financial Model '!Z158</f>
        <v>-97.348000000000013</v>
      </c>
      <c r="AA63" s="833">
        <f>+'Quarterly Financial Model '!AA158</f>
        <v>-71.614000000000004</v>
      </c>
      <c r="AB63" s="934">
        <f>+'Quarterly Financial Model '!AB158</f>
        <v>-1.038</v>
      </c>
      <c r="AC63" s="934">
        <f>+'Quarterly Financial Model '!AC158</f>
        <v>-10.827</v>
      </c>
      <c r="AD63" s="934">
        <f>+'Quarterly Financial Model '!AD158</f>
        <v>-4.0809999999999995</v>
      </c>
      <c r="AE63" s="934">
        <f>+'Quarterly Financial Model '!AE158</f>
        <v>-78.38</v>
      </c>
      <c r="AF63" s="833">
        <f>+'Quarterly Financial Model '!AF158</f>
        <v>-94.325999999999993</v>
      </c>
      <c r="AG63" s="837">
        <f>+'Quarterly Financial Model '!AG158</f>
        <v>40.576999999999998</v>
      </c>
      <c r="AH63" s="838">
        <f>+'Quarterly Financial Model '!AH158</f>
        <v>-10.228999999999999</v>
      </c>
      <c r="AI63" s="838">
        <f>+'Quarterly Financial Model '!AI158</f>
        <v>-1.605000000000004</v>
      </c>
      <c r="AJ63" s="839">
        <f>+'Quarterly Financial Model '!AJ158</f>
        <v>-98.936999999999998</v>
      </c>
      <c r="AK63" s="833">
        <f>+'Quarterly Financial Model '!AK158</f>
        <v>-70.194000000000003</v>
      </c>
      <c r="AL63" s="837">
        <f>+'Quarterly Financial Model '!AL158</f>
        <v>-30.196000000000002</v>
      </c>
      <c r="AM63" s="838">
        <f>+'Quarterly Financial Model '!AM158</f>
        <v>-11.682999999999996</v>
      </c>
      <c r="AN63" s="838">
        <f>+'Quarterly Financial Model '!AN158</f>
        <v>-26.059000000000008</v>
      </c>
      <c r="AO63" s="839">
        <f>+'Quarterly Financial Model '!AO158</f>
        <v>-144.92400000000001</v>
      </c>
      <c r="AP63" s="833">
        <f>+'Quarterly Financial Model '!AP158</f>
        <v>-212.86200000000002</v>
      </c>
      <c r="AQ63" s="837">
        <f>+'Quarterly Financial Model '!AQ158</f>
        <v>56.473999999999997</v>
      </c>
      <c r="AR63" s="838">
        <f>+'Quarterly Financial Model '!AR158</f>
        <v>9.1169999999999973</v>
      </c>
      <c r="AS63" s="838">
        <f>+'Quarterly Financial Model '!AS158</f>
        <v>-18.908999999999992</v>
      </c>
      <c r="AT63" s="839">
        <f>+'Quarterly Financial Model '!AT158</f>
        <v>-85.596000000000004</v>
      </c>
      <c r="AU63" s="833">
        <f>+'Quarterly Financial Model '!AU158</f>
        <v>-38.914000000000001</v>
      </c>
      <c r="AV63" s="837">
        <f>+'Quarterly Financial Model '!AV158</f>
        <v>-404.41815400122766</v>
      </c>
      <c r="AW63" s="838">
        <f>+'Quarterly Financial Model '!AW158</f>
        <v>-233.09511062063598</v>
      </c>
      <c r="AX63" s="838">
        <f>+'Quarterly Financial Model '!AX158</f>
        <v>-76.056637147441961</v>
      </c>
      <c r="AY63" s="839">
        <f>+'Quarterly Financial Model '!AY158</f>
        <v>-52.156506197241924</v>
      </c>
      <c r="AZ63" s="833">
        <f>+'Quarterly Financial Model '!AZ158</f>
        <v>-765.72640796654753</v>
      </c>
      <c r="BA63" s="837">
        <f>+'Quarterly Financial Model '!BA158</f>
        <v>107.81209366878988</v>
      </c>
      <c r="BB63" s="838">
        <f>+'Quarterly Financial Model '!BB158</f>
        <v>-127.12913365372924</v>
      </c>
      <c r="BC63" s="838">
        <f>+'Quarterly Financial Model '!BC158</f>
        <v>-81.726812343026722</v>
      </c>
      <c r="BD63" s="839">
        <f>+'Quarterly Financial Model '!BD158</f>
        <v>-58.279631979591159</v>
      </c>
      <c r="BE63" s="833">
        <f>+'Quarterly Financial Model '!BE158</f>
        <v>-159.32348430755724</v>
      </c>
      <c r="BF63" s="837">
        <f>+'Quarterly Financial Model '!BF158</f>
        <v>113.71528448472827</v>
      </c>
      <c r="BG63" s="838">
        <f>+'Quarterly Financial Model '!BG158</f>
        <v>-137.62589589582808</v>
      </c>
      <c r="BH63" s="838">
        <f>+'Quarterly Financial Model '!BH158</f>
        <v>-87.161439333771568</v>
      </c>
      <c r="BI63" s="839">
        <f>+'Quarterly Financial Model '!BI158</f>
        <v>-65.324124742689037</v>
      </c>
      <c r="BJ63" s="836">
        <f>+'Quarterly Financial Model '!BJ158</f>
        <v>-176.39617548756041</v>
      </c>
    </row>
    <row r="64" spans="1:62">
      <c r="A64" s="939"/>
      <c r="B64" s="932" t="s">
        <v>179</v>
      </c>
      <c r="C64" s="934"/>
      <c r="D64" s="934"/>
      <c r="E64" s="934"/>
      <c r="F64" s="934"/>
      <c r="G64" s="937"/>
      <c r="H64" s="934"/>
      <c r="I64" s="934"/>
      <c r="J64" s="934"/>
      <c r="K64" s="934"/>
      <c r="L64" s="938">
        <f>+'Quarterly Financial Model '!L159</f>
        <v>91.471999999999994</v>
      </c>
      <c r="M64" s="934">
        <f>+'Quarterly Financial Model '!M159</f>
        <v>-42.851999999999997</v>
      </c>
      <c r="N64" s="934">
        <f>+'Quarterly Financial Model '!N159</f>
        <v>-2.8680000000000021</v>
      </c>
      <c r="O64" s="934">
        <f>+'Quarterly Financial Model '!O159</f>
        <v>14.34</v>
      </c>
      <c r="P64" s="934">
        <f>+'Quarterly Financial Model '!P159</f>
        <v>-6.8780000000000037</v>
      </c>
      <c r="Q64" s="833">
        <f>+'Quarterly Financial Model '!Q159</f>
        <v>-38.258000000000003</v>
      </c>
      <c r="R64" s="934">
        <f>+'Quarterly Financial Model '!R159</f>
        <v>-69.789000000000001</v>
      </c>
      <c r="S64" s="934">
        <f>+'Quarterly Financial Model '!S159</f>
        <v>64.738</v>
      </c>
      <c r="T64" s="934">
        <f>+'Quarterly Financial Model '!T159</f>
        <v>-18.971999999999994</v>
      </c>
      <c r="U64" s="934">
        <f>+'Quarterly Financial Model '!U159</f>
        <v>-24.644999999999996</v>
      </c>
      <c r="V64" s="833">
        <f>+'Quarterly Financial Model '!V159</f>
        <v>-48.667999999999992</v>
      </c>
      <c r="W64" s="934">
        <f>+'Quarterly Financial Model '!W159</f>
        <v>76.253</v>
      </c>
      <c r="X64" s="934">
        <f>+'Quarterly Financial Model '!X159</f>
        <v>14.040000000000006</v>
      </c>
      <c r="Y64" s="934">
        <f>+'Quarterly Financial Model '!Y159</f>
        <v>-76.38300000000001</v>
      </c>
      <c r="Z64" s="934">
        <f>+'Quarterly Financial Model '!Z159</f>
        <v>79.408000000000001</v>
      </c>
      <c r="AA64" s="833">
        <f>+'Quarterly Financial Model '!AA159</f>
        <v>93.317999999999998</v>
      </c>
      <c r="AB64" s="934">
        <f>+'Quarterly Financial Model '!AB159</f>
        <v>-6.0650000000000004</v>
      </c>
      <c r="AC64" s="934">
        <f>+'Quarterly Financial Model '!AC159</f>
        <v>34.488</v>
      </c>
      <c r="AD64" s="934">
        <f>+'Quarterly Financial Model '!AD159</f>
        <v>80.978999999999999</v>
      </c>
      <c r="AE64" s="934">
        <f>+'Quarterly Financial Model '!AE159</f>
        <v>48.26100000000001</v>
      </c>
      <c r="AF64" s="833">
        <f>+'Quarterly Financial Model '!AF159</f>
        <v>157.66300000000001</v>
      </c>
      <c r="AG64" s="837">
        <f>+'Quarterly Financial Model '!AG159</f>
        <v>-24.443000000000001</v>
      </c>
      <c r="AH64" s="838">
        <f>+'Quarterly Financial Model '!AH159</f>
        <v>65.823000000000008</v>
      </c>
      <c r="AI64" s="838">
        <f>+'Quarterly Financial Model '!AI159</f>
        <v>-17.504000000000001</v>
      </c>
      <c r="AJ64" s="839">
        <f>+'Quarterly Financial Model '!AJ159</f>
        <v>144.44299999999998</v>
      </c>
      <c r="AK64" s="833">
        <f>+'Quarterly Financial Model '!AK159</f>
        <v>168.31899999999999</v>
      </c>
      <c r="AL64" s="837">
        <f>+'Quarterly Financial Model '!AL159</f>
        <v>-62.256999999999998</v>
      </c>
      <c r="AM64" s="838">
        <f>+'Quarterly Financial Model '!AM159</f>
        <v>31.174999999999997</v>
      </c>
      <c r="AN64" s="838">
        <f>+'Quarterly Financial Model '!AN159</f>
        <v>14.524000000000001</v>
      </c>
      <c r="AO64" s="839">
        <f>+'Quarterly Financial Model '!AO159</f>
        <v>96.276999999999987</v>
      </c>
      <c r="AP64" s="833">
        <f>+'Quarterly Financial Model '!AP159</f>
        <v>79.718999999999994</v>
      </c>
      <c r="AQ64" s="837">
        <f>+'Quarterly Financial Model '!AQ159</f>
        <v>-41.109000000000002</v>
      </c>
      <c r="AR64" s="838">
        <f>+'Quarterly Financial Model '!AR159</f>
        <v>81.94</v>
      </c>
      <c r="AS64" s="838">
        <f>+'Quarterly Financial Model '!AS159</f>
        <v>-36.503999999999998</v>
      </c>
      <c r="AT64" s="839">
        <f>+'Quarterly Financial Model '!AT159</f>
        <v>21.006999999999998</v>
      </c>
      <c r="AU64" s="833">
        <f>+'Quarterly Financial Model '!AU159</f>
        <v>25.333999999999996</v>
      </c>
      <c r="AV64" s="837">
        <f>+'Quarterly Financial Model '!AV159</f>
        <v>404.2498950983906</v>
      </c>
      <c r="AW64" s="838">
        <f>+'Quarterly Financial Model '!AW159</f>
        <v>189.03085498511888</v>
      </c>
      <c r="AX64" s="838">
        <f>+'Quarterly Financial Model '!AX159</f>
        <v>-65.716797069671316</v>
      </c>
      <c r="AY64" s="839">
        <f>+'Quarterly Financial Model '!AY159</f>
        <v>43.668529294014263</v>
      </c>
      <c r="AZ64" s="833">
        <f>+'Quarterly Financial Model '!AZ159</f>
        <v>571.23248230785248</v>
      </c>
      <c r="BA64" s="837">
        <f>+'Quarterly Financial Model '!BA159</f>
        <v>29.657011987337398</v>
      </c>
      <c r="BB64" s="838">
        <f>+'Quarterly Financial Model '!BB159</f>
        <v>107.57864645770439</v>
      </c>
      <c r="BC64" s="838">
        <f>+'Quarterly Financial Model '!BC159</f>
        <v>-72.566994872040993</v>
      </c>
      <c r="BD64" s="839">
        <f>+'Quarterly Financial Model '!BD159</f>
        <v>48.615758349837392</v>
      </c>
      <c r="BE64" s="833">
        <f>+'Quarterly Financial Model '!BE159</f>
        <v>113.28442192283819</v>
      </c>
      <c r="BF64" s="837">
        <f>+'Quarterly Financial Model '!BF159</f>
        <v>35.382302028409526</v>
      </c>
      <c r="BG64" s="838">
        <f>+'Quarterly Financial Model '!BG159</f>
        <v>116.55073123561249</v>
      </c>
      <c r="BH64" s="838">
        <f>+'Quarterly Financial Model '!BH159</f>
        <v>-80.790025444556932</v>
      </c>
      <c r="BI64" s="839">
        <f>+'Quarterly Financial Model '!BI159</f>
        <v>54.280678816290504</v>
      </c>
      <c r="BJ64" s="836">
        <f>+'Quarterly Financial Model '!BJ159</f>
        <v>125.42368663575559</v>
      </c>
    </row>
    <row r="65" spans="1:62">
      <c r="A65" s="939"/>
      <c r="B65" s="932" t="s">
        <v>180</v>
      </c>
      <c r="C65" s="934"/>
      <c r="D65" s="934"/>
      <c r="E65" s="934"/>
      <c r="F65" s="934"/>
      <c r="G65" s="937"/>
      <c r="H65" s="934"/>
      <c r="I65" s="934"/>
      <c r="J65" s="934"/>
      <c r="K65" s="934"/>
      <c r="L65" s="938">
        <f>+'Quarterly Financial Model '!L160</f>
        <v>-6.524</v>
      </c>
      <c r="M65" s="934">
        <f>+'Quarterly Financial Model '!M160</f>
        <v>-3.0449999999999999</v>
      </c>
      <c r="N65" s="934">
        <f>+'Quarterly Financial Model '!N160</f>
        <v>-4.2039999999999997</v>
      </c>
      <c r="O65" s="934">
        <f>+'Quarterly Financial Model '!O160</f>
        <v>-0.99400000000000066</v>
      </c>
      <c r="P65" s="934">
        <f>+'Quarterly Financial Model '!P160</f>
        <v>-3.1419999999999995</v>
      </c>
      <c r="Q65" s="833">
        <f>+'Quarterly Financial Model '!Q160</f>
        <v>-11.385</v>
      </c>
      <c r="R65" s="934">
        <f>+'Quarterly Financial Model '!R160</f>
        <v>-1.4219999999999999</v>
      </c>
      <c r="S65" s="934">
        <f>+'Quarterly Financial Model '!S160</f>
        <v>-2.6670000000000007</v>
      </c>
      <c r="T65" s="934">
        <f>+'Quarterly Financial Model '!T160</f>
        <v>-2.694</v>
      </c>
      <c r="U65" s="934">
        <f>+'Quarterly Financial Model '!U160</f>
        <v>-2.5229999999999988</v>
      </c>
      <c r="V65" s="833">
        <f>+'Quarterly Financial Model '!V160</f>
        <v>-9.3059999999999992</v>
      </c>
      <c r="W65" s="934">
        <f>+'Quarterly Financial Model '!W160</f>
        <v>-5.8150000000000004</v>
      </c>
      <c r="X65" s="934">
        <f>+'Quarterly Financial Model '!X160</f>
        <v>-2.8969999999999994</v>
      </c>
      <c r="Y65" s="934">
        <f>+'Quarterly Financial Model '!Y160</f>
        <v>-1.8360000000000003</v>
      </c>
      <c r="Z65" s="934">
        <f>+'Quarterly Financial Model '!Z160</f>
        <v>-2.4860000000000007</v>
      </c>
      <c r="AA65" s="833">
        <f>+'Quarterly Financial Model '!AA160</f>
        <v>-13.034000000000001</v>
      </c>
      <c r="AB65" s="934">
        <f>+'Quarterly Financial Model '!AB160</f>
        <v>-3.8730000000000002</v>
      </c>
      <c r="AC65" s="934">
        <f>+'Quarterly Financial Model '!AC160</f>
        <v>-5.9769999999999994</v>
      </c>
      <c r="AD65" s="934">
        <f>+'Quarterly Financial Model '!AD160</f>
        <v>-1.7309999999999999</v>
      </c>
      <c r="AE65" s="934">
        <f>+'Quarterly Financial Model '!AE160</f>
        <v>-5.5270000000000019</v>
      </c>
      <c r="AF65" s="833">
        <f>+'Quarterly Financial Model '!AF160</f>
        <v>-17.108000000000001</v>
      </c>
      <c r="AG65" s="837">
        <f>+'Quarterly Financial Model '!AG160</f>
        <v>-5.6509999999999998</v>
      </c>
      <c r="AH65" s="838">
        <f>+'Quarterly Financial Model '!AH160</f>
        <v>-7.6910000000000007</v>
      </c>
      <c r="AI65" s="838">
        <f>+'Quarterly Financial Model '!AI160</f>
        <v>-9.3740000000000006</v>
      </c>
      <c r="AJ65" s="839">
        <f>+'Quarterly Financial Model '!AJ160</f>
        <v>-10.176000000000002</v>
      </c>
      <c r="AK65" s="833">
        <f>+'Quarterly Financial Model '!AK160</f>
        <v>-32.892000000000003</v>
      </c>
      <c r="AL65" s="837">
        <f>+'Quarterly Financial Model '!AL160</f>
        <v>-15.602</v>
      </c>
      <c r="AM65" s="838">
        <f>+'Quarterly Financial Model '!AM160</f>
        <v>-7.7409999999999997</v>
      </c>
      <c r="AN65" s="838">
        <f>+'Quarterly Financial Model '!AN160</f>
        <v>-7.4649999999999999</v>
      </c>
      <c r="AO65" s="839">
        <f>+'Quarterly Financial Model '!AO160</f>
        <v>-11.739999999999998</v>
      </c>
      <c r="AP65" s="833">
        <f>+'Quarterly Financial Model '!AP160</f>
        <v>-42.548000000000002</v>
      </c>
      <c r="AQ65" s="837">
        <f>+'Quarterly Financial Model '!AQ160</f>
        <v>-7.19</v>
      </c>
      <c r="AR65" s="838">
        <f>+'Quarterly Financial Model '!AR160</f>
        <v>-6.3950000000000005</v>
      </c>
      <c r="AS65" s="838">
        <f>+'Quarterly Financial Model '!AS160</f>
        <v>-4.1179999999999994</v>
      </c>
      <c r="AT65" s="839">
        <f>+'Quarterly Financial Model '!AT160</f>
        <v>-6.7990000000000004</v>
      </c>
      <c r="AU65" s="833">
        <f>+'Quarterly Financial Model '!AU160</f>
        <v>-24.501999999999999</v>
      </c>
      <c r="AV65" s="837">
        <f>+'Quarterly Financial Model '!AV160</f>
        <v>-50.77469384861044</v>
      </c>
      <c r="AW65" s="838">
        <f>+'Quarterly Financial Model '!AW160</f>
        <v>-1.0940107526110694</v>
      </c>
      <c r="AX65" s="838">
        <f>+'Quarterly Financial Model '!AX160</f>
        <v>2.4443385108734788</v>
      </c>
      <c r="AY65" s="839">
        <f>+'Quarterly Financial Model '!AY160</f>
        <v>-8.4974087666749654</v>
      </c>
      <c r="AZ65" s="833">
        <f>+'Quarterly Financial Model '!AZ160</f>
        <v>-57.921774857022996</v>
      </c>
      <c r="BA65" s="837">
        <f>+'Quarterly Financial Model '!BA160</f>
        <v>-14.575799842404834</v>
      </c>
      <c r="BB65" s="838">
        <f>+'Quarterly Financial Model '!BB160</f>
        <v>9.7023660546421411</v>
      </c>
      <c r="BC65" s="838">
        <f>+'Quarterly Financial Model '!BC160</f>
        <v>2.752531211325703</v>
      </c>
      <c r="BD65" s="839">
        <f>+'Quarterly Financial Model '!BD160</f>
        <v>-9.3659000558516823</v>
      </c>
      <c r="BE65" s="833">
        <f>+'Quarterly Financial Model '!BE160</f>
        <v>-11.486802632288672</v>
      </c>
      <c r="BF65" s="837">
        <f>+'Quarterly Financial Model '!BF160</f>
        <v>-16.236063231618715</v>
      </c>
      <c r="BG65" s="838">
        <f>+'Quarterly Financial Model '!BG160</f>
        <v>10.709269759109418</v>
      </c>
      <c r="BH65" s="838">
        <f>+'Quarterly Financial Model '!BH160</f>
        <v>3.1549344855035315</v>
      </c>
      <c r="BI65" s="839">
        <f>+'Quarterly Financial Model '!BI160</f>
        <v>-10.345839610425998</v>
      </c>
      <c r="BJ65" s="836">
        <f>+'Quarterly Financial Model '!BJ160</f>
        <v>-12.717698597431763</v>
      </c>
    </row>
    <row r="66" spans="1:62">
      <c r="A66" s="939"/>
      <c r="B66" s="932" t="s">
        <v>181</v>
      </c>
      <c r="C66" s="934"/>
      <c r="D66" s="934"/>
      <c r="E66" s="934"/>
      <c r="F66" s="934"/>
      <c r="G66" s="937"/>
      <c r="H66" s="934"/>
      <c r="I66" s="934"/>
      <c r="J66" s="934"/>
      <c r="K66" s="934"/>
      <c r="L66" s="938">
        <f>+'Quarterly Financial Model '!L161</f>
        <v>-4.9109999999999996</v>
      </c>
      <c r="M66" s="934">
        <f>+'Quarterly Financial Model '!M161</f>
        <v>-7.2309999999999999</v>
      </c>
      <c r="N66" s="934">
        <f>+'Quarterly Financial Model '!N161</f>
        <v>8.0399999999999991</v>
      </c>
      <c r="O66" s="934">
        <f>+'Quarterly Financial Model '!O161</f>
        <v>-1.5169999999999992</v>
      </c>
      <c r="P66" s="934">
        <f>+'Quarterly Financial Model '!P161</f>
        <v>-9.8239999999999998</v>
      </c>
      <c r="Q66" s="833">
        <f>+'Quarterly Financial Model '!Q161</f>
        <v>-10.532</v>
      </c>
      <c r="R66" s="934">
        <f>+'Quarterly Financial Model '!R161</f>
        <v>-26.763999999999999</v>
      </c>
      <c r="S66" s="934">
        <f>+'Quarterly Financial Model '!S161</f>
        <v>14.142999999999999</v>
      </c>
      <c r="T66" s="934">
        <f>+'Quarterly Financial Model '!T161</f>
        <v>16.813000000000002</v>
      </c>
      <c r="U66" s="934">
        <f>+'Quarterly Financial Model '!U161</f>
        <v>6.8610000000000007</v>
      </c>
      <c r="V66" s="833">
        <f>+'Quarterly Financial Model '!V161</f>
        <v>11.053000000000003</v>
      </c>
      <c r="W66" s="934">
        <f>+'Quarterly Financial Model '!W161</f>
        <v>-6.2320000000000002</v>
      </c>
      <c r="X66" s="934">
        <f>+'Quarterly Financial Model '!X161</f>
        <v>5.2750000000000004</v>
      </c>
      <c r="Y66" s="934">
        <f>+'Quarterly Financial Model '!Y161</f>
        <v>-6.5780000000000003</v>
      </c>
      <c r="Z66" s="934">
        <f>+'Quarterly Financial Model '!Z161</f>
        <v>2.4080000000000004</v>
      </c>
      <c r="AA66" s="833">
        <f>+'Quarterly Financial Model '!AA161</f>
        <v>-5.1269999999999998</v>
      </c>
      <c r="AB66" s="934">
        <f>+'Quarterly Financial Model '!AB161</f>
        <v>1.524</v>
      </c>
      <c r="AC66" s="934">
        <f>+'Quarterly Financial Model '!AC161</f>
        <v>-11.248000000000001</v>
      </c>
      <c r="AD66" s="934">
        <f>+'Quarterly Financial Model '!AD161</f>
        <v>-0.59699999999999864</v>
      </c>
      <c r="AE66" s="934">
        <f>+'Quarterly Financial Model '!AE161</f>
        <v>-15.236000000000001</v>
      </c>
      <c r="AF66" s="833">
        <f>+'Quarterly Financial Model '!AF161</f>
        <v>-25.556999999999999</v>
      </c>
      <c r="AG66" s="837">
        <f>+'Quarterly Financial Model '!AG161</f>
        <v>-4.6440000000000001</v>
      </c>
      <c r="AH66" s="838">
        <f>+'Quarterly Financial Model '!AH161</f>
        <v>2.4810000000000003</v>
      </c>
      <c r="AI66" s="838">
        <f>+'Quarterly Financial Model '!AI161</f>
        <v>4.1790000000000003</v>
      </c>
      <c r="AJ66" s="839">
        <f>+'Quarterly Financial Model '!AJ161</f>
        <v>9.3079999999999998</v>
      </c>
      <c r="AK66" s="833">
        <f>+'Quarterly Financial Model '!AK161</f>
        <v>11.324</v>
      </c>
      <c r="AL66" s="837">
        <f>+'Quarterly Financial Model '!AL161</f>
        <v>-9.6750000000000007</v>
      </c>
      <c r="AM66" s="838">
        <f>+'Quarterly Financial Model '!AM161</f>
        <v>7.98</v>
      </c>
      <c r="AN66" s="838">
        <f>+'Quarterly Financial Model '!AN161</f>
        <v>7.8780000000000001</v>
      </c>
      <c r="AO66" s="839">
        <f>+'Quarterly Financial Model '!AO161</f>
        <v>33.453000000000003</v>
      </c>
      <c r="AP66" s="833">
        <f>+'Quarterly Financial Model '!AP161</f>
        <v>39.636000000000003</v>
      </c>
      <c r="AQ66" s="837">
        <f>+'Quarterly Financial Model '!AQ161</f>
        <v>-7.0490000000000004</v>
      </c>
      <c r="AR66" s="838">
        <f>+'Quarterly Financial Model '!AR161</f>
        <v>-26.939999999999998</v>
      </c>
      <c r="AS66" s="838">
        <f>+'Quarterly Financial Model '!AS161</f>
        <v>-48.927</v>
      </c>
      <c r="AT66" s="839">
        <f>+'Quarterly Financial Model '!AT161</f>
        <v>81.701999999999998</v>
      </c>
      <c r="AU66" s="833">
        <f>+'Quarterly Financial Model '!AU161</f>
        <v>-1.2139999999999986</v>
      </c>
      <c r="AV66" s="837">
        <f>+'Quarterly Financial Model '!AV161</f>
        <v>-54.065287702077342</v>
      </c>
      <c r="AW66" s="838">
        <f>+'Quarterly Financial Model '!AW161</f>
        <v>-14.684991969100054</v>
      </c>
      <c r="AX66" s="838">
        <f>+'Quarterly Financial Model '!AX161</f>
        <v>-4.7915681402888737</v>
      </c>
      <c r="AY66" s="839">
        <f>+'Quarterly Financial Model '!AY161</f>
        <v>-3.2858598904262237</v>
      </c>
      <c r="AZ66" s="833">
        <f>+'Quarterly Financial Model '!AZ161</f>
        <v>-76.827707701892493</v>
      </c>
      <c r="BA66" s="837">
        <f>+'Quarterly Financial Model '!BA161</f>
        <v>1.8607549582404914</v>
      </c>
      <c r="BB66" s="838">
        <f>+'Quarterly Financial Model '!BB161</f>
        <v>-8.3905228211461349</v>
      </c>
      <c r="BC66" s="838">
        <f>+'Quarterly Financial Model '!BC161</f>
        <v>-5.393969614639758</v>
      </c>
      <c r="BD66" s="839">
        <f>+'Quarterly Financial Model '!BD161</f>
        <v>-3.8464557106530322</v>
      </c>
      <c r="BE66" s="833">
        <f>+'Quarterly Financial Model '!BE161</f>
        <v>-15.770193188198434</v>
      </c>
      <c r="BF66" s="837">
        <f>+'Quarterly Financial Model '!BF161</f>
        <v>2.1135409526239357</v>
      </c>
      <c r="BG66" s="838">
        <f>+'Quarterly Financial Model '!BG161</f>
        <v>-9.4961868168121271</v>
      </c>
      <c r="BH66" s="838">
        <f>+'Quarterly Financial Model '!BH161</f>
        <v>-6.0141393140302455</v>
      </c>
      <c r="BI66" s="839">
        <f>+'Quarterly Financial Model '!BI161</f>
        <v>-4.5073646072455347</v>
      </c>
      <c r="BJ66" s="836">
        <f>+'Quarterly Financial Model '!BJ161</f>
        <v>-17.904149785463972</v>
      </c>
    </row>
    <row r="67" spans="1:62">
      <c r="A67" s="939"/>
      <c r="B67" s="932" t="s">
        <v>182</v>
      </c>
      <c r="C67" s="934"/>
      <c r="D67" s="934"/>
      <c r="E67" s="934"/>
      <c r="F67" s="934"/>
      <c r="G67" s="937"/>
      <c r="H67" s="934"/>
      <c r="I67" s="934"/>
      <c r="J67" s="934"/>
      <c r="K67" s="934"/>
      <c r="L67" s="938">
        <f>+'Quarterly Financial Model '!L162</f>
        <v>46.371000000000002</v>
      </c>
      <c r="M67" s="934">
        <f>+'Quarterly Financial Model '!M162</f>
        <v>-13.505000000000001</v>
      </c>
      <c r="N67" s="934">
        <f>+'Quarterly Financial Model '!N162</f>
        <v>0.71799999999999997</v>
      </c>
      <c r="O67" s="934">
        <f>+'Quarterly Financial Model '!O162</f>
        <v>4.5530000000000008</v>
      </c>
      <c r="P67" s="934">
        <f>+'Quarterly Financial Model '!P162</f>
        <v>38.927000000000007</v>
      </c>
      <c r="Q67" s="833">
        <f>+'Quarterly Financial Model '!Q162</f>
        <v>30.693000000000005</v>
      </c>
      <c r="R67" s="934">
        <f>+'Quarterly Financial Model '!R162</f>
        <v>-29.754000000000001</v>
      </c>
      <c r="S67" s="934">
        <f>+'Quarterly Financial Model '!S162</f>
        <v>14.628000000000002</v>
      </c>
      <c r="T67" s="934">
        <f>+'Quarterly Financial Model '!T162</f>
        <v>26.459</v>
      </c>
      <c r="U67" s="934">
        <f>+'Quarterly Financial Model '!U162</f>
        <v>-14.748000000000001</v>
      </c>
      <c r="V67" s="833">
        <f>+'Quarterly Financial Model '!V162</f>
        <v>-3.4150000000000009</v>
      </c>
      <c r="W67" s="934">
        <f>+'Quarterly Financial Model '!W162</f>
        <v>-4.516</v>
      </c>
      <c r="X67" s="934">
        <f>+'Quarterly Financial Model '!X162</f>
        <v>-0.68599999999999994</v>
      </c>
      <c r="Y67" s="934">
        <f>+'Quarterly Financial Model '!Y162</f>
        <v>-9.3059999999999992</v>
      </c>
      <c r="Z67" s="934">
        <f>+'Quarterly Financial Model '!Z162</f>
        <v>1.7939999999999987</v>
      </c>
      <c r="AA67" s="833">
        <f>+'Quarterly Financial Model '!AA162</f>
        <v>-12.714</v>
      </c>
      <c r="AB67" s="934">
        <f>+'Quarterly Financial Model '!AB162</f>
        <v>-9.1479999999999997</v>
      </c>
      <c r="AC67" s="934">
        <f>+'Quarterly Financial Model '!AC162</f>
        <v>30.027999999999999</v>
      </c>
      <c r="AD67" s="934">
        <f>+'Quarterly Financial Model '!AD162</f>
        <v>1.7480000000000011</v>
      </c>
      <c r="AE67" s="934">
        <f>+'Quarterly Financial Model '!AE162</f>
        <v>30.543999999999993</v>
      </c>
      <c r="AF67" s="833">
        <f>+'Quarterly Financial Model '!AF162</f>
        <v>53.171999999999997</v>
      </c>
      <c r="AG67" s="837">
        <f>+'Quarterly Financial Model '!AG162</f>
        <v>-17.568999999999999</v>
      </c>
      <c r="AH67" s="838">
        <f>+'Quarterly Financial Model '!AH162</f>
        <v>64.316999999999993</v>
      </c>
      <c r="AI67" s="838">
        <f>+'Quarterly Financial Model '!AI162</f>
        <v>28.830000000000009</v>
      </c>
      <c r="AJ67" s="839">
        <f>+'Quarterly Financial Model '!AJ162</f>
        <v>-17.717000000000006</v>
      </c>
      <c r="AK67" s="833">
        <f>+'Quarterly Financial Model '!AK162</f>
        <v>57.860999999999997</v>
      </c>
      <c r="AL67" s="837">
        <f>+'Quarterly Financial Model '!AL162</f>
        <v>6.1630000000000003</v>
      </c>
      <c r="AM67" s="838">
        <f>+'Quarterly Financial Model '!AM162</f>
        <v>11.704000000000001</v>
      </c>
      <c r="AN67" s="838">
        <f>+'Quarterly Financial Model '!AN162</f>
        <v>6.9920000000000009</v>
      </c>
      <c r="AO67" s="839">
        <f>+'Quarterly Financial Model '!AO162</f>
        <v>67.89</v>
      </c>
      <c r="AP67" s="833">
        <f>+'Quarterly Financial Model '!AP162</f>
        <v>92.748999999999995</v>
      </c>
      <c r="AQ67" s="837">
        <f>+'Quarterly Financial Model '!AQ162</f>
        <v>-8.5120000000000005</v>
      </c>
      <c r="AR67" s="838">
        <f>+'Quarterly Financial Model '!AR162</f>
        <v>37.284999999999997</v>
      </c>
      <c r="AS67" s="838">
        <f>+'Quarterly Financial Model '!AS162</f>
        <v>-5.8489999999999966</v>
      </c>
      <c r="AT67" s="839">
        <f>+'Quarterly Financial Model '!AT162</f>
        <v>102.179</v>
      </c>
      <c r="AU67" s="833">
        <f>+'Quarterly Financial Model '!AU162</f>
        <v>125.10300000000001</v>
      </c>
      <c r="AV67" s="837">
        <f>+'Quarterly Financial Model '!AV162</f>
        <v>-66.748538399508902</v>
      </c>
      <c r="AW67" s="838">
        <f>+'Quarterly Financial Model '!AW162</f>
        <v>71.5926940532961</v>
      </c>
      <c r="AX67" s="838">
        <f>+'Quarterly Financial Model '!AX162</f>
        <v>6.7491276734203893</v>
      </c>
      <c r="AY67" s="839">
        <f>+'Quarterly Financial Model '!AY162</f>
        <v>19.471762313636873</v>
      </c>
      <c r="AZ67" s="833">
        <f>+'Quarterly Financial Model '!AZ162</f>
        <v>31.06504564084446</v>
      </c>
      <c r="BA67" s="837">
        <f>+'Quarterly Financial Model '!BA162</f>
        <v>-51.208530398333323</v>
      </c>
      <c r="BB67" s="838">
        <f>+'Quarterly Financial Model '!BB162</f>
        <v>46.614015673034032</v>
      </c>
      <c r="BC67" s="838">
        <f>+'Quarterly Financial Model '!BC162</f>
        <v>29.966497859109836</v>
      </c>
      <c r="BD67" s="839">
        <f>+'Quarterly Financial Model '!BD162</f>
        <v>21.369198392516864</v>
      </c>
      <c r="BE67" s="833">
        <f>+'Quarterly Financial Model '!BE162</f>
        <v>46.741181526327409</v>
      </c>
      <c r="BF67" s="837">
        <f>+'Quarterly Financial Model '!BF162</f>
        <v>-101.60302457071293</v>
      </c>
      <c r="BG67" s="838">
        <f>+'Quarterly Financial Model '!BG162</f>
        <v>45.875298631942542</v>
      </c>
      <c r="BH67" s="838">
        <f>+'Quarterly Financial Model '!BH162</f>
        <v>29.053813111257341</v>
      </c>
      <c r="BI67" s="839">
        <f>+'Quarterly Financial Model '!BI162</f>
        <v>21.774708247562899</v>
      </c>
      <c r="BJ67" s="836">
        <f>+'Quarterly Financial Model '!BJ162</f>
        <v>-4.8992045799501511</v>
      </c>
    </row>
    <row r="68" spans="1:62">
      <c r="A68" s="939"/>
      <c r="B68" s="932" t="s">
        <v>183</v>
      </c>
      <c r="C68" s="934"/>
      <c r="D68" s="934"/>
      <c r="E68" s="934"/>
      <c r="F68" s="934"/>
      <c r="G68" s="937"/>
      <c r="H68" s="934"/>
      <c r="I68" s="934"/>
      <c r="J68" s="934"/>
      <c r="K68" s="934"/>
      <c r="L68" s="938">
        <f>+'Quarterly Financial Model '!L163</f>
        <v>-16.312000000000001</v>
      </c>
      <c r="M68" s="934">
        <f>+'Quarterly Financial Model '!M163</f>
        <v>-2.798</v>
      </c>
      <c r="N68" s="934">
        <f>+'Quarterly Financial Model '!N163</f>
        <v>-2.093</v>
      </c>
      <c r="O68" s="934">
        <f>+'Quarterly Financial Model '!O163</f>
        <v>2.9590000000000001</v>
      </c>
      <c r="P68" s="934">
        <f>+'Quarterly Financial Model '!P163</f>
        <v>-6.7199999999999989</v>
      </c>
      <c r="Q68" s="833">
        <f>+'Quarterly Financial Model '!Q163</f>
        <v>-8.6519999999999992</v>
      </c>
      <c r="R68" s="934">
        <f>+'Quarterly Financial Model '!R163</f>
        <v>-2.8639999999999999</v>
      </c>
      <c r="S68" s="934">
        <f>+'Quarterly Financial Model '!S163</f>
        <v>-0.18999999999999995</v>
      </c>
      <c r="T68" s="934">
        <f>+'Quarterly Financial Model '!T163</f>
        <v>-8.0000000000000071E-3</v>
      </c>
      <c r="U68" s="934">
        <f>+'Quarterly Financial Model '!U163</f>
        <v>0.87299999999999978</v>
      </c>
      <c r="V68" s="833">
        <f>+'Quarterly Financial Model '!V163</f>
        <v>-2.1890000000000001</v>
      </c>
      <c r="W68" s="934">
        <f>+'Quarterly Financial Model '!W163</f>
        <v>1.08</v>
      </c>
      <c r="X68" s="934">
        <f>+'Quarterly Financial Model '!X163</f>
        <v>-1.2000000000000011E-2</v>
      </c>
      <c r="Y68" s="934">
        <f>+'Quarterly Financial Model '!Y163</f>
        <v>-3.0000000000000027E-2</v>
      </c>
      <c r="Z68" s="934">
        <f>+'Quarterly Financial Model '!Z163</f>
        <v>-0.28200000000000003</v>
      </c>
      <c r="AA68" s="833">
        <f>+'Quarterly Financial Model '!AA163</f>
        <v>0.75600000000000001</v>
      </c>
      <c r="AB68" s="934">
        <f>+'Quarterly Financial Model '!AB163</f>
        <v>-0.59199999999999997</v>
      </c>
      <c r="AC68" s="934">
        <f>+'Quarterly Financial Model '!AC163</f>
        <v>0.28199999999999997</v>
      </c>
      <c r="AD68" s="934">
        <f>+'Quarterly Financial Model '!AD163</f>
        <v>1.0429999999999999</v>
      </c>
      <c r="AE68" s="934">
        <f>+'Quarterly Financial Model '!AE163</f>
        <v>-1.1659999999999999</v>
      </c>
      <c r="AF68" s="833">
        <f>+'Quarterly Financial Model '!AF163</f>
        <v>-0.43300000000000005</v>
      </c>
      <c r="AG68" s="837">
        <f>+'Quarterly Financial Model '!AG163</f>
        <v>0.64900000000000002</v>
      </c>
      <c r="AH68" s="838">
        <f>+'Quarterly Financial Model '!AH163</f>
        <v>-5.4000000000000048E-2</v>
      </c>
      <c r="AI68" s="838">
        <f>+'Quarterly Financial Model '!AI163</f>
        <v>1.274</v>
      </c>
      <c r="AJ68" s="839">
        <f>+'Quarterly Financial Model '!AJ163</f>
        <v>0.79399999999999982</v>
      </c>
      <c r="AK68" s="833">
        <f>+'Quarterly Financial Model '!AK163</f>
        <v>2.6629999999999998</v>
      </c>
      <c r="AL68" s="837">
        <f>+'Quarterly Financial Model '!AL163</f>
        <v>0.52</v>
      </c>
      <c r="AM68" s="838">
        <f>+'Quarterly Financial Model '!AM163</f>
        <v>-1.8240000000000001</v>
      </c>
      <c r="AN68" s="838">
        <f>+'Quarterly Financial Model '!AN163</f>
        <v>-2.6999999999999913E-2</v>
      </c>
      <c r="AO68" s="839">
        <f>+'Quarterly Financial Model '!AO163</f>
        <v>0.25600000000000001</v>
      </c>
      <c r="AP68" s="833">
        <f>+'Quarterly Financial Model '!AP163</f>
        <v>-1.075</v>
      </c>
      <c r="AQ68" s="837">
        <f>+'Quarterly Financial Model '!AQ163</f>
        <v>0.13700000000000001</v>
      </c>
      <c r="AR68" s="838">
        <f>+'Quarterly Financial Model '!AR163</f>
        <v>-0.38500000000000001</v>
      </c>
      <c r="AS68" s="838">
        <f>+'Quarterly Financial Model '!AS163</f>
        <v>-0.33799999999999997</v>
      </c>
      <c r="AT68" s="839">
        <f>+'Quarterly Financial Model '!AT163</f>
        <v>5.9759999999999991</v>
      </c>
      <c r="AU68" s="833">
        <f>+'Quarterly Financial Model '!AU163</f>
        <v>5.3899999999999988</v>
      </c>
      <c r="AV68" s="837">
        <f>+'Quarterly Financial Model '!AV163</f>
        <v>0</v>
      </c>
      <c r="AW68" s="838">
        <f>+'Quarterly Financial Model '!AW163</f>
        <v>0</v>
      </c>
      <c r="AX68" s="838">
        <f>+'Quarterly Financial Model '!AX163</f>
        <v>0</v>
      </c>
      <c r="AY68" s="839">
        <f>+'Quarterly Financial Model '!AY163</f>
        <v>0</v>
      </c>
      <c r="AZ68" s="833">
        <f>+'Quarterly Financial Model '!AZ163</f>
        <v>0</v>
      </c>
      <c r="BA68" s="837">
        <f>+'Quarterly Financial Model '!BA163</f>
        <v>0</v>
      </c>
      <c r="BB68" s="838">
        <f>+'Quarterly Financial Model '!BB163</f>
        <v>0</v>
      </c>
      <c r="BC68" s="838">
        <f>+'Quarterly Financial Model '!BC163</f>
        <v>0</v>
      </c>
      <c r="BD68" s="839">
        <f>+'Quarterly Financial Model '!BD163</f>
        <v>0</v>
      </c>
      <c r="BE68" s="833">
        <f>+'Quarterly Financial Model '!BE163</f>
        <v>0</v>
      </c>
      <c r="BF68" s="837">
        <f>+'Quarterly Financial Model '!BF163</f>
        <v>0</v>
      </c>
      <c r="BG68" s="838">
        <f>+'Quarterly Financial Model '!BG163</f>
        <v>0</v>
      </c>
      <c r="BH68" s="838">
        <f>+'Quarterly Financial Model '!BH163</f>
        <v>0</v>
      </c>
      <c r="BI68" s="839">
        <f>+'Quarterly Financial Model '!BI163</f>
        <v>0</v>
      </c>
      <c r="BJ68" s="836">
        <f>+'Quarterly Financial Model '!BJ163</f>
        <v>0</v>
      </c>
    </row>
    <row r="69" spans="1:62">
      <c r="A69" s="939"/>
      <c r="B69" s="932" t="s">
        <v>184</v>
      </c>
      <c r="C69" s="934"/>
      <c r="D69" s="934"/>
      <c r="E69" s="934"/>
      <c r="F69" s="934"/>
      <c r="G69" s="937"/>
      <c r="H69" s="934"/>
      <c r="I69" s="934"/>
      <c r="J69" s="934"/>
      <c r="K69" s="934"/>
      <c r="L69" s="938">
        <f>+'Quarterly Financial Model '!L164</f>
        <v>-1.1399999999999999</v>
      </c>
      <c r="M69" s="934">
        <f>+'Quarterly Financial Model '!M164</f>
        <v>0.495</v>
      </c>
      <c r="N69" s="934">
        <f>+'Quarterly Financial Model '!N164</f>
        <v>0.59100000000000008</v>
      </c>
      <c r="O69" s="934">
        <f>+'Quarterly Financial Model '!O164</f>
        <v>-1.78</v>
      </c>
      <c r="P69" s="934">
        <f>+'Quarterly Financial Model '!P164</f>
        <v>-0.40400000000000014</v>
      </c>
      <c r="Q69" s="833">
        <f>+'Quarterly Financial Model '!Q164</f>
        <v>-1.0980000000000001</v>
      </c>
      <c r="R69" s="934">
        <f>+'Quarterly Financial Model '!R164</f>
        <v>1.7190000000000001</v>
      </c>
      <c r="S69" s="934">
        <f>+'Quarterly Financial Model '!S164</f>
        <v>1.0389999999999999</v>
      </c>
      <c r="T69" s="934">
        <f>+'Quarterly Financial Model '!T164</f>
        <v>-1.4259999999999999</v>
      </c>
      <c r="U69" s="934">
        <f>+'Quarterly Financial Model '!U164</f>
        <v>0.74500000000000033</v>
      </c>
      <c r="V69" s="833">
        <f>+'Quarterly Financial Model '!V164</f>
        <v>2.0770000000000004</v>
      </c>
      <c r="W69" s="934">
        <f>+'Quarterly Financial Model '!W164</f>
        <v>2.0489999999999999</v>
      </c>
      <c r="X69" s="934">
        <f>+'Quarterly Financial Model '!X164</f>
        <v>-0.69899999999999984</v>
      </c>
      <c r="Y69" s="934">
        <f>+'Quarterly Financial Model '!Y164</f>
        <v>-1.218</v>
      </c>
      <c r="Z69" s="934">
        <f>+'Quarterly Financial Model '!Z164</f>
        <v>-0.81400000000000017</v>
      </c>
      <c r="AA69" s="833">
        <f>+'Quarterly Financial Model '!AA164</f>
        <v>-0.68200000000000005</v>
      </c>
      <c r="AB69" s="934">
        <f>+'Quarterly Financial Model '!AB164</f>
        <v>0.94799999999999995</v>
      </c>
      <c r="AC69" s="934">
        <f>+'Quarterly Financial Model '!AC164</f>
        <v>-0.6379999999999999</v>
      </c>
      <c r="AD69" s="934">
        <f>+'Quarterly Financial Model '!AD164</f>
        <v>-1.4710000000000001</v>
      </c>
      <c r="AE69" s="934">
        <f>+'Quarterly Financial Model '!AE164</f>
        <v>-2.774</v>
      </c>
      <c r="AF69" s="833">
        <f>+'Quarterly Financial Model '!AF164</f>
        <v>-3.9350000000000001</v>
      </c>
      <c r="AG69" s="837">
        <f>+'Quarterly Financial Model '!AG164</f>
        <v>3.6080000000000001</v>
      </c>
      <c r="AH69" s="838">
        <f>+'Quarterly Financial Model '!AH164</f>
        <v>-2.6000000000000245E-2</v>
      </c>
      <c r="AI69" s="838">
        <f>+'Quarterly Financial Model '!AI164</f>
        <v>0.10700000000000021</v>
      </c>
      <c r="AJ69" s="839">
        <f>+'Quarterly Financial Model '!AJ164</f>
        <v>8.0139999999999993</v>
      </c>
      <c r="AK69" s="833">
        <f>+'Quarterly Financial Model '!AK164</f>
        <v>11.702999999999999</v>
      </c>
      <c r="AL69" s="837">
        <f>+'Quarterly Financial Model '!AL164</f>
        <v>3.82</v>
      </c>
      <c r="AM69" s="838">
        <f>+'Quarterly Financial Model '!AM164</f>
        <v>-5.3479999999999999</v>
      </c>
      <c r="AN69" s="838">
        <f>+'Quarterly Financial Model '!AN164</f>
        <v>-3.1850000000000001</v>
      </c>
      <c r="AO69" s="839">
        <f>+'Quarterly Financial Model '!AO164</f>
        <v>-5.0089999999999986</v>
      </c>
      <c r="AP69" s="833">
        <f>+'Quarterly Financial Model '!AP164</f>
        <v>-9.7219999999999978</v>
      </c>
      <c r="AQ69" s="837">
        <f>+'Quarterly Financial Model '!AQ164</f>
        <v>-3.1680000000000001</v>
      </c>
      <c r="AR69" s="838">
        <f>+'Quarterly Financial Model '!AR164</f>
        <v>-11.986999999999998</v>
      </c>
      <c r="AS69" s="838">
        <f>+'Quarterly Financial Model '!AS164</f>
        <v>-2.2350000000000021</v>
      </c>
      <c r="AT69" s="839">
        <f>+'Quarterly Financial Model '!AT164</f>
        <v>-14.369</v>
      </c>
      <c r="AU69" s="833">
        <f>+'Quarterly Financial Model '!AU164</f>
        <v>-31.759</v>
      </c>
      <c r="AV69" s="837">
        <f>+'Quarterly Financial Model '!AV164</f>
        <v>0</v>
      </c>
      <c r="AW69" s="838">
        <f>+'Quarterly Financial Model '!AW164</f>
        <v>0</v>
      </c>
      <c r="AX69" s="838">
        <f>+'Quarterly Financial Model '!AX164</f>
        <v>0</v>
      </c>
      <c r="AY69" s="839">
        <f>+'Quarterly Financial Model '!AY164</f>
        <v>0</v>
      </c>
      <c r="AZ69" s="833">
        <f>+'Quarterly Financial Model '!AZ164</f>
        <v>0</v>
      </c>
      <c r="BA69" s="837">
        <f>+'Quarterly Financial Model '!BA164</f>
        <v>0</v>
      </c>
      <c r="BB69" s="838">
        <f>+'Quarterly Financial Model '!BB164</f>
        <v>0</v>
      </c>
      <c r="BC69" s="838">
        <f>+'Quarterly Financial Model '!BC164</f>
        <v>0</v>
      </c>
      <c r="BD69" s="839">
        <f>+'Quarterly Financial Model '!BD164</f>
        <v>0</v>
      </c>
      <c r="BE69" s="833">
        <f>+'Quarterly Financial Model '!BE164</f>
        <v>0</v>
      </c>
      <c r="BF69" s="837">
        <f>+'Quarterly Financial Model '!BF164</f>
        <v>0</v>
      </c>
      <c r="BG69" s="838">
        <f>+'Quarterly Financial Model '!BG164</f>
        <v>0</v>
      </c>
      <c r="BH69" s="838">
        <f>+'Quarterly Financial Model '!BH164</f>
        <v>0</v>
      </c>
      <c r="BI69" s="839">
        <f>+'Quarterly Financial Model '!BI164</f>
        <v>0</v>
      </c>
      <c r="BJ69" s="836">
        <f>+'Quarterly Financial Model '!BJ164</f>
        <v>0</v>
      </c>
    </row>
    <row r="70" spans="1:62" ht="3.75" customHeight="1">
      <c r="A70" s="939"/>
      <c r="B70" s="940"/>
      <c r="C70" s="934"/>
      <c r="D70" s="934"/>
      <c r="E70" s="934"/>
      <c r="F70" s="934"/>
      <c r="G70" s="935"/>
      <c r="H70" s="934"/>
      <c r="I70" s="934"/>
      <c r="J70" s="934"/>
      <c r="K70" s="934"/>
      <c r="L70" s="935"/>
      <c r="M70" s="934"/>
      <c r="N70" s="934"/>
      <c r="O70" s="934"/>
      <c r="P70" s="934"/>
      <c r="Q70" s="935"/>
      <c r="R70" s="934"/>
      <c r="S70" s="934"/>
      <c r="T70" s="934"/>
      <c r="U70" s="934"/>
      <c r="V70" s="935"/>
      <c r="W70" s="934"/>
      <c r="X70" s="934"/>
      <c r="Y70" s="934"/>
      <c r="Z70" s="934"/>
      <c r="AA70" s="935"/>
      <c r="AB70" s="934"/>
      <c r="AC70" s="934"/>
      <c r="AD70" s="934"/>
      <c r="AE70" s="934"/>
      <c r="AF70" s="935"/>
      <c r="AG70" s="934"/>
      <c r="AH70" s="934"/>
      <c r="AI70" s="934"/>
      <c r="AJ70" s="934"/>
      <c r="AK70" s="935"/>
      <c r="AL70" s="934"/>
      <c r="AM70" s="934"/>
      <c r="AN70" s="934"/>
      <c r="AO70" s="934"/>
      <c r="AP70" s="935"/>
      <c r="AQ70" s="934"/>
      <c r="AR70" s="934"/>
      <c r="AS70" s="934"/>
      <c r="AT70" s="934"/>
      <c r="AU70" s="935"/>
      <c r="AV70" s="934"/>
      <c r="AW70" s="934"/>
      <c r="AX70" s="934"/>
      <c r="AY70" s="934"/>
      <c r="AZ70" s="935"/>
      <c r="BA70" s="934"/>
      <c r="BB70" s="934"/>
      <c r="BC70" s="934"/>
      <c r="BD70" s="934"/>
      <c r="BE70" s="935"/>
      <c r="BF70" s="934"/>
      <c r="BG70" s="934"/>
      <c r="BH70" s="934"/>
      <c r="BI70" s="934"/>
      <c r="BJ70" s="935"/>
    </row>
    <row r="71" spans="1:62">
      <c r="A71" s="939"/>
      <c r="B71" s="941" t="s">
        <v>185</v>
      </c>
      <c r="C71" s="942"/>
      <c r="D71" s="942"/>
      <c r="E71" s="942"/>
      <c r="F71" s="942"/>
      <c r="G71" s="943"/>
      <c r="H71" s="942"/>
      <c r="I71" s="942"/>
      <c r="J71" s="942"/>
      <c r="K71" s="942"/>
      <c r="L71" s="944">
        <f>+'Quarterly Financial Model '!L165</f>
        <v>196.33600000000004</v>
      </c>
      <c r="M71" s="942">
        <f>+'Quarterly Financial Model '!M165</f>
        <v>2.0150000000000068</v>
      </c>
      <c r="N71" s="942">
        <f>+'Quarterly Financial Model '!N165</f>
        <v>67.984999999999985</v>
      </c>
      <c r="O71" s="942">
        <f>+'Quarterly Financial Model '!O165</f>
        <v>79.700000000000017</v>
      </c>
      <c r="P71" s="942">
        <f>+'Quarterly Financial Model '!P165</f>
        <v>83.754000000000019</v>
      </c>
      <c r="Q71" s="944">
        <f>+'Quarterly Financial Model '!Q165</f>
        <v>233.45399999999998</v>
      </c>
      <c r="R71" s="942">
        <f>+'Quarterly Financial Model '!R165</f>
        <v>-50.673999999999992</v>
      </c>
      <c r="S71" s="942">
        <f>+'Quarterly Financial Model '!S165</f>
        <v>183.34900000000002</v>
      </c>
      <c r="T71" s="942">
        <f>+'Quarterly Financial Model '!T165</f>
        <v>114.22499999999999</v>
      </c>
      <c r="U71" s="942">
        <f>+'Quarterly Financial Model '!U165</f>
        <v>46.213999999999999</v>
      </c>
      <c r="V71" s="944">
        <f>+'Quarterly Financial Model '!V165</f>
        <v>293.11399999999998</v>
      </c>
      <c r="W71" s="942">
        <f>+'Quarterly Financial Model '!W165</f>
        <v>156.45200000000003</v>
      </c>
      <c r="X71" s="942">
        <f>+'Quarterly Financial Model '!X165</f>
        <v>142.577</v>
      </c>
      <c r="Y71" s="942">
        <f>+'Quarterly Financial Model '!Y165</f>
        <v>42.733999999999995</v>
      </c>
      <c r="Z71" s="942">
        <f>+'Quarterly Financial Model '!Z165</f>
        <v>138.85899999999998</v>
      </c>
      <c r="AA71" s="944">
        <f>+'Quarterly Financial Model '!AA165</f>
        <v>480.62199999999984</v>
      </c>
      <c r="AB71" s="942">
        <f>+'Quarterly Financial Model '!AB165</f>
        <v>84.695999999999998</v>
      </c>
      <c r="AC71" s="942">
        <f>+'Quarterly Financial Model '!AC165</f>
        <v>171.76400000000001</v>
      </c>
      <c r="AD71" s="942">
        <f>+'Quarterly Financial Model '!AD165</f>
        <v>206.33699999999996</v>
      </c>
      <c r="AE71" s="942">
        <f>+'Quarterly Financial Model '!AE165</f>
        <v>130.108</v>
      </c>
      <c r="AF71" s="944">
        <f>+'Quarterly Financial Model '!AF165</f>
        <v>592.90500000000031</v>
      </c>
      <c r="AG71" s="942">
        <f>+'Quarterly Financial Model '!AG165</f>
        <v>101.84100000000002</v>
      </c>
      <c r="AH71" s="942">
        <f>+'Quarterly Financial Model '!AH165</f>
        <v>250.53599999999997</v>
      </c>
      <c r="AI71" s="942">
        <f>+'Quarterly Financial Model '!AI165</f>
        <v>154.184</v>
      </c>
      <c r="AJ71" s="942">
        <f>+'Quarterly Financial Model '!AJ165</f>
        <v>251.31700000000006</v>
      </c>
      <c r="AK71" s="944">
        <f>+'Quarterly Financial Model '!AK165</f>
        <v>757.87799999999982</v>
      </c>
      <c r="AL71" s="942">
        <f>+'Quarterly Financial Model '!AL165</f>
        <v>29.282999999999994</v>
      </c>
      <c r="AM71" s="942">
        <f>+'Quarterly Financial Model '!AM165</f>
        <v>219.20299999999995</v>
      </c>
      <c r="AN71" s="942">
        <f>+'Quarterly Financial Model '!AN165</f>
        <v>181.90900000000002</v>
      </c>
      <c r="AO71" s="942">
        <f>+'Quarterly Financial Model '!AO165</f>
        <v>238.19499999999994</v>
      </c>
      <c r="AP71" s="944">
        <f>+'Quarterly Financial Model '!AP165</f>
        <v>668.5899999999998</v>
      </c>
      <c r="AQ71" s="942">
        <f>+'Quarterly Financial Model '!AQ165</f>
        <v>143.66799999999998</v>
      </c>
      <c r="AR71" s="942">
        <f>+'Quarterly Financial Model '!AR165</f>
        <v>291.24999999999994</v>
      </c>
      <c r="AS71" s="942">
        <f>+'Quarterly Financial Model '!AS165</f>
        <v>92.74800000000009</v>
      </c>
      <c r="AT71" s="942">
        <f>+'Quarterly Financial Model '!AT165</f>
        <v>257.1450000000001</v>
      </c>
      <c r="AU71" s="944">
        <f>+'Quarterly Financial Model '!AU165</f>
        <v>784.81100000000004</v>
      </c>
      <c r="AV71" s="942">
        <f>+'Quarterly Financial Model '!AV165</f>
        <v>83.872437995424264</v>
      </c>
      <c r="AW71" s="942">
        <f>+'Quarterly Financial Model '!AW165</f>
        <v>324.42092564919852</v>
      </c>
      <c r="AX71" s="942">
        <f>+'Quarterly Financial Model '!AX165</f>
        <v>197.1159754097913</v>
      </c>
      <c r="AY71" s="942">
        <f>+'Quarterly Financial Model '!AY165</f>
        <v>350.28565232652568</v>
      </c>
      <c r="AZ71" s="944">
        <f>+'Quarterly Financial Model '!AZ165</f>
        <v>955.69499138093965</v>
      </c>
      <c r="BA71" s="942">
        <f>+'Quarterly Financial Model '!BA165</f>
        <v>400.14579994498649</v>
      </c>
      <c r="BB71" s="942">
        <f>+'Quarterly Financial Model '!BB165</f>
        <v>390.71429521308772</v>
      </c>
      <c r="BC71" s="942">
        <f>+'Quarterly Financial Model '!BC165</f>
        <v>261.05168646550516</v>
      </c>
      <c r="BD71" s="942">
        <f>+'Quarterly Financial Model '!BD165</f>
        <v>406.91907497975126</v>
      </c>
      <c r="BE71" s="944">
        <f>+'Quarterly Financial Model '!BE165</f>
        <v>1458.8308566033309</v>
      </c>
      <c r="BF71" s="942">
        <f>+'Quarterly Financial Model '!BF165</f>
        <v>411.04802382255446</v>
      </c>
      <c r="BG71" s="942">
        <f>+'Quarterly Financial Model '!BG165</f>
        <v>442.77003124030068</v>
      </c>
      <c r="BH71" s="942">
        <f>+'Quarterly Financial Model '!BH165</f>
        <v>302.51363972406932</v>
      </c>
      <c r="BI71" s="942">
        <f>+'Quarterly Financial Model '!BI165</f>
        <v>462.65696086859407</v>
      </c>
      <c r="BJ71" s="944">
        <f>+'Quarterly Financial Model '!BJ165</f>
        <v>1618.9886556555184</v>
      </c>
    </row>
    <row r="72" spans="1:62">
      <c r="A72" s="939"/>
      <c r="B72" s="932"/>
      <c r="C72" s="15"/>
      <c r="D72" s="15"/>
      <c r="E72" s="15"/>
      <c r="F72" s="15"/>
      <c r="G72" s="937"/>
      <c r="H72" s="15"/>
      <c r="I72" s="15"/>
      <c r="J72" s="15"/>
      <c r="K72" s="15"/>
      <c r="L72" s="937"/>
      <c r="M72" s="15"/>
      <c r="N72" s="15"/>
      <c r="O72" s="15"/>
      <c r="P72" s="15"/>
      <c r="Q72" s="937"/>
      <c r="R72" s="15"/>
      <c r="S72" s="15"/>
      <c r="T72" s="15"/>
      <c r="U72" s="15"/>
      <c r="V72" s="937"/>
      <c r="W72" s="15"/>
      <c r="X72" s="15"/>
      <c r="Y72" s="15"/>
      <c r="Z72" s="15"/>
      <c r="AA72" s="937"/>
      <c r="AB72" s="15"/>
      <c r="AC72" s="15"/>
      <c r="AD72" s="15"/>
      <c r="AE72" s="15"/>
      <c r="AF72" s="937"/>
      <c r="AG72" s="15"/>
      <c r="AH72" s="15"/>
      <c r="AI72" s="15"/>
      <c r="AJ72" s="15"/>
      <c r="AK72" s="937"/>
      <c r="AL72" s="15"/>
      <c r="AM72" s="15"/>
      <c r="AN72" s="15"/>
      <c r="AO72" s="15"/>
      <c r="AP72" s="937"/>
      <c r="AQ72" s="15"/>
      <c r="AR72" s="15"/>
      <c r="AS72" s="15"/>
      <c r="AT72" s="15"/>
      <c r="AU72" s="937"/>
      <c r="AV72" s="15"/>
      <c r="AW72" s="15"/>
      <c r="AX72" s="15"/>
      <c r="AY72" s="15"/>
      <c r="AZ72" s="937"/>
      <c r="BA72" s="15"/>
      <c r="BB72" s="15"/>
      <c r="BC72" s="15"/>
      <c r="BD72" s="15"/>
      <c r="BE72" s="937"/>
      <c r="BF72" s="15"/>
      <c r="BG72" s="15"/>
      <c r="BH72" s="15"/>
      <c r="BI72" s="15"/>
      <c r="BJ72" s="937"/>
    </row>
    <row r="73" spans="1:62">
      <c r="A73" s="939"/>
      <c r="B73" s="945" t="s">
        <v>186</v>
      </c>
      <c r="C73" s="15"/>
      <c r="D73" s="15"/>
      <c r="E73" s="15"/>
      <c r="F73" s="15"/>
      <c r="G73" s="937"/>
      <c r="H73" s="15"/>
      <c r="I73" s="15"/>
      <c r="J73" s="15"/>
      <c r="K73" s="15"/>
      <c r="L73" s="937"/>
      <c r="M73" s="15"/>
      <c r="N73" s="15"/>
      <c r="O73" s="15"/>
      <c r="P73" s="15"/>
      <c r="Q73" s="937"/>
      <c r="R73" s="15"/>
      <c r="S73" s="15"/>
      <c r="T73" s="15"/>
      <c r="U73" s="15"/>
      <c r="V73" s="937"/>
      <c r="W73" s="15"/>
      <c r="X73" s="15"/>
      <c r="Y73" s="15"/>
      <c r="Z73" s="15"/>
      <c r="AA73" s="937"/>
      <c r="AB73" s="15"/>
      <c r="AC73" s="15"/>
      <c r="AD73" s="15"/>
      <c r="AE73" s="15"/>
      <c r="AF73" s="937"/>
      <c r="AG73" s="15"/>
      <c r="AH73" s="15"/>
      <c r="AI73" s="15"/>
      <c r="AJ73" s="15"/>
      <c r="AK73" s="937"/>
      <c r="AL73" s="15"/>
      <c r="AM73" s="15"/>
      <c r="AN73" s="15"/>
      <c r="AO73" s="15"/>
      <c r="AP73" s="937"/>
      <c r="AQ73" s="15"/>
      <c r="AR73" s="15"/>
      <c r="AS73" s="15"/>
      <c r="AT73" s="15"/>
      <c r="AU73" s="937"/>
      <c r="AV73" s="15"/>
      <c r="AW73" s="15"/>
      <c r="AX73" s="15"/>
      <c r="AY73" s="15"/>
      <c r="AZ73" s="937"/>
      <c r="BA73" s="15"/>
      <c r="BB73" s="15"/>
      <c r="BC73" s="15"/>
      <c r="BD73" s="15"/>
      <c r="BE73" s="937"/>
      <c r="BF73" s="15"/>
      <c r="BG73" s="15"/>
      <c r="BH73" s="15"/>
      <c r="BI73" s="15"/>
      <c r="BJ73" s="937"/>
    </row>
    <row r="74" spans="1:62">
      <c r="A74" s="939"/>
      <c r="B74" s="932" t="s">
        <v>187</v>
      </c>
      <c r="C74" s="946"/>
      <c r="D74" s="946"/>
      <c r="E74" s="946"/>
      <c r="F74" s="946"/>
      <c r="G74" s="937"/>
      <c r="H74" s="946"/>
      <c r="I74" s="946"/>
      <c r="J74" s="946"/>
      <c r="K74" s="946"/>
      <c r="L74" s="938">
        <f>+'Quarterly Financial Model '!L168</f>
        <v>-33.655000000000001</v>
      </c>
      <c r="M74" s="946">
        <f>+'Quarterly Financial Model '!M168</f>
        <v>-7.915</v>
      </c>
      <c r="N74" s="946">
        <f>+'Quarterly Financial Model '!N168</f>
        <v>-20.653000000000002</v>
      </c>
      <c r="O74" s="946">
        <f>+'Quarterly Financial Model '!O168</f>
        <v>-17.663999999999998</v>
      </c>
      <c r="P74" s="946">
        <f>+'Quarterly Financial Model '!P168</f>
        <v>-16.482000000000003</v>
      </c>
      <c r="Q74" s="833">
        <f>+'Quarterly Financial Model '!Q168</f>
        <v>-62.713999999999999</v>
      </c>
      <c r="R74" s="934">
        <f>+'Quarterly Financial Model '!R168</f>
        <v>-15.614000000000001</v>
      </c>
      <c r="S74" s="934">
        <f>+'Quarterly Financial Model '!S168</f>
        <v>-8.8780000000000001</v>
      </c>
      <c r="T74" s="934">
        <f>+'Quarterly Financial Model '!T168</f>
        <v>-13.752999999999997</v>
      </c>
      <c r="U74" s="934">
        <f>+'Quarterly Financial Model '!U168</f>
        <v>-13.190000000000001</v>
      </c>
      <c r="V74" s="833">
        <f>+'Quarterly Financial Model '!V168</f>
        <v>-51.435000000000002</v>
      </c>
      <c r="W74" s="934">
        <f>+'Quarterly Financial Model '!W168</f>
        <v>-12.342000000000001</v>
      </c>
      <c r="X74" s="934">
        <f>+'Quarterly Financial Model '!X168</f>
        <v>-18.255000000000003</v>
      </c>
      <c r="Y74" s="934">
        <f>+'Quarterly Financial Model '!Y168</f>
        <v>-16.372999999999998</v>
      </c>
      <c r="Z74" s="934">
        <f>+'Quarterly Financial Model '!Z168</f>
        <v>-14.608000000000004</v>
      </c>
      <c r="AA74" s="833">
        <f>+'Quarterly Financial Model '!AA168</f>
        <v>-61.578000000000003</v>
      </c>
      <c r="AB74" s="934">
        <f>+'Quarterly Financial Model '!AB168</f>
        <v>-28.940999999999999</v>
      </c>
      <c r="AC74" s="934">
        <f>+'Quarterly Financial Model '!AC168</f>
        <v>-19.909000000000002</v>
      </c>
      <c r="AD74" s="934">
        <f>+'Quarterly Financial Model '!AD168</f>
        <v>-28.13399999999999</v>
      </c>
      <c r="AE74" s="934">
        <f>+'Quarterly Financial Model '!AE168</f>
        <v>-26.195000000000011</v>
      </c>
      <c r="AF74" s="833">
        <f>+'Quarterly Financial Model '!AF168</f>
        <v>-103.179</v>
      </c>
      <c r="AG74" s="837">
        <f>+'Quarterly Financial Model '!AG168</f>
        <v>-15.669</v>
      </c>
      <c r="AH74" s="838">
        <f>+'Quarterly Financial Model '!AH168</f>
        <v>-26.343999999999998</v>
      </c>
      <c r="AI74" s="838">
        <f>+'Quarterly Financial Model '!AI168</f>
        <v>-22.331</v>
      </c>
      <c r="AJ74" s="839">
        <f>+'Quarterly Financial Model '!AJ168</f>
        <v>-20.38600000000001</v>
      </c>
      <c r="AK74" s="833">
        <f>+'Quarterly Financial Model '!AK168</f>
        <v>-84.73</v>
      </c>
      <c r="AL74" s="837">
        <f>+'Quarterly Financial Model '!AL168</f>
        <v>-27.882999999999999</v>
      </c>
      <c r="AM74" s="838">
        <f>+'Quarterly Financial Model '!AM168</f>
        <v>-35</v>
      </c>
      <c r="AN74" s="838">
        <f>+'Quarterly Financial Model '!AN168</f>
        <v>-30.939000000000004</v>
      </c>
      <c r="AO74" s="839">
        <f>+'Quarterly Financial Model '!AO168</f>
        <v>-24.371999999999996</v>
      </c>
      <c r="AP74" s="833">
        <f>+'Quarterly Financial Model '!AP168</f>
        <v>-118.194</v>
      </c>
      <c r="AQ74" s="837">
        <f>+'Quarterly Financial Model '!AQ168</f>
        <v>-27.870999999999999</v>
      </c>
      <c r="AR74" s="838">
        <f>+'Quarterly Financial Model '!AR168</f>
        <v>-31.030000000000005</v>
      </c>
      <c r="AS74" s="838">
        <f>+'Quarterly Financial Model '!AS168</f>
        <v>-22.981000000000005</v>
      </c>
      <c r="AT74" s="839">
        <f>+'Quarterly Financial Model '!AT168</f>
        <v>-28.922999999999998</v>
      </c>
      <c r="AU74" s="833">
        <f>+'Quarterly Financial Model '!AU168</f>
        <v>-110.80500000000001</v>
      </c>
      <c r="AV74" s="837">
        <f>+'Quarterly Financial Model '!AV168</f>
        <v>-45.880103082040513</v>
      </c>
      <c r="AW74" s="838">
        <f>+'Quarterly Financial Model '!AW168</f>
        <v>-53.572241732521498</v>
      </c>
      <c r="AX74" s="838">
        <f>+'Quarterly Financial Model '!AX168</f>
        <v>-56.082110758387095</v>
      </c>
      <c r="AY74" s="839">
        <f>+'Quarterly Financial Model '!AY168</f>
        <v>-57.803275462896075</v>
      </c>
      <c r="AZ74" s="833">
        <f>+'Quarterly Financial Model '!AZ168</f>
        <v>-213.33773103584517</v>
      </c>
      <c r="BA74" s="837">
        <f>+'Quarterly Financial Model '!BA168</f>
        <v>-54.245476371826001</v>
      </c>
      <c r="BB74" s="838">
        <f>+'Quarterly Financial Model '!BB168</f>
        <v>-58.440737782399069</v>
      </c>
      <c r="BC74" s="838">
        <f>+'Quarterly Financial Model '!BC168</f>
        <v>-61.137722589718948</v>
      </c>
      <c r="BD74" s="839">
        <f>+'Quarterly Financial Model '!BD168</f>
        <v>-63.060950445045464</v>
      </c>
      <c r="BE74" s="833">
        <f>+'Quarterly Financial Model '!BE168</f>
        <v>-236.88488718898947</v>
      </c>
      <c r="BF74" s="837">
        <f>+'Quarterly Financial Model '!BF168</f>
        <v>-59.30834605704942</v>
      </c>
      <c r="BG74" s="838">
        <f>+'Quarterly Financial Model '!BG168</f>
        <v>-63.850000621611741</v>
      </c>
      <c r="BH74" s="838">
        <f>+'Quarterly Financial Model '!BH168</f>
        <v>-66.726328119626217</v>
      </c>
      <c r="BI74" s="839">
        <f>+'Quarterly Financial Model '!BI168</f>
        <v>-68.882024236134939</v>
      </c>
      <c r="BJ74" s="836">
        <f>+'Quarterly Financial Model '!BJ168</f>
        <v>-258.76669903442234</v>
      </c>
    </row>
    <row r="75" spans="1:62">
      <c r="A75" s="939"/>
      <c r="B75" s="932" t="s">
        <v>308</v>
      </c>
      <c r="C75" s="946"/>
      <c r="D75" s="946"/>
      <c r="E75" s="946"/>
      <c r="F75" s="946"/>
      <c r="G75" s="937"/>
      <c r="H75" s="946"/>
      <c r="I75" s="946"/>
      <c r="J75" s="946"/>
      <c r="K75" s="946"/>
      <c r="L75" s="938">
        <f>+'Quarterly Financial Model '!L169</f>
        <v>-0.98499999999999999</v>
      </c>
      <c r="M75" s="946">
        <f>+'Quarterly Financial Model '!M169</f>
        <v>0</v>
      </c>
      <c r="N75" s="946">
        <f>+'Quarterly Financial Model '!N169</f>
        <v>-0.73599999999999999</v>
      </c>
      <c r="O75" s="946">
        <f>+'Quarterly Financial Model '!O169</f>
        <v>-0.49</v>
      </c>
      <c r="P75" s="946">
        <f>+'Quarterly Financial Model '!P169</f>
        <v>-2.6799999999999997</v>
      </c>
      <c r="Q75" s="833">
        <f>+'Quarterly Financial Model '!Q169</f>
        <v>-3.9059999999999997</v>
      </c>
      <c r="R75" s="934">
        <f>+'Quarterly Financial Model '!R169</f>
        <v>0</v>
      </c>
      <c r="S75" s="934">
        <f>+'Quarterly Financial Model '!S169</f>
        <v>-5.4539999999999997</v>
      </c>
      <c r="T75" s="934">
        <f>+'Quarterly Financial Model '!T169</f>
        <v>-5.0759999999999996</v>
      </c>
      <c r="U75" s="934">
        <f>+'Quarterly Financial Model '!U169</f>
        <v>-2.6829999999999998</v>
      </c>
      <c r="V75" s="833">
        <f>+'Quarterly Financial Model '!V169</f>
        <v>-13.212999999999999</v>
      </c>
      <c r="W75" s="934">
        <f>+'Quarterly Financial Model '!W169</f>
        <v>0</v>
      </c>
      <c r="X75" s="934">
        <f>+'Quarterly Financial Model '!X169</f>
        <v>-5.9530000000000003</v>
      </c>
      <c r="Y75" s="934">
        <f>+'Quarterly Financial Model '!Y169</f>
        <v>-0.60199999999999942</v>
      </c>
      <c r="Z75" s="934">
        <f>+'Quarterly Financial Model '!Z169</f>
        <v>-1.3370000000000006</v>
      </c>
      <c r="AA75" s="833">
        <f>+'Quarterly Financial Model '!AA169</f>
        <v>-7.8920000000000003</v>
      </c>
      <c r="AB75" s="934">
        <f>+'Quarterly Financial Model '!AB169</f>
        <v>-17.393999999999998</v>
      </c>
      <c r="AC75" s="934">
        <f>+'Quarterly Financial Model '!AC169</f>
        <v>-9.674000000000003</v>
      </c>
      <c r="AD75" s="934">
        <f>+'Quarterly Financial Model '!AD169</f>
        <v>-0.33099999999999952</v>
      </c>
      <c r="AE75" s="934">
        <f>+'Quarterly Financial Model '!AE169</f>
        <v>-2.1969999999999992</v>
      </c>
      <c r="AF75" s="833">
        <f>+'Quarterly Financial Model '!AF169</f>
        <v>-29.596</v>
      </c>
      <c r="AG75" s="837">
        <f>+'Quarterly Financial Model '!AG169</f>
        <v>-1.425</v>
      </c>
      <c r="AH75" s="838">
        <f>+'Quarterly Financial Model '!AH169</f>
        <v>-35.729000000000006</v>
      </c>
      <c r="AI75" s="838">
        <f>+'Quarterly Financial Model '!AI169</f>
        <v>-2.1579999999999915</v>
      </c>
      <c r="AJ75" s="839">
        <f>+'Quarterly Financial Model '!AJ169</f>
        <v>-2.6850000000000023</v>
      </c>
      <c r="AK75" s="833">
        <f>+'Quarterly Financial Model '!AK169</f>
        <v>-41.997</v>
      </c>
      <c r="AL75" s="837">
        <f>+'Quarterly Financial Model '!AL169</f>
        <v>-7.5999999999999998E-2</v>
      </c>
      <c r="AM75" s="838">
        <f>+'Quarterly Financial Model '!AM169</f>
        <v>-0.80700000000000005</v>
      </c>
      <c r="AN75" s="838">
        <f>+'Quarterly Financial Model '!AN169</f>
        <v>-1.2959999999999998</v>
      </c>
      <c r="AO75" s="839">
        <f>+'Quarterly Financial Model '!AO169</f>
        <v>-21.448</v>
      </c>
      <c r="AP75" s="833">
        <f>+'Quarterly Financial Model '!AP169</f>
        <v>-23.626999999999999</v>
      </c>
      <c r="AQ75" s="837">
        <f>+'Quarterly Financial Model '!AQ169</f>
        <v>-4.3390000000000004</v>
      </c>
      <c r="AR75" s="838">
        <f>+'Quarterly Financial Model '!AR169</f>
        <v>-15.231</v>
      </c>
      <c r="AS75" s="838">
        <f>+'Quarterly Financial Model '!AS169</f>
        <v>-18.594999999999999</v>
      </c>
      <c r="AT75" s="839">
        <f>+'Quarterly Financial Model '!AT169</f>
        <v>-3.6189999999999998</v>
      </c>
      <c r="AU75" s="833">
        <f>+'Quarterly Financial Model '!AU169</f>
        <v>-41.783999999999999</v>
      </c>
      <c r="AV75" s="837">
        <f>+'Quarterly Financial Model '!AV169</f>
        <v>0</v>
      </c>
      <c r="AW75" s="838">
        <f>+'Quarterly Financial Model '!AW169</f>
        <v>0</v>
      </c>
      <c r="AX75" s="838">
        <f>+'Quarterly Financial Model '!AX169</f>
        <v>0</v>
      </c>
      <c r="AY75" s="839">
        <f>+'Quarterly Financial Model '!AY169</f>
        <v>0</v>
      </c>
      <c r="AZ75" s="833">
        <f>+'Quarterly Financial Model '!AZ169</f>
        <v>0</v>
      </c>
      <c r="BA75" s="837">
        <f>+'Quarterly Financial Model '!BA169</f>
        <v>0</v>
      </c>
      <c r="BB75" s="838">
        <f>+'Quarterly Financial Model '!BB169</f>
        <v>0</v>
      </c>
      <c r="BC75" s="838">
        <f>+'Quarterly Financial Model '!BC169</f>
        <v>0</v>
      </c>
      <c r="BD75" s="839">
        <f>+'Quarterly Financial Model '!BD169</f>
        <v>0</v>
      </c>
      <c r="BE75" s="833">
        <f>+'Quarterly Financial Model '!BE169</f>
        <v>0</v>
      </c>
      <c r="BF75" s="837">
        <f>+'Quarterly Financial Model '!BF169</f>
        <v>0</v>
      </c>
      <c r="BG75" s="838">
        <f>+'Quarterly Financial Model '!BG169</f>
        <v>0</v>
      </c>
      <c r="BH75" s="838">
        <f>+'Quarterly Financial Model '!BH169</f>
        <v>0</v>
      </c>
      <c r="BI75" s="839">
        <f>+'Quarterly Financial Model '!BI169</f>
        <v>0</v>
      </c>
      <c r="BJ75" s="836">
        <f>+'Quarterly Financial Model '!BJ169</f>
        <v>0</v>
      </c>
    </row>
    <row r="76" spans="1:62">
      <c r="A76" s="939"/>
      <c r="B76" s="932" t="s">
        <v>189</v>
      </c>
      <c r="C76" s="946"/>
      <c r="D76" s="946"/>
      <c r="E76" s="946"/>
      <c r="F76" s="946"/>
      <c r="G76" s="937"/>
      <c r="H76" s="946"/>
      <c r="I76" s="946"/>
      <c r="J76" s="946"/>
      <c r="K76" s="946"/>
      <c r="L76" s="938">
        <f>+'Quarterly Financial Model '!L170</f>
        <v>0</v>
      </c>
      <c r="M76" s="946">
        <f>+'Quarterly Financial Model '!M170</f>
        <v>-3.3</v>
      </c>
      <c r="N76" s="946">
        <f>+'Quarterly Financial Model '!N170</f>
        <v>0</v>
      </c>
      <c r="O76" s="946">
        <f>+'Quarterly Financial Model '!O170</f>
        <v>0</v>
      </c>
      <c r="P76" s="946">
        <f>+'Quarterly Financial Model '!P170</f>
        <v>0</v>
      </c>
      <c r="Q76" s="833">
        <f>+'Quarterly Financial Model '!Q170</f>
        <v>-3.3</v>
      </c>
      <c r="R76" s="934">
        <f>+'Quarterly Financial Model '!R170</f>
        <v>0</v>
      </c>
      <c r="S76" s="934">
        <f>+'Quarterly Financial Model '!S170</f>
        <v>0</v>
      </c>
      <c r="T76" s="934">
        <f>+'Quarterly Financial Model '!T170</f>
        <v>0</v>
      </c>
      <c r="U76" s="934">
        <f>+'Quarterly Financial Model '!U170</f>
        <v>-0.313</v>
      </c>
      <c r="V76" s="833">
        <f>+'Quarterly Financial Model '!V170</f>
        <v>-0.313</v>
      </c>
      <c r="W76" s="934">
        <f>+'Quarterly Financial Model '!W170</f>
        <v>-0.124</v>
      </c>
      <c r="X76" s="934">
        <f>+'Quarterly Financial Model '!X170</f>
        <v>-1.5529999999999999</v>
      </c>
      <c r="Y76" s="934">
        <f>+'Quarterly Financial Model '!Y170</f>
        <v>-1.4969999999999999</v>
      </c>
      <c r="Z76" s="934">
        <f>+'Quarterly Financial Model '!Z170</f>
        <v>0</v>
      </c>
      <c r="AA76" s="833">
        <f>+'Quarterly Financial Model '!AA170</f>
        <v>-3.1739999999999999</v>
      </c>
      <c r="AB76" s="934">
        <f>+'Quarterly Financial Model '!AB170</f>
        <v>0</v>
      </c>
      <c r="AC76" s="934">
        <f>+'Quarterly Financial Model '!AC170</f>
        <v>-7.4870000000000001</v>
      </c>
      <c r="AD76" s="934">
        <f>+'Quarterly Financial Model '!AD170</f>
        <v>0</v>
      </c>
      <c r="AE76" s="934">
        <f>+'Quarterly Financial Model '!AE170</f>
        <v>0</v>
      </c>
      <c r="AF76" s="833">
        <f>+'Quarterly Financial Model '!AF170</f>
        <v>-7.4870000000000001</v>
      </c>
      <c r="AG76" s="837">
        <f>+'Quarterly Financial Model '!AG170</f>
        <v>0</v>
      </c>
      <c r="AH76" s="838">
        <f>+'Quarterly Financial Model '!AH170</f>
        <v>0</v>
      </c>
      <c r="AI76" s="838">
        <f>+'Quarterly Financial Model '!AI170</f>
        <v>0</v>
      </c>
      <c r="AJ76" s="839">
        <f>+'Quarterly Financial Model '!AJ170</f>
        <v>0</v>
      </c>
      <c r="AK76" s="833">
        <f>+'Quarterly Financial Model '!AK170</f>
        <v>0</v>
      </c>
      <c r="AL76" s="837">
        <f>+'Quarterly Financial Model '!AL170</f>
        <v>-21.523</v>
      </c>
      <c r="AM76" s="838">
        <f>+'Quarterly Financial Model '!AM170</f>
        <v>0</v>
      </c>
      <c r="AN76" s="838">
        <f>+'Quarterly Financial Model '!AN170</f>
        <v>0</v>
      </c>
      <c r="AO76" s="839">
        <f>+'Quarterly Financial Model '!AO170</f>
        <v>0</v>
      </c>
      <c r="AP76" s="833">
        <f>+'Quarterly Financial Model '!AP170</f>
        <v>-21.523</v>
      </c>
      <c r="AQ76" s="837">
        <f>+'Quarterly Financial Model '!AQ170</f>
        <v>0</v>
      </c>
      <c r="AR76" s="838">
        <f>+'Quarterly Financial Model '!AR170</f>
        <v>0</v>
      </c>
      <c r="AS76" s="838">
        <f>+'Quarterly Financial Model '!AS170</f>
        <v>0</v>
      </c>
      <c r="AT76" s="839">
        <f>+'Quarterly Financial Model '!AT170</f>
        <v>0</v>
      </c>
      <c r="AU76" s="833">
        <f>+'Quarterly Financial Model '!AU170</f>
        <v>0</v>
      </c>
      <c r="AV76" s="837">
        <f>+'Quarterly Financial Model '!AV170</f>
        <v>0</v>
      </c>
      <c r="AW76" s="838">
        <f>+'Quarterly Financial Model '!AW170</f>
        <v>0</v>
      </c>
      <c r="AX76" s="838">
        <f>+'Quarterly Financial Model '!AX170</f>
        <v>0</v>
      </c>
      <c r="AY76" s="839">
        <f>+'Quarterly Financial Model '!AY170</f>
        <v>0</v>
      </c>
      <c r="AZ76" s="833">
        <f>+'Quarterly Financial Model '!AZ170</f>
        <v>0</v>
      </c>
      <c r="BA76" s="837">
        <f>+'Quarterly Financial Model '!BA170</f>
        <v>0</v>
      </c>
      <c r="BB76" s="838">
        <f>+'Quarterly Financial Model '!BB170</f>
        <v>0</v>
      </c>
      <c r="BC76" s="838">
        <f>+'Quarterly Financial Model '!BC170</f>
        <v>0</v>
      </c>
      <c r="BD76" s="839">
        <f>+'Quarterly Financial Model '!BD170</f>
        <v>0</v>
      </c>
      <c r="BE76" s="833">
        <f>+'Quarterly Financial Model '!BE170</f>
        <v>0</v>
      </c>
      <c r="BF76" s="837">
        <f>+'Quarterly Financial Model '!BF170</f>
        <v>0</v>
      </c>
      <c r="BG76" s="838">
        <f>+'Quarterly Financial Model '!BG170</f>
        <v>0</v>
      </c>
      <c r="BH76" s="838">
        <f>+'Quarterly Financial Model '!BH170</f>
        <v>0</v>
      </c>
      <c r="BI76" s="839">
        <f>+'Quarterly Financial Model '!BI170</f>
        <v>0</v>
      </c>
      <c r="BJ76" s="836">
        <f>+'Quarterly Financial Model '!BJ170</f>
        <v>0</v>
      </c>
    </row>
    <row r="77" spans="1:62">
      <c r="A77" s="939"/>
      <c r="B77" s="932" t="s">
        <v>190</v>
      </c>
      <c r="C77" s="946"/>
      <c r="D77" s="946"/>
      <c r="E77" s="946"/>
      <c r="F77" s="946"/>
      <c r="G77" s="937"/>
      <c r="H77" s="946"/>
      <c r="I77" s="946"/>
      <c r="J77" s="946"/>
      <c r="K77" s="946"/>
      <c r="L77" s="938">
        <f>+'Quarterly Financial Model '!L171</f>
        <v>0</v>
      </c>
      <c r="M77" s="946">
        <f>+'Quarterly Financial Model '!M171</f>
        <v>-0.51200000000000001</v>
      </c>
      <c r="N77" s="946">
        <f>+'Quarterly Financial Model '!N171</f>
        <v>0.51200000000000001</v>
      </c>
      <c r="O77" s="946">
        <f>+'Quarterly Financial Model '!O171</f>
        <v>0</v>
      </c>
      <c r="P77" s="946">
        <f>+'Quarterly Financial Model '!P171</f>
        <v>0</v>
      </c>
      <c r="Q77" s="833">
        <f>+'Quarterly Financial Model '!Q171</f>
        <v>0</v>
      </c>
      <c r="R77" s="934">
        <f>+'Quarterly Financial Model '!R171</f>
        <v>-2.8290000000000002</v>
      </c>
      <c r="S77" s="934">
        <f>+'Quarterly Financial Model '!S171</f>
        <v>2.8290000000000002</v>
      </c>
      <c r="T77" s="934">
        <f>+'Quarterly Financial Model '!T171</f>
        <v>0</v>
      </c>
      <c r="U77" s="934">
        <f>+'Quarterly Financial Model '!U171</f>
        <v>0</v>
      </c>
      <c r="V77" s="833">
        <f>+'Quarterly Financial Model '!V171</f>
        <v>0</v>
      </c>
      <c r="W77" s="934">
        <f>+'Quarterly Financial Model '!W171</f>
        <v>-3.2000000000000001E-2</v>
      </c>
      <c r="X77" s="934">
        <f>+'Quarterly Financial Model '!X171</f>
        <v>3.2000000000000001E-2</v>
      </c>
      <c r="Y77" s="934">
        <f>+'Quarterly Financial Model '!Y171</f>
        <v>0</v>
      </c>
      <c r="Z77" s="934">
        <f>+'Quarterly Financial Model '!Z171</f>
        <v>0</v>
      </c>
      <c r="AA77" s="833">
        <f>+'Quarterly Financial Model '!AA171</f>
        <v>0</v>
      </c>
      <c r="AB77" s="934">
        <f>+'Quarterly Financial Model '!AB171</f>
        <v>0</v>
      </c>
      <c r="AC77" s="934">
        <f>+'Quarterly Financial Model '!AC171</f>
        <v>0</v>
      </c>
      <c r="AD77" s="934">
        <f>+'Quarterly Financial Model '!AD171</f>
        <v>0</v>
      </c>
      <c r="AE77" s="934">
        <f>+'Quarterly Financial Model '!AE171</f>
        <v>0</v>
      </c>
      <c r="AF77" s="833">
        <f>+'Quarterly Financial Model '!AF171</f>
        <v>0</v>
      </c>
      <c r="AG77" s="837">
        <f>+'Quarterly Financial Model '!AG171</f>
        <v>0</v>
      </c>
      <c r="AH77" s="838">
        <f>+'Quarterly Financial Model '!AH171</f>
        <v>0</v>
      </c>
      <c r="AI77" s="838">
        <f>+'Quarterly Financial Model '!AI171</f>
        <v>0</v>
      </c>
      <c r="AJ77" s="839">
        <f>+'Quarterly Financial Model '!AJ171</f>
        <v>0</v>
      </c>
      <c r="AK77" s="833">
        <f>+'Quarterly Financial Model '!AK171</f>
        <v>0</v>
      </c>
      <c r="AL77" s="837">
        <f>+'Quarterly Financial Model '!AL171</f>
        <v>0</v>
      </c>
      <c r="AM77" s="838">
        <f>+'Quarterly Financial Model '!AM171</f>
        <v>0</v>
      </c>
      <c r="AN77" s="838">
        <f>+'Quarterly Financial Model '!AN171</f>
        <v>0</v>
      </c>
      <c r="AO77" s="839">
        <f>+'Quarterly Financial Model '!AO171</f>
        <v>0</v>
      </c>
      <c r="AP77" s="833">
        <f>+'Quarterly Financial Model '!AP171</f>
        <v>0</v>
      </c>
      <c r="AQ77" s="837">
        <f>+'Quarterly Financial Model '!AQ171</f>
        <v>0</v>
      </c>
      <c r="AR77" s="838">
        <f>+'Quarterly Financial Model '!AR171</f>
        <v>0</v>
      </c>
      <c r="AS77" s="838">
        <f>+'Quarterly Financial Model '!AS171</f>
        <v>0</v>
      </c>
      <c r="AT77" s="839">
        <f>+'Quarterly Financial Model '!AT171</f>
        <v>0</v>
      </c>
      <c r="AU77" s="833">
        <f>+'Quarterly Financial Model '!AU171</f>
        <v>0</v>
      </c>
      <c r="AV77" s="837">
        <f>+'Quarterly Financial Model '!AV171</f>
        <v>0</v>
      </c>
      <c r="AW77" s="838">
        <f>+'Quarterly Financial Model '!AW171</f>
        <v>0</v>
      </c>
      <c r="AX77" s="838">
        <f>+'Quarterly Financial Model '!AX171</f>
        <v>0</v>
      </c>
      <c r="AY77" s="839">
        <f>+'Quarterly Financial Model '!AY171</f>
        <v>0</v>
      </c>
      <c r="AZ77" s="833">
        <f>+'Quarterly Financial Model '!AZ171</f>
        <v>0</v>
      </c>
      <c r="BA77" s="837">
        <f>+'Quarterly Financial Model '!BA171</f>
        <v>0</v>
      </c>
      <c r="BB77" s="838">
        <f>+'Quarterly Financial Model '!BB171</f>
        <v>0</v>
      </c>
      <c r="BC77" s="838">
        <f>+'Quarterly Financial Model '!BC171</f>
        <v>0</v>
      </c>
      <c r="BD77" s="839">
        <f>+'Quarterly Financial Model '!BD171</f>
        <v>0</v>
      </c>
      <c r="BE77" s="833">
        <f>+'Quarterly Financial Model '!BE171</f>
        <v>0</v>
      </c>
      <c r="BF77" s="837">
        <f>+'Quarterly Financial Model '!BF171</f>
        <v>0</v>
      </c>
      <c r="BG77" s="838">
        <f>+'Quarterly Financial Model '!BG171</f>
        <v>0</v>
      </c>
      <c r="BH77" s="838">
        <f>+'Quarterly Financial Model '!BH171</f>
        <v>0</v>
      </c>
      <c r="BI77" s="839">
        <f>+'Quarterly Financial Model '!BI171</f>
        <v>0</v>
      </c>
      <c r="BJ77" s="836">
        <f>+'Quarterly Financial Model '!BJ171</f>
        <v>0</v>
      </c>
    </row>
    <row r="78" spans="1:62">
      <c r="A78" s="939"/>
      <c r="B78" s="932" t="s">
        <v>191</v>
      </c>
      <c r="C78" s="946"/>
      <c r="D78" s="946"/>
      <c r="E78" s="946"/>
      <c r="F78" s="946"/>
      <c r="G78" s="937"/>
      <c r="H78" s="946"/>
      <c r="I78" s="946"/>
      <c r="J78" s="946"/>
      <c r="K78" s="946"/>
      <c r="L78" s="938">
        <f>+'Quarterly Financial Model '!L172</f>
        <v>-662.51099999999997</v>
      </c>
      <c r="M78" s="946">
        <f>+'Quarterly Financial Model '!M172</f>
        <v>0</v>
      </c>
      <c r="N78" s="946">
        <f>+'Quarterly Financial Model '!N172</f>
        <v>0</v>
      </c>
      <c r="O78" s="946">
        <f>+'Quarterly Financial Model '!O172</f>
        <v>0</v>
      </c>
      <c r="P78" s="946">
        <f>+'Quarterly Financial Model '!P172</f>
        <v>0</v>
      </c>
      <c r="Q78" s="833">
        <f>+'Quarterly Financial Model '!Q172</f>
        <v>0</v>
      </c>
      <c r="R78" s="934">
        <f>+'Quarterly Financial Model '!R172</f>
        <v>0</v>
      </c>
      <c r="S78" s="934">
        <f>+'Quarterly Financial Model '!S172</f>
        <v>0</v>
      </c>
      <c r="T78" s="934">
        <f>+'Quarterly Financial Model '!T172</f>
        <v>0</v>
      </c>
      <c r="U78" s="934">
        <f>+'Quarterly Financial Model '!U172</f>
        <v>-352.33</v>
      </c>
      <c r="V78" s="833">
        <f>+'Quarterly Financial Model '!V172</f>
        <v>-352.33</v>
      </c>
      <c r="W78" s="934">
        <f>+'Quarterly Financial Model '!W172</f>
        <v>0</v>
      </c>
      <c r="X78" s="934">
        <f>+'Quarterly Financial Model '!X172</f>
        <v>0</v>
      </c>
      <c r="Y78" s="934">
        <f>+'Quarterly Financial Model '!Y172</f>
        <v>-155.654</v>
      </c>
      <c r="Z78" s="934">
        <f>+'Quarterly Financial Model '!Z172</f>
        <v>0</v>
      </c>
      <c r="AA78" s="833">
        <f>+'Quarterly Financial Model '!AA172</f>
        <v>-155.654</v>
      </c>
      <c r="AB78" s="934">
        <f>+'Quarterly Financial Model '!AB172</f>
        <v>0</v>
      </c>
      <c r="AC78" s="934">
        <f>+'Quarterly Financial Model '!AC172</f>
        <v>-1658.694</v>
      </c>
      <c r="AD78" s="934">
        <f>+'Quarterly Financial Model '!AD172</f>
        <v>0</v>
      </c>
      <c r="AE78" s="934">
        <f>+'Quarterly Financial Model '!AE172</f>
        <v>0</v>
      </c>
      <c r="AF78" s="833">
        <f>+'Quarterly Financial Model '!AF172</f>
        <v>-1658.694</v>
      </c>
      <c r="AG78" s="837">
        <f>+'Quarterly Financial Model '!AG172</f>
        <v>0</v>
      </c>
      <c r="AH78" s="838">
        <f>+'Quarterly Financial Model '!AH172</f>
        <v>0</v>
      </c>
      <c r="AI78" s="838">
        <f>+'Quarterly Financial Model '!AI172</f>
        <v>0</v>
      </c>
      <c r="AJ78" s="839">
        <f>+'Quarterly Financial Model '!AJ172</f>
        <v>0</v>
      </c>
      <c r="AK78" s="833">
        <f>+'Quarterly Financial Model '!AK172</f>
        <v>0</v>
      </c>
      <c r="AL78" s="837">
        <f>+'Quarterly Financial Model '!AL172</f>
        <v>0</v>
      </c>
      <c r="AM78" s="838">
        <f>+'Quarterly Financial Model '!AM172</f>
        <v>0</v>
      </c>
      <c r="AN78" s="838">
        <f>+'Quarterly Financial Model '!AN172</f>
        <v>0</v>
      </c>
      <c r="AO78" s="839">
        <f>+'Quarterly Financial Model '!AO172</f>
        <v>-406.77699999999999</v>
      </c>
      <c r="AP78" s="833">
        <f>+'Quarterly Financial Model '!AP172</f>
        <v>-406.77699999999999</v>
      </c>
      <c r="AQ78" s="837">
        <f>+'Quarterly Financial Model '!AQ172</f>
        <v>0</v>
      </c>
      <c r="AR78" s="838">
        <f>+'Quarterly Financial Model '!AR172</f>
        <v>-531.53399999999999</v>
      </c>
      <c r="AS78" s="838">
        <f>+'Quarterly Financial Model '!AS172</f>
        <v>0</v>
      </c>
      <c r="AT78" s="839">
        <f>+'Quarterly Financial Model '!AT172</f>
        <v>-1145.7</v>
      </c>
      <c r="AU78" s="833">
        <f>+'Quarterly Financial Model '!AU172</f>
        <v>-1677.2339999999999</v>
      </c>
      <c r="AV78" s="837">
        <f>+'Quarterly Financial Model '!AV172</f>
        <v>-3361</v>
      </c>
      <c r="AW78" s="838">
        <f>+'Quarterly Financial Model '!AW172</f>
        <v>0</v>
      </c>
      <c r="AX78" s="838">
        <f>+'Quarterly Financial Model '!AX172</f>
        <v>0</v>
      </c>
      <c r="AY78" s="839">
        <f>+'Quarterly Financial Model '!AY172</f>
        <v>0</v>
      </c>
      <c r="AZ78" s="833">
        <f>+'Quarterly Financial Model '!AZ172</f>
        <v>-3361</v>
      </c>
      <c r="BA78" s="837">
        <f>+'Quarterly Financial Model '!BA172</f>
        <v>0</v>
      </c>
      <c r="BB78" s="838">
        <f>+'Quarterly Financial Model '!BB172</f>
        <v>0</v>
      </c>
      <c r="BC78" s="838">
        <f>+'Quarterly Financial Model '!BC172</f>
        <v>0</v>
      </c>
      <c r="BD78" s="839">
        <f>+'Quarterly Financial Model '!BD172</f>
        <v>0</v>
      </c>
      <c r="BE78" s="833">
        <f>+'Quarterly Financial Model '!BE172</f>
        <v>0</v>
      </c>
      <c r="BF78" s="837">
        <f>+'Quarterly Financial Model '!BF172</f>
        <v>0</v>
      </c>
      <c r="BG78" s="838">
        <f>+'Quarterly Financial Model '!BG172</f>
        <v>0</v>
      </c>
      <c r="BH78" s="838">
        <f>+'Quarterly Financial Model '!BH172</f>
        <v>0</v>
      </c>
      <c r="BI78" s="839">
        <f>+'Quarterly Financial Model '!BI172</f>
        <v>0</v>
      </c>
      <c r="BJ78" s="1281">
        <f>+'Quarterly Financial Model '!BJ172</f>
        <v>0</v>
      </c>
    </row>
    <row r="79" spans="1:62">
      <c r="A79" s="939"/>
      <c r="B79" s="941" t="s">
        <v>192</v>
      </c>
      <c r="C79" s="947"/>
      <c r="D79" s="947"/>
      <c r="E79" s="947"/>
      <c r="F79" s="947"/>
      <c r="G79" s="943"/>
      <c r="H79" s="947"/>
      <c r="I79" s="947"/>
      <c r="J79" s="947"/>
      <c r="K79" s="947"/>
      <c r="L79" s="944">
        <f>+'Quarterly Financial Model '!L173</f>
        <v>-697.15099999999995</v>
      </c>
      <c r="M79" s="947">
        <f>+'Quarterly Financial Model '!M173</f>
        <v>-11.727</v>
      </c>
      <c r="N79" s="947">
        <f>+'Quarterly Financial Model '!N173</f>
        <v>-20.877000000000002</v>
      </c>
      <c r="O79" s="947">
        <f>+'Quarterly Financial Model '!O173</f>
        <v>-18.153999999999996</v>
      </c>
      <c r="P79" s="947">
        <f>+'Quarterly Financial Model '!P173</f>
        <v>-19.162000000000003</v>
      </c>
      <c r="Q79" s="944">
        <f>+'Quarterly Financial Model '!Q173</f>
        <v>-69.92</v>
      </c>
      <c r="R79" s="947">
        <f>+'Quarterly Financial Model '!R173</f>
        <v>-18.443000000000001</v>
      </c>
      <c r="S79" s="947">
        <f>+'Quarterly Financial Model '!S173</f>
        <v>-11.503</v>
      </c>
      <c r="T79" s="947">
        <f>+'Quarterly Financial Model '!T173</f>
        <v>-18.828999999999997</v>
      </c>
      <c r="U79" s="947">
        <f>+'Quarterly Financial Model '!U173</f>
        <v>-368.51599999999996</v>
      </c>
      <c r="V79" s="944">
        <f>+'Quarterly Financial Model '!V173</f>
        <v>-417.291</v>
      </c>
      <c r="W79" s="947">
        <f>+'Quarterly Financial Model '!W173</f>
        <v>-12.498000000000001</v>
      </c>
      <c r="X79" s="947">
        <f>+'Quarterly Financial Model '!X173</f>
        <v>-25.729000000000003</v>
      </c>
      <c r="Y79" s="947">
        <f>+'Quarterly Financial Model '!Y173</f>
        <v>-174.126</v>
      </c>
      <c r="Z79" s="947">
        <f>+'Quarterly Financial Model '!Z173</f>
        <v>-15.945000000000004</v>
      </c>
      <c r="AA79" s="944">
        <f>+'Quarterly Financial Model '!AA173</f>
        <v>-228.298</v>
      </c>
      <c r="AB79" s="947">
        <f>+'Quarterly Financial Model '!AB173</f>
        <v>-46.334999999999994</v>
      </c>
      <c r="AC79" s="947">
        <f>+'Quarterly Financial Model '!AC173</f>
        <v>-1695.7639999999999</v>
      </c>
      <c r="AD79" s="947">
        <f>+'Quarterly Financial Model '!AD173</f>
        <v>-28.464999999999989</v>
      </c>
      <c r="AE79" s="947">
        <f>+'Quarterly Financial Model '!AE173</f>
        <v>-28.39200000000001</v>
      </c>
      <c r="AF79" s="944">
        <f>+'Quarterly Financial Model '!AF173</f>
        <v>-1798.9559999999999</v>
      </c>
      <c r="AG79" s="947">
        <f>+'Quarterly Financial Model '!AG173</f>
        <v>-17.094000000000001</v>
      </c>
      <c r="AH79" s="947">
        <f>+'Quarterly Financial Model '!AH173</f>
        <v>-62.073000000000008</v>
      </c>
      <c r="AI79" s="947">
        <f>+'Quarterly Financial Model '!AI173</f>
        <v>-24.48899999999999</v>
      </c>
      <c r="AJ79" s="947">
        <f>+'Quarterly Financial Model '!AJ173</f>
        <v>-23.071000000000012</v>
      </c>
      <c r="AK79" s="944">
        <f>+'Quarterly Financial Model '!AK173</f>
        <v>-126.727</v>
      </c>
      <c r="AL79" s="947">
        <f>+'Quarterly Financial Model '!AL173</f>
        <v>-49.481999999999999</v>
      </c>
      <c r="AM79" s="947">
        <f>+'Quarterly Financial Model '!AM173</f>
        <v>-35.807000000000002</v>
      </c>
      <c r="AN79" s="947">
        <f>+'Quarterly Financial Model '!AN173</f>
        <v>-32.235000000000007</v>
      </c>
      <c r="AO79" s="947">
        <f>+'Quarterly Financial Model '!AO173</f>
        <v>-452.59699999999998</v>
      </c>
      <c r="AP79" s="944">
        <f>+'Quarterly Financial Model '!AP173</f>
        <v>-570.12099999999998</v>
      </c>
      <c r="AQ79" s="947">
        <f>+'Quarterly Financial Model '!AQ173</f>
        <v>-32.21</v>
      </c>
      <c r="AR79" s="947">
        <f>+'Quarterly Financial Model '!AR173</f>
        <v>-577.79499999999996</v>
      </c>
      <c r="AS79" s="947">
        <f>+'Quarterly Financial Model '!AS173</f>
        <v>-41.576000000000008</v>
      </c>
      <c r="AT79" s="947">
        <f>+'Quarterly Financial Model '!AT173</f>
        <v>-1178.242</v>
      </c>
      <c r="AU79" s="944">
        <f>+'Quarterly Financial Model '!AU173</f>
        <v>-1829.8229999999999</v>
      </c>
      <c r="AV79" s="944">
        <f>+'Quarterly Financial Model '!AV173</f>
        <v>-3406.8801030820405</v>
      </c>
      <c r="AW79" s="947">
        <f>+'Quarterly Financial Model '!AW173</f>
        <v>-53.572241732521498</v>
      </c>
      <c r="AX79" s="947">
        <f>+'Quarterly Financial Model '!AX173</f>
        <v>-56.082110758387095</v>
      </c>
      <c r="AY79" s="947">
        <f>+'Quarterly Financial Model '!AY173</f>
        <v>-57.803275462896075</v>
      </c>
      <c r="AZ79" s="944">
        <f>+'Quarterly Financial Model '!AZ173</f>
        <v>-3574.3377310358451</v>
      </c>
      <c r="BA79" s="947">
        <f>+'Quarterly Financial Model '!BA173</f>
        <v>-54.245476371826001</v>
      </c>
      <c r="BB79" s="947">
        <f>+'Quarterly Financial Model '!BB173</f>
        <v>-58.440737782399069</v>
      </c>
      <c r="BC79" s="947">
        <f>+'Quarterly Financial Model '!BC173</f>
        <v>-61.137722589718948</v>
      </c>
      <c r="BD79" s="947">
        <f>+'Quarterly Financial Model '!BD173</f>
        <v>-63.060950445045464</v>
      </c>
      <c r="BE79" s="944">
        <f>+'Quarterly Financial Model '!BE173</f>
        <v>-236.88488718898947</v>
      </c>
      <c r="BF79" s="947">
        <f>+'Quarterly Financial Model '!BF173</f>
        <v>-59.30834605704942</v>
      </c>
      <c r="BG79" s="947">
        <f>+'Quarterly Financial Model '!BG173</f>
        <v>-63.850000621611741</v>
      </c>
      <c r="BH79" s="947">
        <f>+'Quarterly Financial Model '!BH173</f>
        <v>-66.726328119626217</v>
      </c>
      <c r="BI79" s="947">
        <f>+'Quarterly Financial Model '!BI173</f>
        <v>-68.882024236134939</v>
      </c>
      <c r="BJ79" s="944">
        <f>+'Quarterly Financial Model '!BJ173</f>
        <v>-258.76669903442234</v>
      </c>
    </row>
    <row r="80" spans="1:62">
      <c r="A80" s="939"/>
      <c r="B80" s="948"/>
      <c r="C80" s="838"/>
      <c r="D80" s="838"/>
      <c r="E80" s="838"/>
      <c r="F80" s="838"/>
      <c r="G80" s="937"/>
      <c r="H80" s="838"/>
      <c r="I80" s="838"/>
      <c r="J80" s="838"/>
      <c r="K80" s="838"/>
      <c r="L80" s="937"/>
      <c r="M80" s="838"/>
      <c r="N80" s="838"/>
      <c r="O80" s="838"/>
      <c r="P80" s="838"/>
      <c r="Q80" s="1282"/>
      <c r="R80" s="838"/>
      <c r="S80" s="838"/>
      <c r="T80" s="838"/>
      <c r="U80" s="838"/>
      <c r="V80" s="1282"/>
      <c r="W80" s="838"/>
      <c r="X80" s="838"/>
      <c r="Y80" s="838"/>
      <c r="Z80" s="838"/>
      <c r="AA80" s="1282"/>
      <c r="AB80" s="838"/>
      <c r="AC80" s="838"/>
      <c r="AD80" s="838"/>
      <c r="AE80" s="838"/>
      <c r="AF80" s="1282"/>
      <c r="AG80" s="838"/>
      <c r="AH80" s="838"/>
      <c r="AI80" s="838"/>
      <c r="AJ80" s="838"/>
      <c r="AK80" s="1282"/>
      <c r="AL80" s="838"/>
      <c r="AM80" s="838"/>
      <c r="AN80" s="838"/>
      <c r="AO80" s="838"/>
      <c r="AP80" s="1282"/>
      <c r="AQ80" s="838"/>
      <c r="AR80" s="838"/>
      <c r="AS80" s="838"/>
      <c r="AT80" s="838"/>
      <c r="AU80" s="1282"/>
      <c r="AV80" s="838"/>
      <c r="AW80" s="838"/>
      <c r="AX80" s="838"/>
      <c r="AY80" s="838"/>
      <c r="AZ80" s="1283"/>
      <c r="BA80" s="838"/>
      <c r="BB80" s="838"/>
      <c r="BC80" s="838"/>
      <c r="BD80" s="838"/>
      <c r="BE80" s="1283"/>
      <c r="BF80" s="838"/>
      <c r="BG80" s="838"/>
      <c r="BH80" s="838"/>
      <c r="BI80" s="838"/>
      <c r="BJ80" s="1283"/>
    </row>
    <row r="81" spans="1:62">
      <c r="A81" s="939"/>
      <c r="B81" s="945" t="s">
        <v>193</v>
      </c>
      <c r="C81" s="838"/>
      <c r="D81" s="838"/>
      <c r="E81" s="838"/>
      <c r="F81" s="838"/>
      <c r="G81" s="937"/>
      <c r="H81" s="838"/>
      <c r="I81" s="838"/>
      <c r="J81" s="838"/>
      <c r="K81" s="838"/>
      <c r="L81" s="937"/>
      <c r="M81" s="838"/>
      <c r="N81" s="838"/>
      <c r="O81" s="838"/>
      <c r="P81" s="838"/>
      <c r="Q81" s="835"/>
      <c r="R81" s="838"/>
      <c r="S81" s="838"/>
      <c r="T81" s="838"/>
      <c r="U81" s="838"/>
      <c r="V81" s="835"/>
      <c r="W81" s="838"/>
      <c r="X81" s="838"/>
      <c r="Y81" s="838"/>
      <c r="Z81" s="838"/>
      <c r="AA81" s="835"/>
      <c r="AB81" s="838"/>
      <c r="AC81" s="838"/>
      <c r="AD81" s="838"/>
      <c r="AE81" s="838"/>
      <c r="AF81" s="835"/>
      <c r="AG81" s="838"/>
      <c r="AH81" s="838"/>
      <c r="AI81" s="838"/>
      <c r="AJ81" s="838"/>
      <c r="AK81" s="835"/>
      <c r="AL81" s="838"/>
      <c r="AM81" s="838"/>
      <c r="AN81" s="838"/>
      <c r="AO81" s="838"/>
      <c r="AP81" s="835"/>
      <c r="AQ81" s="838"/>
      <c r="AR81" s="838"/>
      <c r="AS81" s="838"/>
      <c r="AT81" s="838"/>
      <c r="AU81" s="835"/>
      <c r="AV81" s="838"/>
      <c r="AW81" s="838"/>
      <c r="AX81" s="838"/>
      <c r="AY81" s="838"/>
      <c r="AZ81" s="836"/>
      <c r="BA81" s="838"/>
      <c r="BB81" s="838"/>
      <c r="BC81" s="838"/>
      <c r="BD81" s="838"/>
      <c r="BE81" s="836"/>
      <c r="BF81" s="838"/>
      <c r="BG81" s="838"/>
      <c r="BH81" s="838"/>
      <c r="BI81" s="838"/>
      <c r="BJ81" s="836"/>
    </row>
    <row r="82" spans="1:62">
      <c r="A82" s="939"/>
      <c r="B82" s="949" t="s">
        <v>194</v>
      </c>
      <c r="C82" s="838"/>
      <c r="D82" s="838"/>
      <c r="E82" s="838"/>
      <c r="F82" s="838"/>
      <c r="G82" s="937"/>
      <c r="H82" s="838"/>
      <c r="I82" s="838"/>
      <c r="J82" s="838"/>
      <c r="K82" s="838"/>
      <c r="L82" s="938">
        <f>+'Quarterly Financial Model '!L176</f>
        <v>0</v>
      </c>
      <c r="M82" s="838">
        <f>+'Quarterly Financial Model '!M176</f>
        <v>0</v>
      </c>
      <c r="N82" s="838">
        <f>+'Quarterly Financial Model '!N176</f>
        <v>0</v>
      </c>
      <c r="O82" s="838">
        <f>+'Quarterly Financial Model '!O176</f>
        <v>0</v>
      </c>
      <c r="P82" s="838">
        <f>+'Quarterly Financial Model '!P176</f>
        <v>0</v>
      </c>
      <c r="Q82" s="836">
        <f>+'Quarterly Financial Model '!Q176</f>
        <v>0</v>
      </c>
      <c r="R82" s="934">
        <f>+'Quarterly Financial Model '!R176</f>
        <v>460.91300000000001</v>
      </c>
      <c r="S82" s="934">
        <f>+'Quarterly Financial Model '!S176</f>
        <v>0</v>
      </c>
      <c r="T82" s="934">
        <f>+'Quarterly Financial Model '!T176</f>
        <v>0</v>
      </c>
      <c r="U82" s="934">
        <f>+'Quarterly Financial Model '!U176</f>
        <v>0</v>
      </c>
      <c r="V82" s="836">
        <f>+'Quarterly Financial Model '!V176</f>
        <v>460.91300000000001</v>
      </c>
      <c r="W82" s="934">
        <f>+'Quarterly Financial Model '!W176</f>
        <v>0</v>
      </c>
      <c r="X82" s="934">
        <f>+'Quarterly Financial Model '!X176</f>
        <v>0</v>
      </c>
      <c r="Y82" s="934">
        <f>+'Quarterly Financial Model '!Y176</f>
        <v>0</v>
      </c>
      <c r="Z82" s="934">
        <f>+'Quarterly Financial Model '!Z176</f>
        <v>0</v>
      </c>
      <c r="AA82" s="836">
        <f>+'Quarterly Financial Model '!AA176</f>
        <v>0</v>
      </c>
      <c r="AB82" s="934">
        <f>+'Quarterly Financial Model '!AB176</f>
        <v>0</v>
      </c>
      <c r="AC82" s="934">
        <f>+'Quarterly Financial Model '!AC176</f>
        <v>0</v>
      </c>
      <c r="AD82" s="934">
        <f>+'Quarterly Financial Model '!AD176</f>
        <v>0</v>
      </c>
      <c r="AE82" s="934">
        <f>+'Quarterly Financial Model '!AE176</f>
        <v>0</v>
      </c>
      <c r="AF82" s="836">
        <f>+'Quarterly Financial Model '!AF176</f>
        <v>0</v>
      </c>
      <c r="AG82" s="837">
        <f>+'Quarterly Financial Model '!AG176</f>
        <v>0</v>
      </c>
      <c r="AH82" s="838">
        <f>+'Quarterly Financial Model '!AH176</f>
        <v>0</v>
      </c>
      <c r="AI82" s="838">
        <f>+'Quarterly Financial Model '!AI176</f>
        <v>0</v>
      </c>
      <c r="AJ82" s="839">
        <f>+'Quarterly Financial Model '!AJ176</f>
        <v>0</v>
      </c>
      <c r="AK82" s="836">
        <f>+'Quarterly Financial Model '!AK176</f>
        <v>0</v>
      </c>
      <c r="AL82" s="837">
        <f>+'Quarterly Financial Model '!AL176</f>
        <v>0</v>
      </c>
      <c r="AM82" s="838">
        <f>+'Quarterly Financial Model '!AM176</f>
        <v>0</v>
      </c>
      <c r="AN82" s="838">
        <f>+'Quarterly Financial Model '!AN176</f>
        <v>0</v>
      </c>
      <c r="AO82" s="839">
        <f>+'Quarterly Financial Model '!AO176</f>
        <v>0</v>
      </c>
      <c r="AP82" s="836">
        <f>+'Quarterly Financial Model '!AP176</f>
        <v>0</v>
      </c>
      <c r="AQ82" s="837">
        <f>+'Quarterly Financial Model '!AQ176</f>
        <v>0</v>
      </c>
      <c r="AR82" s="838">
        <f>+'Quarterly Financial Model '!AR176</f>
        <v>0</v>
      </c>
      <c r="AS82" s="838">
        <f>+'Quarterly Financial Model '!AS176</f>
        <v>0</v>
      </c>
      <c r="AT82" s="839">
        <f>+'Quarterly Financial Model '!AT176</f>
        <v>0</v>
      </c>
      <c r="AU82" s="836">
        <f>+'Quarterly Financial Model '!AU176</f>
        <v>0</v>
      </c>
      <c r="AV82" s="837">
        <f>+'Quarterly Financial Model '!AV176</f>
        <v>0</v>
      </c>
      <c r="AW82" s="838">
        <f>+'Quarterly Financial Model '!AW176</f>
        <v>0</v>
      </c>
      <c r="AX82" s="838">
        <f>+'Quarterly Financial Model '!AX176</f>
        <v>0</v>
      </c>
      <c r="AY82" s="838">
        <f>+'Quarterly Financial Model '!AY176</f>
        <v>0</v>
      </c>
      <c r="AZ82" s="836">
        <f>+'Quarterly Financial Model '!AZ176</f>
        <v>0</v>
      </c>
      <c r="BA82" s="837">
        <f>+'Quarterly Financial Model '!BA176</f>
        <v>0</v>
      </c>
      <c r="BB82" s="838">
        <f>+'Quarterly Financial Model '!BB176</f>
        <v>0</v>
      </c>
      <c r="BC82" s="838">
        <f>+'Quarterly Financial Model '!BC176</f>
        <v>0</v>
      </c>
      <c r="BD82" s="839">
        <f>+'Quarterly Financial Model '!BD176</f>
        <v>0</v>
      </c>
      <c r="BE82" s="836">
        <f>+'Quarterly Financial Model '!BE176</f>
        <v>0</v>
      </c>
      <c r="BF82" s="837">
        <f>+'Quarterly Financial Model '!BF176</f>
        <v>0</v>
      </c>
      <c r="BG82" s="838">
        <f>+'Quarterly Financial Model '!BG176</f>
        <v>0</v>
      </c>
      <c r="BH82" s="838">
        <f>+'Quarterly Financial Model '!BH176</f>
        <v>0</v>
      </c>
      <c r="BI82" s="839">
        <f>+'Quarterly Financial Model '!BI176</f>
        <v>0</v>
      </c>
      <c r="BJ82" s="836">
        <f>+'Quarterly Financial Model '!BJ176</f>
        <v>0</v>
      </c>
    </row>
    <row r="83" spans="1:62">
      <c r="A83" s="939"/>
      <c r="B83" s="949" t="s">
        <v>195</v>
      </c>
      <c r="C83" s="838"/>
      <c r="D83" s="838"/>
      <c r="E83" s="838"/>
      <c r="F83" s="838"/>
      <c r="G83" s="937"/>
      <c r="H83" s="838"/>
      <c r="I83" s="838"/>
      <c r="J83" s="838"/>
      <c r="K83" s="838"/>
      <c r="L83" s="937">
        <f>+'Quarterly Financial Model '!L177</f>
        <v>0</v>
      </c>
      <c r="M83" s="838">
        <f>+'Quarterly Financial Model '!M177</f>
        <v>0</v>
      </c>
      <c r="N83" s="838">
        <f>+'Quarterly Financial Model '!N177</f>
        <v>0</v>
      </c>
      <c r="O83" s="838">
        <f>+'Quarterly Financial Model '!O177</f>
        <v>0</v>
      </c>
      <c r="P83" s="838">
        <f>+'Quarterly Financial Model '!P177</f>
        <v>0</v>
      </c>
      <c r="Q83" s="836">
        <f>+'Quarterly Financial Model '!Q177</f>
        <v>0</v>
      </c>
      <c r="R83" s="934">
        <f>+'Quarterly Financial Model '!R177</f>
        <v>33.512</v>
      </c>
      <c r="S83" s="934">
        <f>+'Quarterly Financial Model '!S177</f>
        <v>0</v>
      </c>
      <c r="T83" s="934">
        <f>+'Quarterly Financial Model '!T177</f>
        <v>0</v>
      </c>
      <c r="U83" s="934">
        <f>+'Quarterly Financial Model '!U177</f>
        <v>0</v>
      </c>
      <c r="V83" s="836">
        <f>+'Quarterly Financial Model '!V177</f>
        <v>33.512</v>
      </c>
      <c r="W83" s="934">
        <f>+'Quarterly Financial Model '!W177</f>
        <v>0</v>
      </c>
      <c r="X83" s="934">
        <f>+'Quarterly Financial Model '!X177</f>
        <v>0</v>
      </c>
      <c r="Y83" s="934">
        <f>+'Quarterly Financial Model '!Y177</f>
        <v>0</v>
      </c>
      <c r="Z83" s="934">
        <f>+'Quarterly Financial Model '!Z177</f>
        <v>0</v>
      </c>
      <c r="AA83" s="836">
        <f>+'Quarterly Financial Model '!AA177</f>
        <v>0</v>
      </c>
      <c r="AB83" s="934">
        <f>+'Quarterly Financial Model '!AB177</f>
        <v>0.23599999999999999</v>
      </c>
      <c r="AC83" s="934">
        <f>+'Quarterly Financial Model '!AC177</f>
        <v>8.500000000000002E-2</v>
      </c>
      <c r="AD83" s="934">
        <f>+'Quarterly Financial Model '!AD177</f>
        <v>2.4530000000000003</v>
      </c>
      <c r="AE83" s="934">
        <f>+'Quarterly Financial Model '!AE177</f>
        <v>-0.14700000000000052</v>
      </c>
      <c r="AF83" s="836">
        <f>+'Quarterly Financial Model '!AF177</f>
        <v>2.6269999999999998</v>
      </c>
      <c r="AG83" s="837">
        <f>+'Quarterly Financial Model '!AG177</f>
        <v>6.03</v>
      </c>
      <c r="AH83" s="838">
        <f>+'Quarterly Financial Model '!AH177</f>
        <v>3.5979999999999999</v>
      </c>
      <c r="AI83" s="838">
        <f>+'Quarterly Financial Model '!AI177</f>
        <v>3.1110000000000015</v>
      </c>
      <c r="AJ83" s="839">
        <f>+'Quarterly Financial Model '!AJ177</f>
        <v>-199.328</v>
      </c>
      <c r="AK83" s="836">
        <f>+'Quarterly Financial Model '!AK177</f>
        <v>-186.589</v>
      </c>
      <c r="AL83" s="837">
        <f>+'Quarterly Financial Model '!AL177</f>
        <v>3.7949999999999999</v>
      </c>
      <c r="AM83" s="838">
        <f>+'Quarterly Financial Model '!AM177</f>
        <v>4.7430000000000003</v>
      </c>
      <c r="AN83" s="838">
        <f>+'Quarterly Financial Model '!AN177</f>
        <v>3.8019999999999996</v>
      </c>
      <c r="AO83" s="839">
        <f>+'Quarterly Financial Model '!AO177</f>
        <v>3.0489999999999995</v>
      </c>
      <c r="AP83" s="836">
        <f>+'Quarterly Financial Model '!AP177</f>
        <v>15.388999999999999</v>
      </c>
      <c r="AQ83" s="837">
        <f>+'Quarterly Financial Model '!AQ177</f>
        <v>0</v>
      </c>
      <c r="AR83" s="838">
        <f>+'Quarterly Financial Model '!AR177</f>
        <v>10.096</v>
      </c>
      <c r="AS83" s="838">
        <f>+'Quarterly Financial Model '!AS177</f>
        <v>0.75099999999999945</v>
      </c>
      <c r="AT83" s="839">
        <f>+'Quarterly Financial Model '!AT177</f>
        <v>3.7190000000000012</v>
      </c>
      <c r="AU83" s="836">
        <f>+'Quarterly Financial Model '!AU177</f>
        <v>14.566000000000001</v>
      </c>
      <c r="AV83" s="837">
        <f>+'Quarterly Financial Model '!AV177</f>
        <v>0</v>
      </c>
      <c r="AW83" s="838">
        <f>+'Quarterly Financial Model '!AW177</f>
        <v>0</v>
      </c>
      <c r="AX83" s="838">
        <f>+'Quarterly Financial Model '!AX177</f>
        <v>0</v>
      </c>
      <c r="AY83" s="838">
        <f>+'Quarterly Financial Model '!AY177</f>
        <v>0</v>
      </c>
      <c r="AZ83" s="836">
        <f>+'Quarterly Financial Model '!AZ177</f>
        <v>0</v>
      </c>
      <c r="BA83" s="837">
        <f>+'Quarterly Financial Model '!BA177</f>
        <v>0</v>
      </c>
      <c r="BB83" s="838">
        <f>+'Quarterly Financial Model '!BB177</f>
        <v>0</v>
      </c>
      <c r="BC83" s="838">
        <f>+'Quarterly Financial Model '!BC177</f>
        <v>0</v>
      </c>
      <c r="BD83" s="839">
        <f>+'Quarterly Financial Model '!BD177</f>
        <v>0</v>
      </c>
      <c r="BE83" s="836">
        <f>+'Quarterly Financial Model '!BE177</f>
        <v>0</v>
      </c>
      <c r="BF83" s="837">
        <f>+'Quarterly Financial Model '!BF177</f>
        <v>0</v>
      </c>
      <c r="BG83" s="838">
        <f>+'Quarterly Financial Model '!BG177</f>
        <v>0</v>
      </c>
      <c r="BH83" s="838">
        <f>+'Quarterly Financial Model '!BH177</f>
        <v>0</v>
      </c>
      <c r="BI83" s="839">
        <f>+'Quarterly Financial Model '!BI177</f>
        <v>0</v>
      </c>
      <c r="BJ83" s="836">
        <f>+'Quarterly Financial Model '!BJ177</f>
        <v>0</v>
      </c>
    </row>
    <row r="84" spans="1:62">
      <c r="A84" s="939"/>
      <c r="B84" s="949" t="s">
        <v>196</v>
      </c>
      <c r="C84" s="838"/>
      <c r="D84" s="838"/>
      <c r="E84" s="838"/>
      <c r="F84" s="838"/>
      <c r="G84" s="937"/>
      <c r="H84" s="838"/>
      <c r="I84" s="838"/>
      <c r="J84" s="838"/>
      <c r="K84" s="838"/>
      <c r="L84" s="938">
        <f>+'Quarterly Financial Model '!L178</f>
        <v>1755.751</v>
      </c>
      <c r="M84" s="838">
        <f>+'Quarterly Financial Model '!M178</f>
        <v>0</v>
      </c>
      <c r="N84" s="838">
        <f>+'Quarterly Financial Model '!N178</f>
        <v>0</v>
      </c>
      <c r="O84" s="838">
        <f>+'Quarterly Financial Model '!O178</f>
        <v>0</v>
      </c>
      <c r="P84" s="838">
        <f>+'Quarterly Financial Model '!P178</f>
        <v>0</v>
      </c>
      <c r="Q84" s="833">
        <f>+'Quarterly Financial Model '!Q178</f>
        <v>0</v>
      </c>
      <c r="R84" s="934">
        <f>+'Quarterly Financial Model '!R178</f>
        <v>1248.75</v>
      </c>
      <c r="S84" s="934">
        <f>+'Quarterly Financial Model '!S178</f>
        <v>0</v>
      </c>
      <c r="T84" s="934">
        <f>+'Quarterly Financial Model '!T178</f>
        <v>0</v>
      </c>
      <c r="U84" s="934">
        <f>+'Quarterly Financial Model '!U178</f>
        <v>90</v>
      </c>
      <c r="V84" s="833">
        <f>+'Quarterly Financial Model '!V178</f>
        <v>1338.75</v>
      </c>
      <c r="W84" s="934">
        <f>+'Quarterly Financial Model '!W178</f>
        <v>0</v>
      </c>
      <c r="X84" s="934">
        <f>+'Quarterly Financial Model '!X178</f>
        <v>1850</v>
      </c>
      <c r="Y84" s="934">
        <f>+'Quarterly Financial Model '!Y178</f>
        <v>0</v>
      </c>
      <c r="Z84" s="934">
        <f>+'Quarterly Financial Model '!Z178</f>
        <v>0</v>
      </c>
      <c r="AA84" s="833">
        <f>+'Quarterly Financial Model '!AA178</f>
        <v>1850</v>
      </c>
      <c r="AB84" s="934">
        <f>+'Quarterly Financial Model '!AB178</f>
        <v>0</v>
      </c>
      <c r="AC84" s="934">
        <f>+'Quarterly Financial Model '!AC178</f>
        <v>3443</v>
      </c>
      <c r="AD84" s="934">
        <f>+'Quarterly Financial Model '!AD178</f>
        <v>0</v>
      </c>
      <c r="AE84" s="934">
        <f>+'Quarterly Financial Model '!AE178</f>
        <v>0</v>
      </c>
      <c r="AF84" s="833">
        <f>+'Quarterly Financial Model '!AF178</f>
        <v>3443</v>
      </c>
      <c r="AG84" s="837">
        <f>+'Quarterly Financial Model '!AG178</f>
        <v>0</v>
      </c>
      <c r="AH84" s="838">
        <f>+'Quarterly Financial Model '!AH178</f>
        <v>0</v>
      </c>
      <c r="AI84" s="838">
        <f>+'Quarterly Financial Model '!AI178</f>
        <v>0</v>
      </c>
      <c r="AJ84" s="839">
        <f>+'Quarterly Financial Model '!AJ178</f>
        <v>177</v>
      </c>
      <c r="AK84" s="833">
        <f>+'Quarterly Financial Model '!AK178</f>
        <v>177</v>
      </c>
      <c r="AL84" s="837">
        <f>+'Quarterly Financial Model '!AL178</f>
        <v>765</v>
      </c>
      <c r="AM84" s="838">
        <f>+'Quarterly Financial Model '!AM178</f>
        <v>90</v>
      </c>
      <c r="AN84" s="838">
        <f>+'Quarterly Financial Model '!AN178</f>
        <v>325</v>
      </c>
      <c r="AO84" s="839">
        <f>+'Quarterly Financial Model '!AO178</f>
        <v>3304.375</v>
      </c>
      <c r="AP84" s="833">
        <f>+'Quarterly Financial Model '!AP178</f>
        <v>4484.375</v>
      </c>
      <c r="AQ84" s="837">
        <f>+'Quarterly Financial Model '!AQ178</f>
        <v>570</v>
      </c>
      <c r="AR84" s="838">
        <f>+'Quarterly Financial Model '!AR178</f>
        <v>2481</v>
      </c>
      <c r="AS84" s="838">
        <f>+'Quarterly Financial Model '!AS178</f>
        <v>3624</v>
      </c>
      <c r="AT84" s="839">
        <f>+'Quarterly Financial Model '!AT178</f>
        <v>4172.2049999999999</v>
      </c>
      <c r="AU84" s="833">
        <f>+'Quarterly Financial Model '!AU178</f>
        <v>10847.205</v>
      </c>
      <c r="AV84" s="837">
        <f>+'Quarterly Financial Model '!AV178</f>
        <v>3850</v>
      </c>
      <c r="AW84" s="838">
        <f>+'Quarterly Financial Model '!AW178</f>
        <v>0</v>
      </c>
      <c r="AX84" s="838">
        <f>+'Quarterly Financial Model '!AX178</f>
        <v>0</v>
      </c>
      <c r="AY84" s="839">
        <f>+'Quarterly Financial Model '!AY178</f>
        <v>0</v>
      </c>
      <c r="AZ84" s="833">
        <f>+'Quarterly Financial Model '!AZ178</f>
        <v>3850</v>
      </c>
      <c r="BA84" s="837">
        <f>+'Quarterly Financial Model '!BA178</f>
        <v>0</v>
      </c>
      <c r="BB84" s="838">
        <f>+'Quarterly Financial Model '!BB178</f>
        <v>0</v>
      </c>
      <c r="BC84" s="838">
        <f>+'Quarterly Financial Model '!BC178</f>
        <v>0</v>
      </c>
      <c r="BD84" s="839">
        <f>+'Quarterly Financial Model '!BD178</f>
        <v>0</v>
      </c>
      <c r="BE84" s="833">
        <f>+'Quarterly Financial Model '!BE178</f>
        <v>0</v>
      </c>
      <c r="BF84" s="837">
        <f>+'Quarterly Financial Model '!BF178</f>
        <v>0</v>
      </c>
      <c r="BG84" s="838">
        <f>+'Quarterly Financial Model '!BG178</f>
        <v>0</v>
      </c>
      <c r="BH84" s="838">
        <f>+'Quarterly Financial Model '!BH178</f>
        <v>0</v>
      </c>
      <c r="BI84" s="839">
        <f>+'Quarterly Financial Model '!BI178</f>
        <v>0</v>
      </c>
      <c r="BJ84" s="836">
        <f>+'Quarterly Financial Model '!BJ178</f>
        <v>0</v>
      </c>
    </row>
    <row r="85" spans="1:62">
      <c r="A85" s="939"/>
      <c r="B85" s="949" t="s">
        <v>197</v>
      </c>
      <c r="C85" s="838"/>
      <c r="D85" s="838"/>
      <c r="E85" s="838"/>
      <c r="F85" s="838"/>
      <c r="G85" s="937"/>
      <c r="H85" s="838"/>
      <c r="I85" s="838"/>
      <c r="J85" s="838"/>
      <c r="K85" s="838"/>
      <c r="L85" s="938">
        <f>+'Quarterly Financial Model '!L179</f>
        <v>-1237.771</v>
      </c>
      <c r="M85" s="838">
        <f>+'Quarterly Financial Model '!M179</f>
        <v>-3.972</v>
      </c>
      <c r="N85" s="838">
        <f>+'Quarterly Financial Model '!N179</f>
        <v>-5.0370000000000008</v>
      </c>
      <c r="O85" s="838">
        <f>+'Quarterly Financial Model '!O179</f>
        <v>-6.4339999999999993</v>
      </c>
      <c r="P85" s="838">
        <f>+'Quarterly Financial Model '!P179</f>
        <v>-4.93</v>
      </c>
      <c r="Q85" s="833">
        <f>+'Quarterly Financial Model '!Q179</f>
        <v>-20.372999999999998</v>
      </c>
      <c r="R85" s="934">
        <f>+'Quarterly Financial Model '!R179</f>
        <v>-1761.7840000000001</v>
      </c>
      <c r="S85" s="934">
        <f>+'Quarterly Financial Model '!S179</f>
        <v>-18.615999999999985</v>
      </c>
      <c r="T85" s="934">
        <f>+'Quarterly Financial Model '!T179</f>
        <v>-12.673999999999978</v>
      </c>
      <c r="U85" s="934">
        <f>+'Quarterly Financial Model '!U179</f>
        <v>-66.125</v>
      </c>
      <c r="V85" s="833">
        <f>+'Quarterly Financial Model '!V179</f>
        <v>-1859.1990000000001</v>
      </c>
      <c r="W85" s="934">
        <f>+'Quarterly Financial Model '!W179</f>
        <v>-56.680999999999997</v>
      </c>
      <c r="X85" s="934">
        <f>+'Quarterly Financial Model '!X179</f>
        <v>-1198.3969999999999</v>
      </c>
      <c r="Y85" s="934">
        <f>+'Quarterly Financial Model '!Y179</f>
        <v>-25.288000000000054</v>
      </c>
      <c r="Z85" s="934">
        <f>+'Quarterly Financial Model '!Z179</f>
        <v>-24.599999999999909</v>
      </c>
      <c r="AA85" s="833">
        <f>+'Quarterly Financial Model '!AA179</f>
        <v>-1304.9659999999999</v>
      </c>
      <c r="AB85" s="934">
        <f>+'Quarterly Financial Model '!AB179</f>
        <v>-24.606999999999999</v>
      </c>
      <c r="AC85" s="934">
        <f>+'Quarterly Financial Model '!AC179</f>
        <v>-1781.634</v>
      </c>
      <c r="AD85" s="934">
        <f>+'Quarterly Financial Model '!AD179</f>
        <v>-32.664999999999935</v>
      </c>
      <c r="AE85" s="934">
        <f>+'Quarterly Financial Model '!AE179</f>
        <v>-31.633999999999986</v>
      </c>
      <c r="AF85" s="833">
        <f>+'Quarterly Financial Model '!AF179</f>
        <v>-1870.54</v>
      </c>
      <c r="AG85" s="837">
        <f>+'Quarterly Financial Model '!AG179</f>
        <v>-230.82300000000001</v>
      </c>
      <c r="AH85" s="838">
        <f>+'Quarterly Financial Model '!AH179</f>
        <v>-32.123000000000019</v>
      </c>
      <c r="AI85" s="838">
        <f>+'Quarterly Financial Model '!AI179</f>
        <v>-32.262000000000029</v>
      </c>
      <c r="AJ85" s="839">
        <f>+'Quarterly Financial Model '!AJ179</f>
        <v>-208.25399999999991</v>
      </c>
      <c r="AK85" s="833">
        <f>+'Quarterly Financial Model '!AK179</f>
        <v>-503.46199999999999</v>
      </c>
      <c r="AL85" s="837">
        <f>+'Quarterly Financial Model '!AL179</f>
        <v>-806.76700000000005</v>
      </c>
      <c r="AM85" s="838">
        <f>+'Quarterly Financial Model '!AM179</f>
        <v>-117.75399999999991</v>
      </c>
      <c r="AN85" s="838">
        <f>+'Quarterly Financial Model '!AN179</f>
        <v>-353.49800000000005</v>
      </c>
      <c r="AO85" s="839">
        <f>+'Quarterly Financial Model '!AO179</f>
        <v>-3056.9030000000002</v>
      </c>
      <c r="AP85" s="833">
        <f>+'Quarterly Financial Model '!AP179</f>
        <v>-4334.9220000000005</v>
      </c>
      <c r="AQ85" s="837">
        <f>+'Quarterly Financial Model '!AQ179</f>
        <v>-605.58799999999997</v>
      </c>
      <c r="AR85" s="838">
        <f>+'Quarterly Financial Model '!AR179</f>
        <v>-2157.6400000000003</v>
      </c>
      <c r="AS85" s="838">
        <f>+'Quarterly Financial Model '!AS179</f>
        <v>-2390.741</v>
      </c>
      <c r="AT85" s="839">
        <f>+'Quarterly Financial Model '!AT179</f>
        <v>-3206.7389999999996</v>
      </c>
      <c r="AU85" s="833">
        <f>+'Quarterly Financial Model '!AU179</f>
        <v>-8360.7079999999987</v>
      </c>
      <c r="AV85" s="837">
        <f>+'Quarterly Financial Model '!AV179</f>
        <v>-1000</v>
      </c>
      <c r="AW85" s="838">
        <f>+'Quarterly Financial Model '!AW179</f>
        <v>0</v>
      </c>
      <c r="AX85" s="838">
        <f>+'Quarterly Financial Model '!AX179</f>
        <v>0</v>
      </c>
      <c r="AY85" s="839">
        <f>+'Quarterly Financial Model '!AY179</f>
        <v>0</v>
      </c>
      <c r="AZ85" s="833">
        <f>+'Quarterly Financial Model '!AZ179</f>
        <v>-1000</v>
      </c>
      <c r="BA85" s="837">
        <f>+'Quarterly Financial Model '!BA179</f>
        <v>-100</v>
      </c>
      <c r="BB85" s="838">
        <f>+'Quarterly Financial Model '!BB179</f>
        <v>-100</v>
      </c>
      <c r="BC85" s="838">
        <f>+'Quarterly Financial Model '!BC179</f>
        <v>-100</v>
      </c>
      <c r="BD85" s="839">
        <f>+'Quarterly Financial Model '!BD179</f>
        <v>-100</v>
      </c>
      <c r="BE85" s="833">
        <f>+'Quarterly Financial Model '!BE179</f>
        <v>-400</v>
      </c>
      <c r="BF85" s="837">
        <f>+'Quarterly Financial Model '!BF179</f>
        <v>0</v>
      </c>
      <c r="BG85" s="838">
        <f>+'Quarterly Financial Model '!BG179</f>
        <v>0</v>
      </c>
      <c r="BH85" s="838">
        <f>+'Quarterly Financial Model '!BH179</f>
        <v>0</v>
      </c>
      <c r="BI85" s="839">
        <f>+'Quarterly Financial Model '!BI179</f>
        <v>0</v>
      </c>
      <c r="BJ85" s="836">
        <f>+'Quarterly Financial Model '!BJ179</f>
        <v>0</v>
      </c>
    </row>
    <row r="86" spans="1:62">
      <c r="A86" s="939"/>
      <c r="B86" s="949" t="s">
        <v>198</v>
      </c>
      <c r="C86" s="838"/>
      <c r="D86" s="838"/>
      <c r="E86" s="838"/>
      <c r="F86" s="838"/>
      <c r="G86" s="937"/>
      <c r="H86" s="838"/>
      <c r="I86" s="838"/>
      <c r="J86" s="838"/>
      <c r="K86" s="838"/>
      <c r="L86" s="938">
        <f>+'Quarterly Financial Model '!L180</f>
        <v>-43.564999999999998</v>
      </c>
      <c r="M86" s="838">
        <f>+'Quarterly Financial Model '!M180</f>
        <v>0</v>
      </c>
      <c r="N86" s="838">
        <f>+'Quarterly Financial Model '!N180</f>
        <v>-6.2759999999999998</v>
      </c>
      <c r="O86" s="838">
        <f>+'Quarterly Financial Model '!O180</f>
        <v>0</v>
      </c>
      <c r="P86" s="838">
        <f>+'Quarterly Financial Model '!P180</f>
        <v>0</v>
      </c>
      <c r="Q86" s="833">
        <f>+'Quarterly Financial Model '!Q180</f>
        <v>-6.2759999999999998</v>
      </c>
      <c r="R86" s="934">
        <f>+'Quarterly Financial Model '!R180</f>
        <v>-28.949000000000002</v>
      </c>
      <c r="S86" s="934">
        <f>+'Quarterly Financial Model '!S180</f>
        <v>0</v>
      </c>
      <c r="T86" s="934">
        <f>+'Quarterly Financial Model '!T180</f>
        <v>0</v>
      </c>
      <c r="U86" s="934">
        <f>+'Quarterly Financial Model '!U180</f>
        <v>0</v>
      </c>
      <c r="V86" s="833">
        <f>+'Quarterly Financial Model '!V180</f>
        <v>-28.949000000000002</v>
      </c>
      <c r="W86" s="934">
        <f>+'Quarterly Financial Model '!W180</f>
        <v>0</v>
      </c>
      <c r="X86" s="934">
        <f>+'Quarterly Financial Model '!X180</f>
        <v>-26.288</v>
      </c>
      <c r="Y86" s="934">
        <f>+'Quarterly Financial Model '!Y180</f>
        <v>0</v>
      </c>
      <c r="Z86" s="934">
        <f>+'Quarterly Financial Model '!Z180</f>
        <v>0</v>
      </c>
      <c r="AA86" s="833">
        <f>+'Quarterly Financial Model '!AA180</f>
        <v>-26.288</v>
      </c>
      <c r="AB86" s="934">
        <f>+'Quarterly Financial Model '!AB180</f>
        <v>0</v>
      </c>
      <c r="AC86" s="934">
        <f>+'Quarterly Financial Model '!AC180</f>
        <v>-38.058999999999997</v>
      </c>
      <c r="AD86" s="934">
        <f>+'Quarterly Financial Model '!AD180</f>
        <v>-1.0000000000005116E-2</v>
      </c>
      <c r="AE86" s="934">
        <f>+'Quarterly Financial Model '!AE180</f>
        <v>-2.2999999999996135E-2</v>
      </c>
      <c r="AF86" s="833">
        <f>+'Quarterly Financial Model '!AF180</f>
        <v>-38.091999999999999</v>
      </c>
      <c r="AG86" s="837">
        <f>+'Quarterly Financial Model '!AG180</f>
        <v>0</v>
      </c>
      <c r="AH86" s="838">
        <f>+'Quarterly Financial Model '!AH180</f>
        <v>0</v>
      </c>
      <c r="AI86" s="838">
        <f>+'Quarterly Financial Model '!AI180</f>
        <v>0</v>
      </c>
      <c r="AJ86" s="839">
        <f>+'Quarterly Financial Model '!AJ180</f>
        <v>0</v>
      </c>
      <c r="AK86" s="833">
        <f>+'Quarterly Financial Model '!AK180</f>
        <v>0</v>
      </c>
      <c r="AL86" s="837">
        <f>+'Quarterly Financial Model '!AL180</f>
        <v>0</v>
      </c>
      <c r="AM86" s="838">
        <f>+'Quarterly Financial Model '!AM180</f>
        <v>0</v>
      </c>
      <c r="AN86" s="838">
        <f>+'Quarterly Financial Model '!AN180</f>
        <v>0</v>
      </c>
      <c r="AO86" s="839">
        <f>+'Quarterly Financial Model '!AO180</f>
        <v>-20.114999999999998</v>
      </c>
      <c r="AP86" s="833">
        <f>+'Quarterly Financial Model '!AP180</f>
        <v>-20.114999999999998</v>
      </c>
      <c r="AQ86" s="837">
        <f>+'Quarterly Financial Model '!AQ180</f>
        <v>-1.0980000000000001</v>
      </c>
      <c r="AR86" s="838">
        <f>+'Quarterly Financial Model '!AR180</f>
        <v>0</v>
      </c>
      <c r="AS86" s="838">
        <f>+'Quarterly Financial Model '!AS180</f>
        <v>-23.05</v>
      </c>
      <c r="AT86" s="839">
        <f>+'Quarterly Financial Model '!AT180</f>
        <v>-3.4729999999999981</v>
      </c>
      <c r="AU86" s="833">
        <f>+'Quarterly Financial Model '!AU180</f>
        <v>-27.620999999999999</v>
      </c>
      <c r="AV86" s="837">
        <f>+'Quarterly Financial Model '!AV180</f>
        <v>0</v>
      </c>
      <c r="AW86" s="838">
        <f>+'Quarterly Financial Model '!AW180</f>
        <v>0</v>
      </c>
      <c r="AX86" s="838">
        <f>+'Quarterly Financial Model '!AX180</f>
        <v>0</v>
      </c>
      <c r="AY86" s="839">
        <f>+'Quarterly Financial Model '!AY180</f>
        <v>0</v>
      </c>
      <c r="AZ86" s="833">
        <f>+'Quarterly Financial Model '!AZ180</f>
        <v>0</v>
      </c>
      <c r="BA86" s="837">
        <f>+'Quarterly Financial Model '!BA180</f>
        <v>0</v>
      </c>
      <c r="BB86" s="838">
        <f>+'Quarterly Financial Model '!BB180</f>
        <v>0</v>
      </c>
      <c r="BC86" s="838">
        <f>+'Quarterly Financial Model '!BC180</f>
        <v>0</v>
      </c>
      <c r="BD86" s="839">
        <f>+'Quarterly Financial Model '!BD180</f>
        <v>0</v>
      </c>
      <c r="BE86" s="833">
        <f>+'Quarterly Financial Model '!BE180</f>
        <v>0</v>
      </c>
      <c r="BF86" s="837">
        <f>+'Quarterly Financial Model '!BF180</f>
        <v>0</v>
      </c>
      <c r="BG86" s="838">
        <f>+'Quarterly Financial Model '!BG180</f>
        <v>0</v>
      </c>
      <c r="BH86" s="838">
        <f>+'Quarterly Financial Model '!BH180</f>
        <v>0</v>
      </c>
      <c r="BI86" s="839">
        <f>+'Quarterly Financial Model '!BI180</f>
        <v>0</v>
      </c>
      <c r="BJ86" s="836">
        <f>+'Quarterly Financial Model '!BJ180</f>
        <v>0</v>
      </c>
    </row>
    <row r="87" spans="1:62">
      <c r="A87" s="939"/>
      <c r="B87" s="949" t="s">
        <v>199</v>
      </c>
      <c r="C87" s="838"/>
      <c r="D87" s="838"/>
      <c r="E87" s="838"/>
      <c r="F87" s="838"/>
      <c r="G87" s="937"/>
      <c r="H87" s="838"/>
      <c r="I87" s="838"/>
      <c r="J87" s="838"/>
      <c r="K87" s="838"/>
      <c r="L87" s="937">
        <f>+'Quarterly Financial Model '!L181</f>
        <v>0</v>
      </c>
      <c r="M87" s="838">
        <f>+'Quarterly Financial Model '!M181</f>
        <v>0</v>
      </c>
      <c r="N87" s="838">
        <f>+'Quarterly Financial Model '!N181</f>
        <v>0</v>
      </c>
      <c r="O87" s="838">
        <f>+'Quarterly Financial Model '!O181</f>
        <v>0</v>
      </c>
      <c r="P87" s="838">
        <f>+'Quarterly Financial Model '!P181</f>
        <v>0</v>
      </c>
      <c r="Q87" s="833">
        <f>+'Quarterly Financial Model '!Q181</f>
        <v>0</v>
      </c>
      <c r="R87" s="934">
        <f>+'Quarterly Financial Model '!R181</f>
        <v>-33.512</v>
      </c>
      <c r="S87" s="934">
        <f>+'Quarterly Financial Model '!S181</f>
        <v>0</v>
      </c>
      <c r="T87" s="934">
        <f>+'Quarterly Financial Model '!T181</f>
        <v>0</v>
      </c>
      <c r="U87" s="934">
        <f>+'Quarterly Financial Model '!U181</f>
        <v>0</v>
      </c>
      <c r="V87" s="833">
        <f>+'Quarterly Financial Model '!V181</f>
        <v>-33.512</v>
      </c>
      <c r="W87" s="934">
        <f>+'Quarterly Financial Model '!W181</f>
        <v>0</v>
      </c>
      <c r="X87" s="934">
        <f>+'Quarterly Financial Model '!X181</f>
        <v>0</v>
      </c>
      <c r="Y87" s="934">
        <f>+'Quarterly Financial Model '!Y181</f>
        <v>0</v>
      </c>
      <c r="Z87" s="934">
        <f>+'Quarterly Financial Model '!Z181</f>
        <v>0</v>
      </c>
      <c r="AA87" s="833">
        <f>+'Quarterly Financial Model '!AA181</f>
        <v>0</v>
      </c>
      <c r="AB87" s="934">
        <f>+'Quarterly Financial Model '!AB181</f>
        <v>0</v>
      </c>
      <c r="AC87" s="934">
        <f>+'Quarterly Financial Model '!AC181</f>
        <v>0</v>
      </c>
      <c r="AD87" s="934">
        <f>+'Quarterly Financial Model '!AD181</f>
        <v>0</v>
      </c>
      <c r="AE87" s="934">
        <f>+'Quarterly Financial Model '!AE181</f>
        <v>0</v>
      </c>
      <c r="AF87" s="833">
        <f>+'Quarterly Financial Model '!AF181</f>
        <v>0</v>
      </c>
      <c r="AG87" s="837">
        <f>+'Quarterly Financial Model '!AG181</f>
        <v>0</v>
      </c>
      <c r="AH87" s="838">
        <f>+'Quarterly Financial Model '!AH181</f>
        <v>0</v>
      </c>
      <c r="AI87" s="838">
        <f>+'Quarterly Financial Model '!AI181</f>
        <v>0</v>
      </c>
      <c r="AJ87" s="839">
        <f>+'Quarterly Financial Model '!AJ181</f>
        <v>0</v>
      </c>
      <c r="AK87" s="833">
        <f>+'Quarterly Financial Model '!AK181</f>
        <v>0</v>
      </c>
      <c r="AL87" s="837">
        <f>+'Quarterly Financial Model '!AL181</f>
        <v>0</v>
      </c>
      <c r="AM87" s="838">
        <f>+'Quarterly Financial Model '!AM181</f>
        <v>0</v>
      </c>
      <c r="AN87" s="838">
        <f>+'Quarterly Financial Model '!AN181</f>
        <v>0</v>
      </c>
      <c r="AO87" s="839">
        <f>+'Quarterly Financial Model '!AO181</f>
        <v>0</v>
      </c>
      <c r="AP87" s="833">
        <f>+'Quarterly Financial Model '!AP181</f>
        <v>0</v>
      </c>
      <c r="AQ87" s="837">
        <f>+'Quarterly Financial Model '!AQ181</f>
        <v>6.63</v>
      </c>
      <c r="AR87" s="838">
        <f>+'Quarterly Financial Model '!AR181</f>
        <v>-6.63</v>
      </c>
      <c r="AS87" s="838">
        <f>+'Quarterly Financial Model '!AS181</f>
        <v>0</v>
      </c>
      <c r="AT87" s="839">
        <f>+'Quarterly Financial Model '!AT181</f>
        <v>0</v>
      </c>
      <c r="AU87" s="833">
        <f>+'Quarterly Financial Model '!AU181</f>
        <v>0</v>
      </c>
      <c r="AV87" s="837">
        <f>+'Quarterly Financial Model '!AV181</f>
        <v>0</v>
      </c>
      <c r="AW87" s="838">
        <f>+'Quarterly Financial Model '!AW181</f>
        <v>0</v>
      </c>
      <c r="AX87" s="838">
        <f>+'Quarterly Financial Model '!AX181</f>
        <v>0</v>
      </c>
      <c r="AY87" s="839">
        <f>+'Quarterly Financial Model '!AY181</f>
        <v>0</v>
      </c>
      <c r="AZ87" s="833">
        <f>+'Quarterly Financial Model '!AZ181</f>
        <v>0</v>
      </c>
      <c r="BA87" s="837">
        <f>+'Quarterly Financial Model '!BA181</f>
        <v>0</v>
      </c>
      <c r="BB87" s="838">
        <f>+'Quarterly Financial Model '!BB181</f>
        <v>0</v>
      </c>
      <c r="BC87" s="838">
        <f>+'Quarterly Financial Model '!BC181</f>
        <v>0</v>
      </c>
      <c r="BD87" s="839">
        <f>+'Quarterly Financial Model '!BD181</f>
        <v>0</v>
      </c>
      <c r="BE87" s="833">
        <f>+'Quarterly Financial Model '!BE181</f>
        <v>0</v>
      </c>
      <c r="BF87" s="837">
        <f>+'Quarterly Financial Model '!BF181</f>
        <v>0</v>
      </c>
      <c r="BG87" s="838">
        <f>+'Quarterly Financial Model '!BG181</f>
        <v>0</v>
      </c>
      <c r="BH87" s="838">
        <f>+'Quarterly Financial Model '!BH181</f>
        <v>0</v>
      </c>
      <c r="BI87" s="839">
        <f>+'Quarterly Financial Model '!BI181</f>
        <v>0</v>
      </c>
      <c r="BJ87" s="836">
        <f>+'Quarterly Financial Model '!BJ181</f>
        <v>0</v>
      </c>
    </row>
    <row r="88" spans="1:62">
      <c r="A88" s="939"/>
      <c r="B88" s="949" t="s">
        <v>200</v>
      </c>
      <c r="C88" s="838"/>
      <c r="D88" s="838"/>
      <c r="E88" s="838"/>
      <c r="F88" s="838"/>
      <c r="G88" s="937"/>
      <c r="H88" s="838"/>
      <c r="I88" s="838"/>
      <c r="J88" s="838"/>
      <c r="K88" s="838"/>
      <c r="L88" s="938">
        <f>+'Quarterly Financial Model '!L182</f>
        <v>0</v>
      </c>
      <c r="M88" s="838">
        <f>+'Quarterly Financial Model '!M182</f>
        <v>0</v>
      </c>
      <c r="N88" s="838">
        <f>+'Quarterly Financial Model '!N182</f>
        <v>0</v>
      </c>
      <c r="O88" s="838">
        <f>+'Quarterly Financial Model '!O182</f>
        <v>0</v>
      </c>
      <c r="P88" s="838">
        <f>+'Quarterly Financial Model '!P182</f>
        <v>0</v>
      </c>
      <c r="Q88" s="833">
        <f>+'Quarterly Financial Model '!Q182</f>
        <v>0</v>
      </c>
      <c r="R88" s="934">
        <f>+'Quarterly Financial Model '!R182</f>
        <v>-11.929</v>
      </c>
      <c r="S88" s="934">
        <f>+'Quarterly Financial Model '!S182</f>
        <v>-2.1159999999999997</v>
      </c>
      <c r="T88" s="934">
        <f>+'Quarterly Financial Model '!T182</f>
        <v>-2.0810000000000013</v>
      </c>
      <c r="U88" s="934">
        <f>+'Quarterly Financial Model '!U182</f>
        <v>-1.7799999999999976</v>
      </c>
      <c r="V88" s="833">
        <f>+'Quarterly Financial Model '!V182</f>
        <v>-17.905999999999999</v>
      </c>
      <c r="W88" s="934">
        <f>+'Quarterly Financial Model '!W182</f>
        <v>-9.4019999999999992</v>
      </c>
      <c r="X88" s="934">
        <f>+'Quarterly Financial Model '!X182</f>
        <v>-401.72</v>
      </c>
      <c r="Y88" s="934">
        <f>+'Quarterly Financial Model '!Y182</f>
        <v>-2.2089999999999339</v>
      </c>
      <c r="Z88" s="934">
        <f>+'Quarterly Financial Model '!Z182</f>
        <v>-105.11800000000011</v>
      </c>
      <c r="AA88" s="833">
        <f>+'Quarterly Financial Model '!AA182</f>
        <v>-518.44900000000007</v>
      </c>
      <c r="AB88" s="934">
        <f>+'Quarterly Financial Model '!AB182</f>
        <v>-47.655000000000001</v>
      </c>
      <c r="AC88" s="934">
        <f>+'Quarterly Financial Model '!AC182</f>
        <v>-1.6890000000000001</v>
      </c>
      <c r="AD88" s="934">
        <f>+'Quarterly Financial Model '!AD182</f>
        <v>-1.7209999999999965</v>
      </c>
      <c r="AE88" s="934">
        <f>+'Quarterly Financial Model '!AE182</f>
        <v>-21.608000000000004</v>
      </c>
      <c r="AF88" s="833">
        <f>+'Quarterly Financial Model '!AF182</f>
        <v>-72.673000000000002</v>
      </c>
      <c r="AG88" s="837">
        <f>+'Quarterly Financial Model '!AG182</f>
        <v>-15.618</v>
      </c>
      <c r="AH88" s="838">
        <f>+'Quarterly Financial Model '!AH182</f>
        <v>-0.24900000000000055</v>
      </c>
      <c r="AI88" s="838">
        <f>+'Quarterly Financial Model '!AI182</f>
        <v>-161.40800000000002</v>
      </c>
      <c r="AJ88" s="839">
        <f>+'Quarterly Financial Model '!AJ182</f>
        <v>-23.131</v>
      </c>
      <c r="AK88" s="833">
        <f>+'Quarterly Financial Model '!AK182</f>
        <v>-200.40600000000001</v>
      </c>
      <c r="AL88" s="837">
        <f>+'Quarterly Financial Model '!AL182</f>
        <v>-5.617</v>
      </c>
      <c r="AM88" s="838">
        <f>+'Quarterly Financial Model '!AM182</f>
        <v>-0.17899999999999983</v>
      </c>
      <c r="AN88" s="838">
        <f>+'Quarterly Financial Model '!AN182</f>
        <v>-25.247999999999998</v>
      </c>
      <c r="AO88" s="839">
        <f>+'Quarterly Financial Model '!AO182</f>
        <v>-56.573000000000008</v>
      </c>
      <c r="AP88" s="833">
        <f>+'Quarterly Financial Model '!AP182</f>
        <v>-87.617000000000004</v>
      </c>
      <c r="AQ88" s="837">
        <f>+'Quarterly Financial Model '!AQ182</f>
        <v>-5.6769999999999996</v>
      </c>
      <c r="AR88" s="838">
        <f>+'Quarterly Financial Model '!AR182</f>
        <v>-1.4000000000000234E-2</v>
      </c>
      <c r="AS88" s="838">
        <f>+'Quarterly Financial Model '!AS182</f>
        <v>-1271.5530000000001</v>
      </c>
      <c r="AT88" s="839">
        <f>+'Quarterly Financial Model '!AT182</f>
        <v>-0.9050000000000038</v>
      </c>
      <c r="AU88" s="833">
        <f>+'Quarterly Financial Model '!AU182</f>
        <v>-1278.1490000000001</v>
      </c>
      <c r="AV88" s="837">
        <f>+'Quarterly Financial Model '!AV182</f>
        <v>0</v>
      </c>
      <c r="AW88" s="838">
        <f>+'Quarterly Financial Model '!AW182</f>
        <v>0</v>
      </c>
      <c r="AX88" s="838">
        <f>+'Quarterly Financial Model '!AX182</f>
        <v>0</v>
      </c>
      <c r="AY88" s="839">
        <f>+'Quarterly Financial Model '!AY182</f>
        <v>0</v>
      </c>
      <c r="AZ88" s="833">
        <f>+'Quarterly Financial Model '!AZ182</f>
        <v>0</v>
      </c>
      <c r="BA88" s="837">
        <f>+'Quarterly Financial Model '!BA182</f>
        <v>0</v>
      </c>
      <c r="BB88" s="838">
        <f>+'Quarterly Financial Model '!BB182</f>
        <v>0</v>
      </c>
      <c r="BC88" s="838">
        <f>+'Quarterly Financial Model '!BC182</f>
        <v>0</v>
      </c>
      <c r="BD88" s="839">
        <f>+'Quarterly Financial Model '!BD182</f>
        <v>0</v>
      </c>
      <c r="BE88" s="833">
        <f>+'Quarterly Financial Model '!BE182</f>
        <v>0</v>
      </c>
      <c r="BF88" s="837">
        <f>+'Quarterly Financial Model '!BF182</f>
        <v>0</v>
      </c>
      <c r="BG88" s="838">
        <f>+'Quarterly Financial Model '!BG182</f>
        <v>0</v>
      </c>
      <c r="BH88" s="838">
        <f>+'Quarterly Financial Model '!BH182</f>
        <v>0</v>
      </c>
      <c r="BI88" s="839">
        <f>+'Quarterly Financial Model '!BI182</f>
        <v>0</v>
      </c>
      <c r="BJ88" s="836">
        <f>+'Quarterly Financial Model '!BJ182</f>
        <v>0</v>
      </c>
    </row>
    <row r="89" spans="1:62">
      <c r="A89" s="939"/>
      <c r="B89" s="949" t="s">
        <v>201</v>
      </c>
      <c r="C89" s="838"/>
      <c r="D89" s="838"/>
      <c r="E89" s="838"/>
      <c r="F89" s="838"/>
      <c r="G89" s="937"/>
      <c r="H89" s="838"/>
      <c r="I89" s="838"/>
      <c r="J89" s="838"/>
      <c r="K89" s="838"/>
      <c r="L89" s="938">
        <f>+'Quarterly Financial Model '!L185</f>
        <v>0</v>
      </c>
      <c r="M89" s="838">
        <f>+'Quarterly Financial Model '!M185</f>
        <v>0</v>
      </c>
      <c r="N89" s="838">
        <f>+'Quarterly Financial Model '!N185</f>
        <v>0</v>
      </c>
      <c r="O89" s="838">
        <f>+'Quarterly Financial Model '!O185</f>
        <v>0</v>
      </c>
      <c r="P89" s="838">
        <f>+'Quarterly Financial Model '!P185</f>
        <v>0</v>
      </c>
      <c r="Q89" s="833">
        <f>+'Quarterly Financial Model '!Q185</f>
        <v>0</v>
      </c>
      <c r="R89" s="934">
        <f>+'Quarterly Financial Model '!R185</f>
        <v>10.244</v>
      </c>
      <c r="S89" s="934">
        <f>+'Quarterly Financial Model '!S185</f>
        <v>1.6560000000000006</v>
      </c>
      <c r="T89" s="934">
        <f>+'Quarterly Financial Model '!T185</f>
        <v>1.5359999999999996</v>
      </c>
      <c r="U89" s="934">
        <f>+'Quarterly Financial Model '!U185</f>
        <v>1.3109999999999999</v>
      </c>
      <c r="V89" s="833">
        <f>+'Quarterly Financial Model '!V185</f>
        <v>14.747</v>
      </c>
      <c r="W89" s="934">
        <f>+'Quarterly Financial Model '!W185</f>
        <v>3.6070000000000002</v>
      </c>
      <c r="X89" s="934">
        <f>+'Quarterly Financial Model '!X185</f>
        <v>1.5590000000000002</v>
      </c>
      <c r="Y89" s="934">
        <f>+'Quarterly Financial Model '!Y185</f>
        <v>1.5879999999999992</v>
      </c>
      <c r="Z89" s="934">
        <f>+'Quarterly Financial Model '!Z185</f>
        <v>-1.2899999999999991</v>
      </c>
      <c r="AA89" s="833">
        <f>+'Quarterly Financial Model '!AA185</f>
        <v>5.4640000000000004</v>
      </c>
      <c r="AB89" s="934">
        <f>+'Quarterly Financial Model '!AB185</f>
        <v>7.8449999999999998</v>
      </c>
      <c r="AC89" s="934">
        <f>+'Quarterly Financial Model '!AC185</f>
        <v>1.4539999999999997</v>
      </c>
      <c r="AD89" s="934">
        <f>+'Quarterly Financial Model '!AD185</f>
        <v>2.546000000000002</v>
      </c>
      <c r="AE89" s="934">
        <f>+'Quarterly Financial Model '!AE185</f>
        <v>1.5749999999999984</v>
      </c>
      <c r="AF89" s="833">
        <f>+'Quarterly Financial Model '!AF185</f>
        <v>13.420000000000002</v>
      </c>
      <c r="AG89" s="837">
        <f>+'Quarterly Financial Model '!AG185</f>
        <v>11.593999999999999</v>
      </c>
      <c r="AH89" s="838">
        <f>+'Quarterly Financial Model '!AH185</f>
        <v>2.1590000000000007</v>
      </c>
      <c r="AI89" s="838">
        <f>+'Quarterly Financial Model '!AI185</f>
        <v>2.0440000000000005</v>
      </c>
      <c r="AJ89" s="839">
        <f>+'Quarterly Financial Model '!AJ185</f>
        <v>-15.617000000000001</v>
      </c>
      <c r="AK89" s="833">
        <f>+'Quarterly Financial Model '!AK185</f>
        <v>0.17999999999999972</v>
      </c>
      <c r="AL89" s="837">
        <f>+'Quarterly Financial Model '!AL185</f>
        <v>6.94</v>
      </c>
      <c r="AM89" s="838">
        <f>+'Quarterly Financial Model '!AM185</f>
        <v>1.1269999999999998</v>
      </c>
      <c r="AN89" s="838">
        <f>+'Quarterly Financial Model '!AN185</f>
        <v>3.1259999999999986</v>
      </c>
      <c r="AO89" s="839">
        <f>+'Quarterly Financial Model '!AO185</f>
        <v>0.9740000000000002</v>
      </c>
      <c r="AP89" s="833">
        <f>+'Quarterly Financial Model '!AP185</f>
        <v>12.166999999999998</v>
      </c>
      <c r="AQ89" s="837">
        <f>+'Quarterly Financial Model '!AQ185</f>
        <v>0</v>
      </c>
      <c r="AR89" s="838">
        <f>+'Quarterly Financial Model '!AR185</f>
        <v>0</v>
      </c>
      <c r="AS89" s="838">
        <f>+'Quarterly Financial Model '!AS185</f>
        <v>0</v>
      </c>
      <c r="AT89" s="839">
        <f>+'Quarterly Financial Model '!AT185</f>
        <v>0</v>
      </c>
      <c r="AU89" s="833">
        <f>+'Quarterly Financial Model '!AU185</f>
        <v>0</v>
      </c>
      <c r="AV89" s="837">
        <f>+'Quarterly Financial Model '!AV185</f>
        <v>0</v>
      </c>
      <c r="AW89" s="838">
        <f>+'Quarterly Financial Model '!AW185</f>
        <v>0</v>
      </c>
      <c r="AX89" s="838">
        <f>+'Quarterly Financial Model '!AX185</f>
        <v>0</v>
      </c>
      <c r="AY89" s="839">
        <f>+'Quarterly Financial Model '!AY185</f>
        <v>0</v>
      </c>
      <c r="AZ89" s="833">
        <f>+'Quarterly Financial Model '!AZ185</f>
        <v>0</v>
      </c>
      <c r="BA89" s="837">
        <f>+'Quarterly Financial Model '!BA185</f>
        <v>0</v>
      </c>
      <c r="BB89" s="838">
        <f>+'Quarterly Financial Model '!BB185</f>
        <v>0</v>
      </c>
      <c r="BC89" s="838">
        <f>+'Quarterly Financial Model '!BC185</f>
        <v>0</v>
      </c>
      <c r="BD89" s="839">
        <f>+'Quarterly Financial Model '!BD185</f>
        <v>0</v>
      </c>
      <c r="BE89" s="833">
        <f>+'Quarterly Financial Model '!BE185</f>
        <v>0</v>
      </c>
      <c r="BF89" s="837">
        <f>+'Quarterly Financial Model '!BF185</f>
        <v>0</v>
      </c>
      <c r="BG89" s="838">
        <f>+'Quarterly Financial Model '!BG185</f>
        <v>0</v>
      </c>
      <c r="BH89" s="838">
        <f>+'Quarterly Financial Model '!BH185</f>
        <v>0</v>
      </c>
      <c r="BI89" s="839">
        <f>+'Quarterly Financial Model '!BI185</f>
        <v>0</v>
      </c>
      <c r="BJ89" s="836">
        <f>+'Quarterly Financial Model '!BJ185</f>
        <v>0</v>
      </c>
    </row>
    <row r="90" spans="1:62">
      <c r="A90" s="939"/>
      <c r="B90" s="949" t="s">
        <v>202</v>
      </c>
      <c r="C90" s="838"/>
      <c r="D90" s="838"/>
      <c r="E90" s="838"/>
      <c r="F90" s="838"/>
      <c r="G90" s="937"/>
      <c r="H90" s="838"/>
      <c r="I90" s="838"/>
      <c r="J90" s="838"/>
      <c r="K90" s="838"/>
      <c r="L90" s="938">
        <f>+'Quarterly Financial Model '!L186</f>
        <v>0</v>
      </c>
      <c r="M90" s="838">
        <f>+'Quarterly Financial Model '!M186</f>
        <v>0</v>
      </c>
      <c r="N90" s="838">
        <f>+'Quarterly Financial Model '!N186</f>
        <v>0</v>
      </c>
      <c r="O90" s="838">
        <f>+'Quarterly Financial Model '!O186</f>
        <v>0</v>
      </c>
      <c r="P90" s="838">
        <f>+'Quarterly Financial Model '!P186</f>
        <v>0</v>
      </c>
      <c r="Q90" s="833">
        <f>+'Quarterly Financial Model '!Q186</f>
        <v>0</v>
      </c>
      <c r="R90" s="934">
        <f>+'Quarterly Financial Model '!R186</f>
        <v>-40.085999999999999</v>
      </c>
      <c r="S90" s="934">
        <f>+'Quarterly Financial Model '!S186</f>
        <v>0</v>
      </c>
      <c r="T90" s="934">
        <f>+'Quarterly Financial Model '!T186</f>
        <v>0</v>
      </c>
      <c r="U90" s="934">
        <f>+'Quarterly Financial Model '!U186</f>
        <v>0</v>
      </c>
      <c r="V90" s="833">
        <f>+'Quarterly Financial Model '!V186</f>
        <v>-40.085999999999999</v>
      </c>
      <c r="W90" s="934">
        <f>+'Quarterly Financial Model '!W186</f>
        <v>0</v>
      </c>
      <c r="X90" s="934">
        <f>+'Quarterly Financial Model '!X186</f>
        <v>0</v>
      </c>
      <c r="Y90" s="934">
        <f>+'Quarterly Financial Model '!Y186</f>
        <v>0</v>
      </c>
      <c r="Z90" s="934">
        <f>+'Quarterly Financial Model '!Z186</f>
        <v>0</v>
      </c>
      <c r="AA90" s="833">
        <f>+'Quarterly Financial Model '!AA186</f>
        <v>0</v>
      </c>
      <c r="AB90" s="934">
        <f>+'Quarterly Financial Model '!AB186</f>
        <v>0</v>
      </c>
      <c r="AC90" s="934">
        <f>+'Quarterly Financial Model '!AC186</f>
        <v>0</v>
      </c>
      <c r="AD90" s="934">
        <f>+'Quarterly Financial Model '!AD186</f>
        <v>0</v>
      </c>
      <c r="AE90" s="934">
        <f>+'Quarterly Financial Model '!AE186</f>
        <v>0</v>
      </c>
      <c r="AF90" s="833">
        <f>+'Quarterly Financial Model '!AF186</f>
        <v>0</v>
      </c>
      <c r="AG90" s="837">
        <f>+'Quarterly Financial Model '!AG186</f>
        <v>0</v>
      </c>
      <c r="AH90" s="838">
        <f>+'Quarterly Financial Model '!AH186</f>
        <v>0</v>
      </c>
      <c r="AI90" s="838">
        <f>+'Quarterly Financial Model '!AI186</f>
        <v>-12.731999999999999</v>
      </c>
      <c r="AJ90" s="839">
        <f>+'Quarterly Financial Model '!AJ186</f>
        <v>-0.16000000000000014</v>
      </c>
      <c r="AK90" s="833">
        <f>+'Quarterly Financial Model '!AK186</f>
        <v>-12.891999999999999</v>
      </c>
      <c r="AL90" s="837">
        <f>+'Quarterly Financial Model '!AL186</f>
        <v>0</v>
      </c>
      <c r="AM90" s="838">
        <f>+'Quarterly Financial Model '!AM186</f>
        <v>0</v>
      </c>
      <c r="AN90" s="838">
        <f>+'Quarterly Financial Model '!AN186</f>
        <v>0</v>
      </c>
      <c r="AO90" s="839">
        <f>+'Quarterly Financial Model '!AO186</f>
        <v>0</v>
      </c>
      <c r="AP90" s="833">
        <f>+'Quarterly Financial Model '!AP186</f>
        <v>0</v>
      </c>
      <c r="AQ90" s="837">
        <f>+'Quarterly Financial Model '!AQ186</f>
        <v>0</v>
      </c>
      <c r="AR90" s="838">
        <f>+'Quarterly Financial Model '!AR186</f>
        <v>0</v>
      </c>
      <c r="AS90" s="838">
        <f>+'Quarterly Financial Model '!AS186</f>
        <v>0</v>
      </c>
      <c r="AT90" s="839">
        <f>+'Quarterly Financial Model '!AT186</f>
        <v>0</v>
      </c>
      <c r="AU90" s="833">
        <f>+'Quarterly Financial Model '!AU186</f>
        <v>0</v>
      </c>
      <c r="AV90" s="837">
        <f>+'Quarterly Financial Model '!AV186</f>
        <v>0</v>
      </c>
      <c r="AW90" s="838">
        <f>+'Quarterly Financial Model '!AW186</f>
        <v>0</v>
      </c>
      <c r="AX90" s="838">
        <f>+'Quarterly Financial Model '!AX186</f>
        <v>0</v>
      </c>
      <c r="AY90" s="839">
        <f>+'Quarterly Financial Model '!AY186</f>
        <v>0</v>
      </c>
      <c r="AZ90" s="833">
        <f>+'Quarterly Financial Model '!AZ186</f>
        <v>0</v>
      </c>
      <c r="BA90" s="837">
        <f>+'Quarterly Financial Model '!BA186</f>
        <v>0</v>
      </c>
      <c r="BB90" s="838">
        <f>+'Quarterly Financial Model '!BB186</f>
        <v>0</v>
      </c>
      <c r="BC90" s="838">
        <f>+'Quarterly Financial Model '!BC186</f>
        <v>0</v>
      </c>
      <c r="BD90" s="839">
        <f>+'Quarterly Financial Model '!BD186</f>
        <v>0</v>
      </c>
      <c r="BE90" s="833">
        <f>+'Quarterly Financial Model '!BE186</f>
        <v>0</v>
      </c>
      <c r="BF90" s="837">
        <f>+'Quarterly Financial Model '!BF186</f>
        <v>0</v>
      </c>
      <c r="BG90" s="838">
        <f>+'Quarterly Financial Model '!BG186</f>
        <v>0</v>
      </c>
      <c r="BH90" s="838">
        <f>+'Quarterly Financial Model '!BH186</f>
        <v>0</v>
      </c>
      <c r="BI90" s="839">
        <f>+'Quarterly Financial Model '!BI186</f>
        <v>0</v>
      </c>
      <c r="BJ90" s="836">
        <f>+'Quarterly Financial Model '!BJ186</f>
        <v>0</v>
      </c>
    </row>
    <row r="91" spans="1:62">
      <c r="A91" s="939"/>
      <c r="B91" s="949" t="s">
        <v>203</v>
      </c>
      <c r="C91" s="838"/>
      <c r="D91" s="838"/>
      <c r="E91" s="838"/>
      <c r="F91" s="838"/>
      <c r="G91" s="937"/>
      <c r="H91" s="838"/>
      <c r="I91" s="838"/>
      <c r="J91" s="838"/>
      <c r="K91" s="838"/>
      <c r="L91" s="938">
        <f>+'Quarterly Financial Model '!L187</f>
        <v>-26.257000000000001</v>
      </c>
      <c r="M91" s="838">
        <f>+'Quarterly Financial Model '!M187</f>
        <v>-2.8000000000000001E-2</v>
      </c>
      <c r="N91" s="838">
        <f>+'Quarterly Financial Model '!N187</f>
        <v>-2.7639999999999998</v>
      </c>
      <c r="O91" s="838">
        <f>+'Quarterly Financial Model '!O187</f>
        <v>0</v>
      </c>
      <c r="P91" s="838">
        <f>+'Quarterly Financial Model '!P187</f>
        <v>-5.600000000000005E-2</v>
      </c>
      <c r="Q91" s="833">
        <f>+'Quarterly Financial Model '!Q187</f>
        <v>-2.8479999999999999</v>
      </c>
      <c r="R91" s="934">
        <f>+'Quarterly Financial Model '!R187</f>
        <v>-22.228999999999999</v>
      </c>
      <c r="S91" s="934">
        <f>+'Quarterly Financial Model '!S187</f>
        <v>-0.30900000000000105</v>
      </c>
      <c r="T91" s="934">
        <f>+'Quarterly Financial Model '!T187</f>
        <v>-10.242999999999995</v>
      </c>
      <c r="U91" s="934">
        <f>+'Quarterly Financial Model '!U187</f>
        <v>-14.803000000000008</v>
      </c>
      <c r="V91" s="833">
        <f>+'Quarterly Financial Model '!V187</f>
        <v>-47.584000000000003</v>
      </c>
      <c r="W91" s="934">
        <f>+'Quarterly Financial Model '!W187</f>
        <v>-6.7960000000000003</v>
      </c>
      <c r="X91" s="934">
        <f>+'Quarterly Financial Model '!X187</f>
        <v>-11.151</v>
      </c>
      <c r="Y91" s="934">
        <f>+'Quarterly Financial Model '!Y187</f>
        <v>-11.031000000000002</v>
      </c>
      <c r="Z91" s="934">
        <f>+'Quarterly Financial Model '!Z187</f>
        <v>-12.176000000000002</v>
      </c>
      <c r="AA91" s="833">
        <f>+'Quarterly Financial Model '!AA187</f>
        <v>-41.154000000000003</v>
      </c>
      <c r="AB91" s="934">
        <f>+'Quarterly Financial Model '!AB187</f>
        <v>0</v>
      </c>
      <c r="AC91" s="934">
        <f>+'Quarterly Financial Model '!AC187</f>
        <v>-5.47</v>
      </c>
      <c r="AD91" s="934">
        <f>+'Quarterly Financial Model '!AD187</f>
        <v>-7.6830000000000007</v>
      </c>
      <c r="AE91" s="934">
        <f>+'Quarterly Financial Model '!AE187</f>
        <v>-9.7580000000000027</v>
      </c>
      <c r="AF91" s="833">
        <f>+'Quarterly Financial Model '!AF187</f>
        <v>-22.911000000000001</v>
      </c>
      <c r="AG91" s="837">
        <f>+'Quarterly Financial Model '!AG187</f>
        <v>-5.1549999999999994</v>
      </c>
      <c r="AH91" s="838">
        <f>+'Quarterly Financial Model '!AH187</f>
        <v>-0.60400000000000098</v>
      </c>
      <c r="AI91" s="838">
        <f>+'Quarterly Financial Model '!AI187</f>
        <v>3.1320000000000006</v>
      </c>
      <c r="AJ91" s="839">
        <f>+'Quarterly Financial Model '!AJ187</f>
        <v>0</v>
      </c>
      <c r="AK91" s="833">
        <f>+'Quarterly Financial Model '!AK187</f>
        <v>-2.6269999999999998</v>
      </c>
      <c r="AL91" s="837">
        <f>+'Quarterly Financial Model '!AL187</f>
        <v>-4.22</v>
      </c>
      <c r="AM91" s="838">
        <f>+'Quarterly Financial Model '!AM187</f>
        <v>0</v>
      </c>
      <c r="AN91" s="838">
        <f>+'Quarterly Financial Model '!AN187</f>
        <v>-4.8100000000000014</v>
      </c>
      <c r="AO91" s="839">
        <f>+'Quarterly Financial Model '!AO187</f>
        <v>-3.9159999999999995</v>
      </c>
      <c r="AP91" s="833">
        <f>+'Quarterly Financial Model '!AP187</f>
        <v>-12.946000000000002</v>
      </c>
      <c r="AQ91" s="837">
        <f>+'Quarterly Financial Model '!AQ187</f>
        <v>-5.7789999999999999</v>
      </c>
      <c r="AR91" s="838">
        <f>+'Quarterly Financial Model '!AR187</f>
        <v>-4.9459999999999997</v>
      </c>
      <c r="AS91" s="838">
        <f>+'Quarterly Financial Model '!AS187</f>
        <v>-1.7829999999999995</v>
      </c>
      <c r="AT91" s="839">
        <f>+'Quarterly Financial Model '!AT187</f>
        <v>-10.043999999999999</v>
      </c>
      <c r="AU91" s="833">
        <f>+'Quarterly Financial Model '!AU187</f>
        <v>-22.552</v>
      </c>
      <c r="AV91" s="837">
        <f>+'Quarterly Financial Model '!AV187</f>
        <v>0</v>
      </c>
      <c r="AW91" s="838">
        <f>+'Quarterly Financial Model '!AW187</f>
        <v>0</v>
      </c>
      <c r="AX91" s="838">
        <f>+'Quarterly Financial Model '!AX187</f>
        <v>0</v>
      </c>
      <c r="AY91" s="839">
        <f>+'Quarterly Financial Model '!AY187</f>
        <v>0</v>
      </c>
      <c r="AZ91" s="833">
        <f>+'Quarterly Financial Model '!AZ187</f>
        <v>0</v>
      </c>
      <c r="BA91" s="837">
        <f>+'Quarterly Financial Model '!BA187</f>
        <v>0</v>
      </c>
      <c r="BB91" s="838">
        <f>+'Quarterly Financial Model '!BB187</f>
        <v>0</v>
      </c>
      <c r="BC91" s="838">
        <f>+'Quarterly Financial Model '!BC187</f>
        <v>0</v>
      </c>
      <c r="BD91" s="839">
        <f>+'Quarterly Financial Model '!BD187</f>
        <v>0</v>
      </c>
      <c r="BE91" s="833">
        <f>+'Quarterly Financial Model '!BE187</f>
        <v>0</v>
      </c>
      <c r="BF91" s="837">
        <f>+'Quarterly Financial Model '!BF187</f>
        <v>0</v>
      </c>
      <c r="BG91" s="838">
        <f>+'Quarterly Financial Model '!BG187</f>
        <v>0</v>
      </c>
      <c r="BH91" s="838">
        <f>+'Quarterly Financial Model '!BH187</f>
        <v>0</v>
      </c>
      <c r="BI91" s="839">
        <f>+'Quarterly Financial Model '!BI187</f>
        <v>0</v>
      </c>
      <c r="BJ91" s="836">
        <f>+'Quarterly Financial Model '!BJ187</f>
        <v>0</v>
      </c>
    </row>
    <row r="92" spans="1:62">
      <c r="A92" s="939"/>
      <c r="B92" s="941" t="s">
        <v>204</v>
      </c>
      <c r="C92" s="947"/>
      <c r="D92" s="947"/>
      <c r="E92" s="947"/>
      <c r="F92" s="947"/>
      <c r="G92" s="943"/>
      <c r="H92" s="947"/>
      <c r="I92" s="947"/>
      <c r="J92" s="947"/>
      <c r="K92" s="947"/>
      <c r="L92" s="944">
        <f>+'Quarterly Financial Model '!L188</f>
        <v>448.15800000000002</v>
      </c>
      <c r="M92" s="947">
        <f>+'Quarterly Financial Model '!M188</f>
        <v>-4</v>
      </c>
      <c r="N92" s="947">
        <f>+'Quarterly Financial Model '!N188</f>
        <v>-14.077</v>
      </c>
      <c r="O92" s="947">
        <f>+'Quarterly Financial Model '!O188</f>
        <v>-6.4339999999999993</v>
      </c>
      <c r="P92" s="947">
        <f>+'Quarterly Financial Model '!P188</f>
        <v>-4.9859999999999998</v>
      </c>
      <c r="Q92" s="944">
        <f>+'Quarterly Financial Model '!Q188</f>
        <v>-29.496999999999996</v>
      </c>
      <c r="R92" s="947">
        <f>+'Quarterly Financial Model '!R188</f>
        <v>-145.07000000000016</v>
      </c>
      <c r="S92" s="947">
        <f>+'Quarterly Financial Model '!S188</f>
        <v>-19.384999999999987</v>
      </c>
      <c r="T92" s="947">
        <f>+'Quarterly Financial Model '!T188</f>
        <v>-23.461999999999975</v>
      </c>
      <c r="U92" s="947">
        <f>+'Quarterly Financial Model '!U188</f>
        <v>8.6029999999999944</v>
      </c>
      <c r="V92" s="944">
        <f>+'Quarterly Financial Model '!V188</f>
        <v>-179.31400000000011</v>
      </c>
      <c r="W92" s="947">
        <f>+'Quarterly Financial Model '!W188</f>
        <v>-69.272000000000006</v>
      </c>
      <c r="X92" s="947">
        <f>+'Quarterly Financial Model '!X188</f>
        <v>214.00300000000001</v>
      </c>
      <c r="Y92" s="947">
        <f>+'Quarterly Financial Model '!Y188</f>
        <v>-36.939999999999984</v>
      </c>
      <c r="Z92" s="947">
        <f>+'Quarterly Financial Model '!Z188</f>
        <v>-255.74600000000004</v>
      </c>
      <c r="AA92" s="944">
        <f>+'Quarterly Financial Model '!AA188</f>
        <v>-147.95499999999998</v>
      </c>
      <c r="AB92" s="947">
        <f>+'Quarterly Financial Model '!AB188</f>
        <v>-72.819999999999993</v>
      </c>
      <c r="AC92" s="947">
        <f>+'Quarterly Financial Model '!AC188</f>
        <v>1617.6869999999999</v>
      </c>
      <c r="AD92" s="947">
        <f>+'Quarterly Financial Model '!AD188</f>
        <v>-37.079999999999934</v>
      </c>
      <c r="AE92" s="947">
        <f>+'Quarterly Financial Model '!AE188</f>
        <v>-61.594999999999999</v>
      </c>
      <c r="AF92" s="944">
        <f>+'Quarterly Financial Model '!AF188</f>
        <v>1446.192</v>
      </c>
      <c r="AG92" s="947">
        <f>+'Quarterly Financial Model '!AG188</f>
        <v>-256.77699999999999</v>
      </c>
      <c r="AH92" s="947">
        <f>+'Quarterly Financial Model '!AH188</f>
        <v>-27.219000000000023</v>
      </c>
      <c r="AI92" s="947">
        <f>+'Quarterly Financial Model '!AI188</f>
        <v>-242.91500000000002</v>
      </c>
      <c r="AJ92" s="947">
        <f>+'Quarterly Financial Model '!AJ188</f>
        <v>-318.71199999999999</v>
      </c>
      <c r="AK92" s="944">
        <f>+'Quarterly Financial Model '!AK188</f>
        <v>-845.62299999999993</v>
      </c>
      <c r="AL92" s="947">
        <f>+'Quarterly Financial Model '!AL188</f>
        <v>-94.343000000000089</v>
      </c>
      <c r="AM92" s="947">
        <f>+'Quarterly Financial Model '!AM188</f>
        <v>-63.225999999999907</v>
      </c>
      <c r="AN92" s="947">
        <f>+'Quarterly Financial Model '!AN188</f>
        <v>-168.58000000000004</v>
      </c>
      <c r="AO92" s="947">
        <f>+'Quarterly Financial Model '!AO188</f>
        <v>169.73199999999972</v>
      </c>
      <c r="AP92" s="944">
        <f>+'Quarterly Financial Model '!AP188</f>
        <v>-156.41700000000037</v>
      </c>
      <c r="AQ92" s="947">
        <f>+'Quarterly Financial Model '!AQ188</f>
        <v>-112.32499999999996</v>
      </c>
      <c r="AR92" s="947">
        <f>+'Quarterly Financial Model '!AR188</f>
        <v>268.17999999999967</v>
      </c>
      <c r="AS92" s="947">
        <f>+'Quarterly Financial Model '!AS188</f>
        <v>-78.449999999999847</v>
      </c>
      <c r="AT92" s="947">
        <f>+'Quarterly Financial Model '!AT188</f>
        <v>954.96200000000044</v>
      </c>
      <c r="AU92" s="944">
        <f>+'Quarterly Financial Model '!AU188</f>
        <v>1032.3670000000018</v>
      </c>
      <c r="AV92" s="947">
        <f>+'Quarterly Financial Model '!AV188</f>
        <v>2850</v>
      </c>
      <c r="AW92" s="947">
        <f>+'Quarterly Financial Model '!AW188</f>
        <v>0</v>
      </c>
      <c r="AX92" s="947">
        <f>+'Quarterly Financial Model '!AX188</f>
        <v>0</v>
      </c>
      <c r="AY92" s="947">
        <f>+'Quarterly Financial Model '!AY188</f>
        <v>0</v>
      </c>
      <c r="AZ92" s="944">
        <f>+'Quarterly Financial Model '!AZ188</f>
        <v>2850</v>
      </c>
      <c r="BA92" s="947">
        <f>+'Quarterly Financial Model '!BA188</f>
        <v>-100</v>
      </c>
      <c r="BB92" s="947">
        <f>+'Quarterly Financial Model '!BB188</f>
        <v>-100</v>
      </c>
      <c r="BC92" s="947">
        <f>+'Quarterly Financial Model '!BC188</f>
        <v>-100</v>
      </c>
      <c r="BD92" s="947">
        <f>+'Quarterly Financial Model '!BD188</f>
        <v>-100</v>
      </c>
      <c r="BE92" s="944">
        <f>+'Quarterly Financial Model '!BE188</f>
        <v>-400</v>
      </c>
      <c r="BF92" s="947">
        <f>+'Quarterly Financial Model '!BF188</f>
        <v>0</v>
      </c>
      <c r="BG92" s="947">
        <f>+'Quarterly Financial Model '!BG188</f>
        <v>0</v>
      </c>
      <c r="BH92" s="947">
        <f>+'Quarterly Financial Model '!BH188</f>
        <v>0</v>
      </c>
      <c r="BI92" s="947">
        <f>+'Quarterly Financial Model '!BI188</f>
        <v>0</v>
      </c>
      <c r="BJ92" s="944">
        <f>+'Quarterly Financial Model '!BJ188</f>
        <v>0</v>
      </c>
    </row>
    <row r="93" spans="1:62">
      <c r="A93" s="939"/>
      <c r="B93" s="932"/>
      <c r="C93" s="838"/>
      <c r="D93" s="838"/>
      <c r="E93" s="838"/>
      <c r="F93" s="838"/>
      <c r="G93" s="950"/>
      <c r="H93" s="838"/>
      <c r="I93" s="838"/>
      <c r="J93" s="838"/>
      <c r="K93" s="838"/>
      <c r="L93" s="950"/>
      <c r="M93" s="838"/>
      <c r="N93" s="838"/>
      <c r="O93" s="838"/>
      <c r="P93" s="838"/>
      <c r="Q93" s="950"/>
      <c r="R93" s="838"/>
      <c r="S93" s="838"/>
      <c r="T93" s="838"/>
      <c r="U93" s="838"/>
      <c r="V93" s="950"/>
      <c r="W93" s="838"/>
      <c r="X93" s="838"/>
      <c r="Y93" s="838"/>
      <c r="Z93" s="838"/>
      <c r="AA93" s="950"/>
      <c r="AB93" s="838"/>
      <c r="AC93" s="838"/>
      <c r="AD93" s="838"/>
      <c r="AE93" s="838"/>
      <c r="AF93" s="950"/>
      <c r="AG93" s="838"/>
      <c r="AH93" s="838"/>
      <c r="AI93" s="838"/>
      <c r="AJ93" s="838"/>
      <c r="AK93" s="950"/>
      <c r="AL93" s="838"/>
      <c r="AM93" s="838"/>
      <c r="AN93" s="838"/>
      <c r="AO93" s="838"/>
      <c r="AP93" s="950"/>
      <c r="AQ93" s="838"/>
      <c r="AR93" s="838"/>
      <c r="AS93" s="838"/>
      <c r="AT93" s="838"/>
      <c r="AU93" s="950"/>
      <c r="AV93" s="838"/>
      <c r="AW93" s="838"/>
      <c r="AX93" s="838"/>
      <c r="AY93" s="838"/>
      <c r="AZ93" s="950"/>
      <c r="BA93" s="838"/>
      <c r="BB93" s="838"/>
      <c r="BC93" s="838"/>
      <c r="BD93" s="838"/>
      <c r="BE93" s="950"/>
      <c r="BF93" s="838"/>
      <c r="BG93" s="838"/>
      <c r="BH93" s="838"/>
      <c r="BI93" s="838"/>
      <c r="BJ93" s="1284"/>
    </row>
    <row r="94" spans="1:62">
      <c r="A94" s="939"/>
      <c r="B94" s="941" t="s">
        <v>205</v>
      </c>
      <c r="C94" s="947"/>
      <c r="D94" s="947"/>
      <c r="E94" s="947"/>
      <c r="F94" s="947"/>
      <c r="G94" s="951"/>
      <c r="H94" s="947"/>
      <c r="I94" s="947"/>
      <c r="J94" s="947"/>
      <c r="K94" s="947"/>
      <c r="L94" s="951">
        <f>+'Quarterly Financial Model '!L190</f>
        <v>-52.656999999999925</v>
      </c>
      <c r="M94" s="947">
        <f>+'Quarterly Financial Model '!M190</f>
        <v>-13.711999999999993</v>
      </c>
      <c r="N94" s="947">
        <f>+'Quarterly Financial Model '!N190</f>
        <v>33.030999999999985</v>
      </c>
      <c r="O94" s="947">
        <f>+'Quarterly Financial Model '!O190</f>
        <v>55.112000000000023</v>
      </c>
      <c r="P94" s="947">
        <f>+'Quarterly Financial Model '!P190</f>
        <v>59.606000000000016</v>
      </c>
      <c r="Q94" s="951">
        <f>+'Quarterly Financial Model '!Q190</f>
        <v>134.03700000000001</v>
      </c>
      <c r="R94" s="947">
        <f>+'Quarterly Financial Model '!R190</f>
        <v>-214.18700000000015</v>
      </c>
      <c r="S94" s="947">
        <f>+'Quarterly Financial Model '!S190</f>
        <v>152.46100000000001</v>
      </c>
      <c r="T94" s="947">
        <f>+'Quarterly Financial Model '!T190</f>
        <v>71.934000000000026</v>
      </c>
      <c r="U94" s="947">
        <f>+'Quarterly Financial Model '!U190</f>
        <v>-313.69899999999996</v>
      </c>
      <c r="V94" s="944">
        <f>+'Quarterly Financial Model '!V190</f>
        <v>-303.4910000000001</v>
      </c>
      <c r="W94" s="947">
        <f>+'Quarterly Financial Model '!W190</f>
        <v>74.682000000000031</v>
      </c>
      <c r="X94" s="947">
        <f>+'Quarterly Financial Model '!X190</f>
        <v>330.851</v>
      </c>
      <c r="Y94" s="947">
        <f>+'Quarterly Financial Model '!Y190</f>
        <v>-168.33199999999999</v>
      </c>
      <c r="Z94" s="947">
        <f>+'Quarterly Financial Model '!Z190</f>
        <v>-132.83200000000005</v>
      </c>
      <c r="AA94" s="944">
        <f>+'Quarterly Financial Model '!AA190</f>
        <v>104.36899999999986</v>
      </c>
      <c r="AB94" s="947">
        <f>+'Quarterly Financial Model '!AB190</f>
        <v>-34.458999999999989</v>
      </c>
      <c r="AC94" s="947">
        <f>+'Quarterly Financial Model '!AC190</f>
        <v>93.686999999999898</v>
      </c>
      <c r="AD94" s="947">
        <f>+'Quarterly Financial Model '!AD190</f>
        <v>140.79200000000003</v>
      </c>
      <c r="AE94" s="947">
        <f>+'Quarterly Financial Model '!AE190</f>
        <v>40.120999999999995</v>
      </c>
      <c r="AF94" s="951">
        <f>+'Quarterly Financial Model '!AF190</f>
        <v>240.14100000000053</v>
      </c>
      <c r="AG94" s="947">
        <f>+'Quarterly Financial Model '!AG190</f>
        <v>-172.02999999999997</v>
      </c>
      <c r="AH94" s="947">
        <f>+'Quarterly Financial Model '!AH190</f>
        <v>161.24399999999994</v>
      </c>
      <c r="AI94" s="947">
        <f>+'Quarterly Financial Model '!AI190</f>
        <v>-113.22000000000003</v>
      </c>
      <c r="AJ94" s="947">
        <f>+'Quarterly Financial Model '!AJ190</f>
        <v>-90.465999999999951</v>
      </c>
      <c r="AK94" s="944">
        <f>+'Quarterly Financial Model '!AK190</f>
        <v>-214.47200000000009</v>
      </c>
      <c r="AL94" s="947">
        <f>+'Quarterly Financial Model '!AL190</f>
        <v>-114.54200000000009</v>
      </c>
      <c r="AM94" s="947">
        <f>+'Quarterly Financial Model '!AM190</f>
        <v>120.17000000000004</v>
      </c>
      <c r="AN94" s="947">
        <f>+'Quarterly Financial Model '!AN190</f>
        <v>-18.906000000000034</v>
      </c>
      <c r="AO94" s="947">
        <f>+'Quarterly Financial Model '!AO190</f>
        <v>-44.670000000000329</v>
      </c>
      <c r="AP94" s="944">
        <f>+'Quarterly Financial Model '!AP190</f>
        <v>-57.948000000000548</v>
      </c>
      <c r="AQ94" s="947">
        <f>+'Quarterly Financial Model '!AQ190</f>
        <v>-0.86699999999999022</v>
      </c>
      <c r="AR94" s="947">
        <f>+'Quarterly Financial Model '!AR190</f>
        <v>-18.36500000000035</v>
      </c>
      <c r="AS94" s="947">
        <f>+'Quarterly Financial Model '!AS190</f>
        <v>-27.277999999999764</v>
      </c>
      <c r="AT94" s="947">
        <f>+'Quarterly Financial Model '!AT190</f>
        <v>33.865000000000578</v>
      </c>
      <c r="AU94" s="951">
        <f>+'Quarterly Financial Model '!AU190</f>
        <v>-12.644999999997935</v>
      </c>
      <c r="AV94" s="947">
        <f>+'Quarterly Financial Model '!AV190</f>
        <v>-473.00766508661627</v>
      </c>
      <c r="AW94" s="947">
        <f>+'Quarterly Financial Model '!AW190</f>
        <v>270.84868391667703</v>
      </c>
      <c r="AX94" s="947">
        <f>+'Quarterly Financial Model '!AX190</f>
        <v>141.0338646514042</v>
      </c>
      <c r="AY94" s="947">
        <f>+'Quarterly Financial Model '!AY190</f>
        <v>292.48237686362961</v>
      </c>
      <c r="AZ94" s="951">
        <f>+'Quarterly Financial Model '!AZ190</f>
        <v>231.3572603450948</v>
      </c>
      <c r="BA94" s="947">
        <f>+'Quarterly Financial Model '!BA190</f>
        <v>245.90032357316051</v>
      </c>
      <c r="BB94" s="947">
        <f>+'Quarterly Financial Model '!BB190</f>
        <v>232.27355743068864</v>
      </c>
      <c r="BC94" s="947">
        <f>+'Quarterly Financial Model '!BC190</f>
        <v>99.913963875786209</v>
      </c>
      <c r="BD94" s="947">
        <f>+'Quarterly Financial Model '!BD190</f>
        <v>243.85812453470578</v>
      </c>
      <c r="BE94" s="951">
        <f>+'Quarterly Financial Model '!BE190</f>
        <v>821.94596941434133</v>
      </c>
      <c r="BF94" s="947">
        <f>+'Quarterly Financial Model '!BF190</f>
        <v>351.73967776550501</v>
      </c>
      <c r="BG94" s="947">
        <f>+'Quarterly Financial Model '!BG190</f>
        <v>378.92003061868894</v>
      </c>
      <c r="BH94" s="947">
        <f>+'Quarterly Financial Model '!BH190</f>
        <v>235.78731160444312</v>
      </c>
      <c r="BI94" s="947">
        <f>+'Quarterly Financial Model '!BI190</f>
        <v>393.77493663245912</v>
      </c>
      <c r="BJ94" s="951">
        <f>+'Quarterly Financial Model '!BJ190</f>
        <v>1360.2219566210961</v>
      </c>
    </row>
    <row r="95" spans="1:62">
      <c r="A95" s="939"/>
      <c r="B95" s="952"/>
      <c r="C95" s="953"/>
      <c r="D95" s="953"/>
      <c r="E95" s="953"/>
      <c r="F95" s="953"/>
      <c r="G95" s="954"/>
      <c r="H95" s="953"/>
      <c r="I95" s="953"/>
      <c r="J95" s="953"/>
      <c r="K95" s="953"/>
      <c r="L95" s="954"/>
      <c r="M95" s="8"/>
      <c r="N95" s="8"/>
      <c r="O95" s="8"/>
      <c r="P95" s="8"/>
      <c r="Q95" s="954"/>
      <c r="R95" s="8"/>
      <c r="S95" s="8"/>
      <c r="T95" s="8"/>
      <c r="U95" s="8"/>
      <c r="V95" s="954"/>
      <c r="W95" s="954"/>
      <c r="X95" s="954"/>
      <c r="Y95" s="954"/>
      <c r="Z95" s="954"/>
      <c r="AA95" s="955"/>
      <c r="AB95" s="954"/>
      <c r="AC95" s="954"/>
      <c r="AD95" s="954"/>
      <c r="AE95" s="954"/>
      <c r="AF95" s="955"/>
      <c r="AG95" s="954"/>
      <c r="AH95" s="954"/>
      <c r="AI95" s="954"/>
      <c r="AJ95" s="954"/>
      <c r="AK95" s="955"/>
      <c r="AL95" s="954"/>
      <c r="AM95" s="954"/>
      <c r="AN95" s="954"/>
      <c r="AO95" s="954"/>
      <c r="AP95" s="955"/>
      <c r="AQ95" s="954"/>
      <c r="AR95" s="954"/>
      <c r="AS95" s="954"/>
      <c r="AT95" s="954"/>
      <c r="AU95" s="955"/>
      <c r="AV95" s="954"/>
      <c r="AW95" s="954"/>
      <c r="AX95" s="954"/>
      <c r="AY95" s="954"/>
      <c r="AZ95" s="955"/>
      <c r="BA95" s="954"/>
      <c r="BB95" s="954"/>
      <c r="BC95" s="954"/>
      <c r="BD95" s="954"/>
      <c r="BE95" s="955"/>
      <c r="BF95" s="954"/>
      <c r="BG95" s="954"/>
      <c r="BH95" s="954"/>
      <c r="BI95" s="954"/>
      <c r="BJ95" s="955"/>
    </row>
    <row r="96" spans="1:62">
      <c r="A96" s="939"/>
      <c r="B96" s="1314" t="s">
        <v>309</v>
      </c>
      <c r="C96" s="810"/>
      <c r="D96" s="810"/>
      <c r="E96" s="810"/>
      <c r="F96" s="810"/>
      <c r="G96" s="811"/>
      <c r="H96" s="810"/>
      <c r="I96" s="810"/>
      <c r="J96" s="810"/>
      <c r="K96" s="810"/>
      <c r="L96" s="811"/>
      <c r="M96" s="810"/>
      <c r="N96" s="810"/>
      <c r="O96" s="810"/>
      <c r="P96" s="810"/>
      <c r="Q96" s="811"/>
      <c r="R96" s="810"/>
      <c r="S96" s="810"/>
      <c r="T96" s="810"/>
      <c r="U96" s="810"/>
      <c r="V96" s="811"/>
      <c r="W96" s="810"/>
      <c r="X96" s="810"/>
      <c r="Y96" s="810"/>
      <c r="Z96" s="810"/>
      <c r="AA96" s="811"/>
      <c r="AB96" s="810"/>
      <c r="AC96" s="810"/>
      <c r="AD96" s="810"/>
      <c r="AE96" s="810"/>
      <c r="AF96" s="811"/>
      <c r="AG96" s="810"/>
      <c r="AH96" s="810"/>
      <c r="AI96" s="810"/>
      <c r="AJ96" s="810"/>
      <c r="AK96" s="811"/>
      <c r="AL96" s="810"/>
      <c r="AM96" s="810"/>
      <c r="AN96" s="810"/>
      <c r="AO96" s="810"/>
      <c r="AP96" s="811"/>
      <c r="AQ96" s="810"/>
      <c r="AR96" s="810"/>
      <c r="AS96" s="810"/>
      <c r="AT96" s="810"/>
      <c r="AU96" s="811"/>
      <c r="AV96" s="810"/>
      <c r="AW96" s="810"/>
      <c r="AX96" s="810"/>
      <c r="AY96" s="810"/>
      <c r="AZ96" s="811"/>
      <c r="BA96" s="810"/>
      <c r="BB96" s="810"/>
      <c r="BC96" s="810"/>
      <c r="BD96" s="810"/>
      <c r="BE96" s="811"/>
      <c r="BF96" s="810"/>
      <c r="BG96" s="810"/>
      <c r="BH96" s="810"/>
      <c r="BI96" s="810"/>
      <c r="BJ96" s="811"/>
    </row>
    <row r="97" spans="1:62">
      <c r="A97" s="939"/>
      <c r="B97" s="1313" t="s">
        <v>309</v>
      </c>
      <c r="C97" s="812" t="str">
        <f>+C5</f>
        <v>1Q09A</v>
      </c>
      <c r="D97" s="812" t="str">
        <f t="shared" ref="D97:AZ97" si="2">+D5</f>
        <v>2Q09A</v>
      </c>
      <c r="E97" s="812" t="str">
        <f t="shared" si="2"/>
        <v>3Q09A</v>
      </c>
      <c r="F97" s="812" t="str">
        <f t="shared" si="2"/>
        <v>4Q09A</v>
      </c>
      <c r="G97" s="813" t="str">
        <f t="shared" si="2"/>
        <v>2009A</v>
      </c>
      <c r="H97" s="812" t="str">
        <f t="shared" si="2"/>
        <v>1Q10A</v>
      </c>
      <c r="I97" s="812" t="str">
        <f t="shared" si="2"/>
        <v>2Q10A</v>
      </c>
      <c r="J97" s="812" t="str">
        <f t="shared" si="2"/>
        <v>3Q10A</v>
      </c>
      <c r="K97" s="812" t="str">
        <f t="shared" si="2"/>
        <v>4Q10A</v>
      </c>
      <c r="L97" s="813" t="str">
        <f t="shared" si="2"/>
        <v>2010A</v>
      </c>
      <c r="M97" s="812" t="str">
        <f t="shared" si="2"/>
        <v>1Q11A</v>
      </c>
      <c r="N97" s="812" t="str">
        <f t="shared" si="2"/>
        <v>2Q11A</v>
      </c>
      <c r="O97" s="812" t="str">
        <f t="shared" si="2"/>
        <v>3Q11A</v>
      </c>
      <c r="P97" s="812" t="str">
        <f t="shared" si="2"/>
        <v>4Q11A</v>
      </c>
      <c r="Q97" s="813" t="str">
        <f t="shared" si="2"/>
        <v>2011A</v>
      </c>
      <c r="R97" s="812" t="str">
        <f t="shared" si="2"/>
        <v>1Q12A</v>
      </c>
      <c r="S97" s="812" t="str">
        <f t="shared" si="2"/>
        <v>2Q12A</v>
      </c>
      <c r="T97" s="812" t="str">
        <f t="shared" si="2"/>
        <v>3Q12A</v>
      </c>
      <c r="U97" s="812" t="str">
        <f t="shared" si="2"/>
        <v>4Q12A</v>
      </c>
      <c r="V97" s="813" t="str">
        <f t="shared" si="2"/>
        <v>2012A</v>
      </c>
      <c r="W97" s="812" t="str">
        <f t="shared" si="2"/>
        <v>1Q13A</v>
      </c>
      <c r="X97" s="812" t="str">
        <f t="shared" si="2"/>
        <v>2Q13A</v>
      </c>
      <c r="Y97" s="812" t="str">
        <f t="shared" si="2"/>
        <v>3Q13A</v>
      </c>
      <c r="Z97" s="812" t="str">
        <f t="shared" si="2"/>
        <v>4Q13A</v>
      </c>
      <c r="AA97" s="813" t="str">
        <f t="shared" si="2"/>
        <v>2013A</v>
      </c>
      <c r="AB97" s="812" t="str">
        <f t="shared" si="2"/>
        <v>1Q14A</v>
      </c>
      <c r="AC97" s="812" t="str">
        <f t="shared" si="2"/>
        <v>2Q14A</v>
      </c>
      <c r="AD97" s="812" t="str">
        <f t="shared" si="2"/>
        <v>3Q14A</v>
      </c>
      <c r="AE97" s="812" t="str">
        <f t="shared" si="2"/>
        <v>4Q14A</v>
      </c>
      <c r="AF97" s="813" t="str">
        <f t="shared" si="2"/>
        <v>2014A</v>
      </c>
      <c r="AG97" s="812" t="str">
        <f t="shared" si="2"/>
        <v>1Q15A</v>
      </c>
      <c r="AH97" s="812" t="str">
        <f t="shared" si="2"/>
        <v>2Q15A</v>
      </c>
      <c r="AI97" s="812" t="str">
        <f t="shared" si="2"/>
        <v>3Q15A</v>
      </c>
      <c r="AJ97" s="812" t="str">
        <f t="shared" si="2"/>
        <v>4Q15A</v>
      </c>
      <c r="AK97" s="813" t="str">
        <f t="shared" si="2"/>
        <v>2015A</v>
      </c>
      <c r="AL97" s="812" t="str">
        <f t="shared" si="2"/>
        <v>1Q16A</v>
      </c>
      <c r="AM97" s="812" t="str">
        <f t="shared" si="2"/>
        <v>2Q16A</v>
      </c>
      <c r="AN97" s="812" t="str">
        <f t="shared" si="2"/>
        <v>3Q16A</v>
      </c>
      <c r="AO97" s="812" t="str">
        <f t="shared" si="2"/>
        <v>4Q16A</v>
      </c>
      <c r="AP97" s="813" t="str">
        <f t="shared" si="2"/>
        <v>2016A</v>
      </c>
      <c r="AQ97" s="812" t="str">
        <f t="shared" si="2"/>
        <v>1Q17A</v>
      </c>
      <c r="AR97" s="812" t="str">
        <f t="shared" si="2"/>
        <v>2Q17A</v>
      </c>
      <c r="AS97" s="812" t="str">
        <f t="shared" si="2"/>
        <v>3Q17A</v>
      </c>
      <c r="AT97" s="812" t="str">
        <f t="shared" si="2"/>
        <v>4Q17A</v>
      </c>
      <c r="AU97" s="813" t="str">
        <f t="shared" si="2"/>
        <v>2017A</v>
      </c>
      <c r="AV97" s="812" t="str">
        <f t="shared" si="2"/>
        <v>1Q18E</v>
      </c>
      <c r="AW97" s="812" t="str">
        <f t="shared" si="2"/>
        <v>2Q18E</v>
      </c>
      <c r="AX97" s="812" t="str">
        <f t="shared" si="2"/>
        <v>3Q18E</v>
      </c>
      <c r="AY97" s="812" t="str">
        <f t="shared" si="2"/>
        <v>4Q18E</v>
      </c>
      <c r="AZ97" s="813" t="str">
        <f t="shared" si="2"/>
        <v>2018E</v>
      </c>
      <c r="BA97" s="812" t="str">
        <f t="shared" ref="BA97:BJ97" si="3">+BA5</f>
        <v>1Q19E</v>
      </c>
      <c r="BB97" s="812" t="str">
        <f t="shared" si="3"/>
        <v>2Q19E</v>
      </c>
      <c r="BC97" s="812" t="str">
        <f t="shared" si="3"/>
        <v>3Q19E</v>
      </c>
      <c r="BD97" s="812" t="str">
        <f t="shared" si="3"/>
        <v>4Q19E</v>
      </c>
      <c r="BE97" s="813" t="str">
        <f t="shared" si="3"/>
        <v>2019E</v>
      </c>
      <c r="BF97" s="812" t="str">
        <f t="shared" si="3"/>
        <v>1Q20E</v>
      </c>
      <c r="BG97" s="812" t="str">
        <f t="shared" si="3"/>
        <v>2Q20E</v>
      </c>
      <c r="BH97" s="812" t="str">
        <f t="shared" si="3"/>
        <v>3Q20E</v>
      </c>
      <c r="BI97" s="812" t="str">
        <f t="shared" si="3"/>
        <v>4Q20E</v>
      </c>
      <c r="BJ97" s="813" t="str">
        <f t="shared" si="3"/>
        <v>2020E</v>
      </c>
    </row>
    <row r="98" spans="1:62">
      <c r="A98" s="939"/>
      <c r="B98" s="956" t="s">
        <v>213</v>
      </c>
      <c r="C98" s="946"/>
      <c r="D98" s="946"/>
      <c r="E98" s="946"/>
      <c r="F98" s="946"/>
      <c r="G98" s="957">
        <f>+'Quarterly Financial Model '!G208</f>
        <v>289.16899999999998</v>
      </c>
      <c r="H98" s="946"/>
      <c r="I98" s="946"/>
      <c r="J98" s="946"/>
      <c r="K98" s="946"/>
      <c r="L98" s="957">
        <f>+'Quarterly Financial Model '!L208</f>
        <v>236.512</v>
      </c>
      <c r="M98" s="946">
        <f>+'Quarterly Financial Model '!M208</f>
        <v>222.8</v>
      </c>
      <c r="N98" s="946">
        <f>+'Quarterly Financial Model '!N208</f>
        <v>255.83099999999999</v>
      </c>
      <c r="O98" s="946">
        <f>+'Quarterly Financial Model '!O208</f>
        <v>310.94299999999998</v>
      </c>
      <c r="P98" s="946">
        <f>+'Quarterly Financial Model '!P208</f>
        <v>370.54899999999998</v>
      </c>
      <c r="Q98" s="957">
        <f>+'Quarterly Financial Model '!Q208</f>
        <v>370.54899999999998</v>
      </c>
      <c r="R98" s="946">
        <f>+'Quarterly Financial Model '!R208</f>
        <v>156.36199999999999</v>
      </c>
      <c r="S98" s="946">
        <f>+'Quarterly Financial Model '!S208</f>
        <v>308.82299999999998</v>
      </c>
      <c r="T98" s="946">
        <f>+'Quarterly Financial Model '!T208</f>
        <v>380.75700000000001</v>
      </c>
      <c r="U98" s="946">
        <f>+'Quarterly Financial Model '!U208</f>
        <v>67.058000000000007</v>
      </c>
      <c r="V98" s="957">
        <f>+'Quarterly Financial Model '!V208</f>
        <v>67.058000000000007</v>
      </c>
      <c r="W98" s="946">
        <f>+'Quarterly Financial Model '!W208</f>
        <v>141.74</v>
      </c>
      <c r="X98" s="946">
        <f>+'Quarterly Financial Model '!X208</f>
        <v>472.59100000000001</v>
      </c>
      <c r="Y98" s="946">
        <f>+'Quarterly Financial Model '!Y208</f>
        <v>304.25900000000001</v>
      </c>
      <c r="Z98" s="946">
        <f>+'Quarterly Financial Model '!Z208</f>
        <v>171.42699999999999</v>
      </c>
      <c r="AA98" s="957">
        <f>+'Quarterly Financial Model '!AA208</f>
        <v>171.42699999999999</v>
      </c>
      <c r="AB98" s="946">
        <f>+'Quarterly Financial Model '!AB208</f>
        <v>136.96799999999999</v>
      </c>
      <c r="AC98" s="946">
        <f>+'Quarterly Financial Model '!AC208</f>
        <v>230.655</v>
      </c>
      <c r="AD98" s="946">
        <f>+'Quarterly Financial Model '!AD208</f>
        <v>371.447</v>
      </c>
      <c r="AE98" s="946">
        <f>+'Quarterly Financial Model '!AE208</f>
        <v>411.56799999999998</v>
      </c>
      <c r="AF98" s="957">
        <f>+'Quarterly Financial Model '!AF208</f>
        <v>411.56799999999998</v>
      </c>
      <c r="AG98" s="946">
        <f>+'Quarterly Financial Model '!AG208</f>
        <v>239.53800000000001</v>
      </c>
      <c r="AH98" s="946">
        <f>+'Quarterly Financial Model '!AH208</f>
        <v>400.78199999999998</v>
      </c>
      <c r="AI98" s="946">
        <f>+'Quarterly Financial Model '!AI208</f>
        <v>287.55799999999999</v>
      </c>
      <c r="AJ98" s="946">
        <f>+'Quarterly Financial Model '!AJ208</f>
        <v>197.096</v>
      </c>
      <c r="AK98" s="957">
        <f>+'Quarterly Financial Model '!AK208</f>
        <v>197.096</v>
      </c>
      <c r="AL98" s="946">
        <f>+'Quarterly Financial Model '!AL208</f>
        <v>82.554000000000002</v>
      </c>
      <c r="AM98" s="946">
        <f>+'Quarterly Financial Model '!AM208</f>
        <v>202.72399999999999</v>
      </c>
      <c r="AN98" s="946">
        <f>+'Quarterly Financial Model '!AN208</f>
        <v>183.81800000000001</v>
      </c>
      <c r="AO98" s="946">
        <f>+'Quarterly Financial Model '!AO208</f>
        <v>139.148</v>
      </c>
      <c r="AP98" s="957">
        <f>+'Quarterly Financial Model '!AP208</f>
        <v>139.148</v>
      </c>
      <c r="AQ98" s="946">
        <f>+'Quarterly Financial Model '!AQ208</f>
        <v>138.28100000000001</v>
      </c>
      <c r="AR98" s="946">
        <f>+'Quarterly Financial Model '!AR208</f>
        <v>119.916</v>
      </c>
      <c r="AS98" s="946">
        <f>+'Quarterly Financial Model '!AS208</f>
        <v>92.638000000000005</v>
      </c>
      <c r="AT98" s="946">
        <f>+'Quarterly Financial Model '!AT208</f>
        <v>126.503</v>
      </c>
      <c r="AU98" s="957">
        <f>+'Quarterly Financial Model '!AU208</f>
        <v>126.503</v>
      </c>
      <c r="AV98" s="946">
        <f>+'Quarterly Financial Model '!AV208</f>
        <v>-346.50466508661447</v>
      </c>
      <c r="AW98" s="946">
        <f>+'Quarterly Financial Model '!AW208</f>
        <v>-75.655981169937434</v>
      </c>
      <c r="AX98" s="946">
        <f>+'Quarterly Financial Model '!AX208</f>
        <v>65.377883481466768</v>
      </c>
      <c r="AY98" s="946">
        <f>+'Quarterly Financial Model '!AY208</f>
        <v>357.86026034509638</v>
      </c>
      <c r="AZ98" s="957">
        <f>+'Quarterly Financial Model '!AZ208</f>
        <v>357.86026034509638</v>
      </c>
      <c r="BA98" s="946">
        <f>+'Quarterly Financial Model '!BA208</f>
        <v>603.76058391825711</v>
      </c>
      <c r="BB98" s="946">
        <f>+'Quarterly Financial Model '!BB208</f>
        <v>836.0341413489457</v>
      </c>
      <c r="BC98" s="946">
        <f>+'Quarterly Financial Model '!BC208</f>
        <v>935.94810522473188</v>
      </c>
      <c r="BD98" s="946">
        <f>+'Quarterly Financial Model '!BD208</f>
        <v>1179.8062297594377</v>
      </c>
      <c r="BE98" s="957">
        <f>+'Quarterly Financial Model '!BE208</f>
        <v>1179.8062297594377</v>
      </c>
      <c r="BF98" s="946">
        <f>+'Quarterly Financial Model '!BF208</f>
        <v>1531.5459075249428</v>
      </c>
      <c r="BG98" s="946">
        <f>+'Quarterly Financial Model '!BG208</f>
        <v>1910.4659381436318</v>
      </c>
      <c r="BH98" s="946">
        <f>+'Quarterly Financial Model '!BH208</f>
        <v>2146.2532497480747</v>
      </c>
      <c r="BI98" s="946">
        <f>+'Quarterly Financial Model '!BI208</f>
        <v>2540.028186380534</v>
      </c>
      <c r="BJ98" s="957">
        <f>+'Quarterly Financial Model '!BJ208</f>
        <v>2540.028186380534</v>
      </c>
    </row>
    <row r="99" spans="1:62">
      <c r="A99" s="939"/>
      <c r="B99" s="956" t="s">
        <v>214</v>
      </c>
      <c r="C99" s="946"/>
      <c r="D99" s="946"/>
      <c r="E99" s="946"/>
      <c r="F99" s="946"/>
      <c r="G99" s="957">
        <f>+'Quarterly Financial Model '!G209</f>
        <v>262.36700000000002</v>
      </c>
      <c r="H99" s="946"/>
      <c r="I99" s="946"/>
      <c r="J99" s="946"/>
      <c r="K99" s="946"/>
      <c r="L99" s="957">
        <f>+'Quarterly Financial Model '!L209</f>
        <v>344.37099999999998</v>
      </c>
      <c r="M99" s="946">
        <f>+'Quarterly Financial Model '!M209</f>
        <v>318.2</v>
      </c>
      <c r="N99" s="946">
        <f>+'Quarterly Financial Model '!N209</f>
        <v>315.44799999999998</v>
      </c>
      <c r="O99" s="946">
        <f>+'Quarterly Financial Model '!O209</f>
        <v>328.25200000000001</v>
      </c>
      <c r="P99" s="946">
        <f>+'Quarterly Financial Model '!P209</f>
        <v>368.65800000000002</v>
      </c>
      <c r="Q99" s="957">
        <f>+'Quarterly Financial Model '!Q209</f>
        <v>368.65800000000002</v>
      </c>
      <c r="R99" s="946">
        <f>+'Quarterly Financial Model '!R209</f>
        <v>352.03300000000002</v>
      </c>
      <c r="S99" s="946">
        <f>+'Quarterly Financial Model '!S209</f>
        <v>359.28199999999998</v>
      </c>
      <c r="T99" s="946">
        <f>+'Quarterly Financial Model '!T209</f>
        <v>367.04700000000003</v>
      </c>
      <c r="U99" s="946">
        <f>+'Quarterly Financial Model '!U209</f>
        <v>397.66399999999999</v>
      </c>
      <c r="V99" s="957">
        <f>+'Quarterly Financial Model '!V209</f>
        <v>397.66399999999999</v>
      </c>
      <c r="W99" s="946">
        <f>+'Quarterly Financial Model '!W209</f>
        <v>401.29700000000003</v>
      </c>
      <c r="X99" s="946">
        <f>+'Quarterly Financial Model '!X209</f>
        <v>395.64299999999997</v>
      </c>
      <c r="Y99" s="946">
        <f>+'Quarterly Financial Model '!Y209</f>
        <v>374.46899999999999</v>
      </c>
      <c r="Z99" s="946">
        <f>+'Quarterly Financial Model '!Z209</f>
        <v>472.19600000000003</v>
      </c>
      <c r="AA99" s="957">
        <f>+'Quarterly Financial Model '!AA209</f>
        <v>472.19600000000003</v>
      </c>
      <c r="AB99" s="946">
        <f>+'Quarterly Financial Model '!AB209</f>
        <v>473.22899999999998</v>
      </c>
      <c r="AC99" s="946">
        <f>+'Quarterly Financial Model '!AC209</f>
        <v>526.24300000000005</v>
      </c>
      <c r="AD99" s="946">
        <f>+'Quarterly Financial Model '!AD209</f>
        <v>529.44100000000003</v>
      </c>
      <c r="AE99" s="946">
        <f>+'Quarterly Financial Model '!AE209</f>
        <v>607.67399999999998</v>
      </c>
      <c r="AF99" s="957">
        <f>+'Quarterly Financial Model '!AF209</f>
        <v>607.67399999999998</v>
      </c>
      <c r="AG99" s="946">
        <f>+'Quarterly Financial Model '!AG209</f>
        <v>566.60299999999995</v>
      </c>
      <c r="AH99" s="946">
        <f>+'Quarterly Financial Model '!AH209</f>
        <v>576.56799999999998</v>
      </c>
      <c r="AI99" s="946">
        <f>+'Quarterly Financial Model '!AI209</f>
        <v>578.84199999999998</v>
      </c>
      <c r="AJ99" s="946">
        <f>+'Quarterly Financial Model '!AJ209</f>
        <v>680.03300000000002</v>
      </c>
      <c r="AK99" s="957">
        <f>+'Quarterly Financial Model '!AK209</f>
        <v>680.03300000000002</v>
      </c>
      <c r="AL99" s="946">
        <f>+'Quarterly Financial Model '!AL209</f>
        <v>710.16700000000003</v>
      </c>
      <c r="AM99" s="946">
        <f>+'Quarterly Financial Model '!AM209</f>
        <v>721.70299999999997</v>
      </c>
      <c r="AN99" s="946">
        <f>+'Quarterly Financial Model '!AN209</f>
        <v>750.44899999999996</v>
      </c>
      <c r="AO99" s="946">
        <f>+'Quarterly Financial Model '!AO209</f>
        <v>940.05200000000002</v>
      </c>
      <c r="AP99" s="957">
        <f>+'Quarterly Financial Model '!AP209</f>
        <v>940.05200000000002</v>
      </c>
      <c r="AQ99" s="946">
        <f>+'Quarterly Financial Model '!AQ209</f>
        <v>883.72799999999995</v>
      </c>
      <c r="AR99" s="946">
        <f>+'Quarterly Financial Model '!AR209</f>
        <v>880.28899999999999</v>
      </c>
      <c r="AS99" s="946">
        <f>+'Quarterly Financial Model '!AS209</f>
        <v>899.38900000000001</v>
      </c>
      <c r="AT99" s="946">
        <f>+'Quarterly Financial Model '!AT209</f>
        <v>985.88800000000003</v>
      </c>
      <c r="AU99" s="957">
        <f>+'Quarterly Financial Model '!AU209</f>
        <v>985.88800000000003</v>
      </c>
      <c r="AV99" s="946">
        <f>+'Quarterly Financial Model '!AV209</f>
        <v>1390.3061540012277</v>
      </c>
      <c r="AW99" s="946">
        <f>+'Quarterly Financial Model '!AW209</f>
        <v>1623.4012646218637</v>
      </c>
      <c r="AX99" s="946">
        <f>+'Quarterly Financial Model '!AX209</f>
        <v>1699.4579017693056</v>
      </c>
      <c r="AY99" s="946">
        <f>+'Quarterly Financial Model '!AY209</f>
        <v>1751.6144079665476</v>
      </c>
      <c r="AZ99" s="957">
        <f>+'Quarterly Financial Model '!AZ209</f>
        <v>1751.6144079665476</v>
      </c>
      <c r="BA99" s="946">
        <f>+'Quarterly Financial Model '!BA209</f>
        <v>1643.8023142977577</v>
      </c>
      <c r="BB99" s="946">
        <f>+'Quarterly Financial Model '!BB209</f>
        <v>1770.9314479514869</v>
      </c>
      <c r="BC99" s="946">
        <f>+'Quarterly Financial Model '!BC209</f>
        <v>1852.6582602945136</v>
      </c>
      <c r="BD99" s="946">
        <f>+'Quarterly Financial Model '!BD209</f>
        <v>1910.9378922741048</v>
      </c>
      <c r="BE99" s="957">
        <f>+'Quarterly Financial Model '!BE209</f>
        <v>1910.9378922741048</v>
      </c>
      <c r="BF99" s="946">
        <f>+'Quarterly Financial Model '!BF209</f>
        <v>1797.2226077893765</v>
      </c>
      <c r="BG99" s="946">
        <f>+'Quarterly Financial Model '!BG209</f>
        <v>1934.8485036852046</v>
      </c>
      <c r="BH99" s="946">
        <f>+'Quarterly Financial Model '!BH209</f>
        <v>2022.0099430189762</v>
      </c>
      <c r="BI99" s="946">
        <f>+'Quarterly Financial Model '!BI209</f>
        <v>2087.3340677616652</v>
      </c>
      <c r="BJ99" s="957">
        <f>+'Quarterly Financial Model '!BJ209</f>
        <v>2087.3340677616652</v>
      </c>
    </row>
    <row r="100" spans="1:62">
      <c r="A100" s="939"/>
      <c r="B100" s="956" t="s">
        <v>215</v>
      </c>
      <c r="C100" s="946"/>
      <c r="D100" s="946"/>
      <c r="E100" s="946"/>
      <c r="F100" s="946"/>
      <c r="G100" s="957">
        <f>+'Quarterly Financial Model '!G210</f>
        <v>3.2429999999999999</v>
      </c>
      <c r="H100" s="946"/>
      <c r="I100" s="946"/>
      <c r="J100" s="946"/>
      <c r="K100" s="946"/>
      <c r="L100" s="957">
        <f>+'Quarterly Financial Model '!L210</f>
        <v>2.9329999999999998</v>
      </c>
      <c r="M100" s="946">
        <f>+'Quarterly Financial Model '!M210</f>
        <v>3.5</v>
      </c>
      <c r="N100" s="946">
        <f>+'Quarterly Financial Model '!N210</f>
        <v>3.694</v>
      </c>
      <c r="O100" s="946">
        <f>+'Quarterly Financial Model '!O210</f>
        <v>8.7579999999999991</v>
      </c>
      <c r="P100" s="946">
        <f>+'Quarterly Financial Model '!P210</f>
        <v>4.3609999999999998</v>
      </c>
      <c r="Q100" s="957">
        <f>+'Quarterly Financial Model '!Q210</f>
        <v>4.3609999999999998</v>
      </c>
      <c r="R100" s="946">
        <f>+'Quarterly Financial Model '!R210</f>
        <v>5.0019999999999998</v>
      </c>
      <c r="S100" s="946">
        <f>+'Quarterly Financial Model '!S210</f>
        <v>4.8869999999999996</v>
      </c>
      <c r="T100" s="946">
        <f>+'Quarterly Financial Model '!T210</f>
        <v>4.3940000000000001</v>
      </c>
      <c r="U100" s="946">
        <f>+'Quarterly Financial Model '!U210</f>
        <v>4.415</v>
      </c>
      <c r="V100" s="957">
        <f>+'Quarterly Financial Model '!V210</f>
        <v>4.415</v>
      </c>
      <c r="W100" s="946">
        <f>+'Quarterly Financial Model '!W210</f>
        <v>5.125</v>
      </c>
      <c r="X100" s="946">
        <f>+'Quarterly Financial Model '!X210</f>
        <v>4.5519999999999996</v>
      </c>
      <c r="Y100" s="946">
        <f>+'Quarterly Financial Model '!Y210</f>
        <v>5.5339999999999998</v>
      </c>
      <c r="Z100" s="946">
        <f>+'Quarterly Financial Model '!Z210</f>
        <v>5.1550000000000002</v>
      </c>
      <c r="AA100" s="957">
        <f>+'Quarterly Financial Model '!AA210</f>
        <v>5.1550000000000002</v>
      </c>
      <c r="AB100" s="946">
        <f>+'Quarterly Financial Model '!AB210</f>
        <v>5.16</v>
      </c>
      <c r="AC100" s="946">
        <f>+'Quarterly Financial Model '!AC210</f>
        <v>5.1340000000000003</v>
      </c>
      <c r="AD100" s="946">
        <f>+'Quarterly Financial Model '!AD210</f>
        <v>6.0170000000000003</v>
      </c>
      <c r="AE100" s="946">
        <f>+'Quarterly Financial Model '!AE210</f>
        <v>6.1639999999999997</v>
      </c>
      <c r="AF100" s="957">
        <f>+'Quarterly Financial Model '!AF210</f>
        <v>6.1639999999999997</v>
      </c>
      <c r="AG100" s="946">
        <f>+'Quarterly Financial Model '!AG210</f>
        <v>6.6539999999999999</v>
      </c>
      <c r="AH100" s="946">
        <f>+'Quarterly Financial Model '!AH210</f>
        <v>6.9219999999999997</v>
      </c>
      <c r="AI100" s="946">
        <f>+'Quarterly Financial Model '!AI210</f>
        <v>6.2530000000000001</v>
      </c>
      <c r="AJ100" s="946">
        <f>+'Quarterly Financial Model '!AJ210</f>
        <v>3.9990000000000001</v>
      </c>
      <c r="AK100" s="957">
        <f>+'Quarterly Financial Model '!AK210</f>
        <v>3.9990000000000001</v>
      </c>
      <c r="AL100" s="946">
        <f>+'Quarterly Financial Model '!AL210</f>
        <v>4.0609999999999999</v>
      </c>
      <c r="AM100" s="946">
        <f>+'Quarterly Financial Model '!AM210</f>
        <v>4.2080000000000002</v>
      </c>
      <c r="AN100" s="946">
        <f>+'Quarterly Financial Model '!AN210</f>
        <v>1.5209999999999999</v>
      </c>
      <c r="AO100" s="946">
        <f>+'Quarterly Financial Model '!AO210</f>
        <v>1.7509999999999999</v>
      </c>
      <c r="AP100" s="957">
        <f>+'Quarterly Financial Model '!AP210</f>
        <v>1.7509999999999999</v>
      </c>
      <c r="AQ100" s="946">
        <f>+'Quarterly Financial Model '!AQ210</f>
        <v>1.359</v>
      </c>
      <c r="AR100" s="946">
        <f>+'Quarterly Financial Model '!AR210</f>
        <v>1.83</v>
      </c>
      <c r="AS100" s="946">
        <f>+'Quarterly Financial Model '!AS210</f>
        <v>1.639</v>
      </c>
      <c r="AT100" s="946">
        <f>+'Quarterly Financial Model '!AT210</f>
        <v>0.73599999999999999</v>
      </c>
      <c r="AU100" s="957">
        <f>+'Quarterly Financial Model '!AU210</f>
        <v>0.73599999999999999</v>
      </c>
      <c r="AV100" s="946">
        <f>+'Quarterly Financial Model '!AV210</f>
        <v>0.73599999999999999</v>
      </c>
      <c r="AW100" s="946">
        <f>+'Quarterly Financial Model '!AW210</f>
        <v>0.73599999999999999</v>
      </c>
      <c r="AX100" s="946">
        <f>+'Quarterly Financial Model '!AX210</f>
        <v>0.73599999999999999</v>
      </c>
      <c r="AY100" s="946">
        <f>+'Quarterly Financial Model '!AY210</f>
        <v>0.73599999999999999</v>
      </c>
      <c r="AZ100" s="957">
        <f>+'Quarterly Financial Model '!AZ210</f>
        <v>0.73599999999999999</v>
      </c>
      <c r="BA100" s="946">
        <f>+'Quarterly Financial Model '!BA210</f>
        <v>0.73599999999999999</v>
      </c>
      <c r="BB100" s="946">
        <f>+'Quarterly Financial Model '!BB210</f>
        <v>0.73599999999999999</v>
      </c>
      <c r="BC100" s="946">
        <f>+'Quarterly Financial Model '!BC210</f>
        <v>0.73599999999999999</v>
      </c>
      <c r="BD100" s="946">
        <f>+'Quarterly Financial Model '!BD210</f>
        <v>0.73599999999999999</v>
      </c>
      <c r="BE100" s="957">
        <f>+'Quarterly Financial Model '!BE210</f>
        <v>0.73599999999999999</v>
      </c>
      <c r="BF100" s="946">
        <f>+'Quarterly Financial Model '!BF210</f>
        <v>0.73599999999999999</v>
      </c>
      <c r="BG100" s="946">
        <f>+'Quarterly Financial Model '!BG210</f>
        <v>0.73599999999999999</v>
      </c>
      <c r="BH100" s="946">
        <f>+'Quarterly Financial Model '!BH210</f>
        <v>0.73599999999999999</v>
      </c>
      <c r="BI100" s="946">
        <f>+'Quarterly Financial Model '!BI210</f>
        <v>0.73599999999999999</v>
      </c>
      <c r="BJ100" s="957">
        <f>+'Quarterly Financial Model '!BJ210</f>
        <v>0.73599999999999999</v>
      </c>
    </row>
    <row r="101" spans="1:62">
      <c r="A101" s="939"/>
      <c r="B101" s="956" t="s">
        <v>216</v>
      </c>
      <c r="C101" s="946"/>
      <c r="D101" s="946"/>
      <c r="E101" s="946"/>
      <c r="F101" s="946"/>
      <c r="G101" s="957">
        <f>+'Quarterly Financial Model '!G211</f>
        <v>17.617000000000001</v>
      </c>
      <c r="H101" s="946"/>
      <c r="I101" s="946"/>
      <c r="J101" s="946"/>
      <c r="K101" s="946"/>
      <c r="L101" s="957">
        <f>+'Quarterly Financial Model '!L211</f>
        <v>29.044</v>
      </c>
      <c r="M101" s="946">
        <f>+'Quarterly Financial Model '!M211</f>
        <v>28.4</v>
      </c>
      <c r="N101" s="946">
        <f>+'Quarterly Financial Model '!N211</f>
        <v>31.97</v>
      </c>
      <c r="O101" s="946">
        <f>+'Quarterly Financial Model '!O211</f>
        <v>49.917000000000002</v>
      </c>
      <c r="P101" s="946">
        <f>+'Quarterly Financial Model '!P211</f>
        <v>46.84</v>
      </c>
      <c r="Q101" s="957">
        <f>+'Quarterly Financial Model '!Q211</f>
        <v>46.84</v>
      </c>
      <c r="R101" s="946">
        <f>+'Quarterly Financial Model '!R211</f>
        <v>71.811000000000007</v>
      </c>
      <c r="S101" s="946">
        <f>+'Quarterly Financial Model '!S211</f>
        <v>118.3</v>
      </c>
      <c r="T101" s="946">
        <f>+'Quarterly Financial Model '!T211</f>
        <v>110.946</v>
      </c>
      <c r="U101" s="946">
        <f>+'Quarterly Financial Model '!U211</f>
        <v>429.37700000000001</v>
      </c>
      <c r="V101" s="957">
        <f>+'Quarterly Financial Model '!V211</f>
        <v>429.37700000000001</v>
      </c>
      <c r="W101" s="946">
        <f>+'Quarterly Financial Model '!W211</f>
        <v>130.11099999999999</v>
      </c>
      <c r="X101" s="946">
        <f>+'Quarterly Financial Model '!X211</f>
        <v>107.023</v>
      </c>
      <c r="Y101" s="946">
        <f>+'Quarterly Financial Model '!Y211</f>
        <v>473.791</v>
      </c>
      <c r="Z101" s="946">
        <f>+'Quarterly Financial Model '!Z211</f>
        <v>127.14400000000001</v>
      </c>
      <c r="AA101" s="957">
        <f>+'Quarterly Financial Model '!AA211</f>
        <v>127.14400000000001</v>
      </c>
      <c r="AB101" s="946">
        <f>+'Quarterly Financial Model '!AB211</f>
        <v>522.48500000000001</v>
      </c>
      <c r="AC101" s="946">
        <f>+'Quarterly Financial Model '!AC211</f>
        <v>512.14599999999996</v>
      </c>
      <c r="AD101" s="946">
        <f>+'Quarterly Financial Model '!AD211</f>
        <v>116.694</v>
      </c>
      <c r="AE101" s="946">
        <f>+'Quarterly Financial Model '!AE211</f>
        <v>135.422</v>
      </c>
      <c r="AF101" s="957">
        <f>+'Quarterly Financial Model '!AF211</f>
        <v>135.422</v>
      </c>
      <c r="AG101" s="946">
        <f>+'Quarterly Financial Model '!AG211</f>
        <v>146.95099999999999</v>
      </c>
      <c r="AH101" s="946">
        <f>+'Quarterly Financial Model '!AH211</f>
        <v>115.626</v>
      </c>
      <c r="AI101" s="946">
        <f>+'Quarterly Financial Model '!AI211</f>
        <v>107.17100000000001</v>
      </c>
      <c r="AJ101" s="946">
        <f>+'Quarterly Financial Model '!AJ211</f>
        <v>143.56299999999999</v>
      </c>
      <c r="AK101" s="957">
        <f>+'Quarterly Financial Model '!AK211</f>
        <v>143.56299999999999</v>
      </c>
      <c r="AL101" s="946">
        <f>+'Quarterly Financial Model '!AL211</f>
        <v>132.78399999999999</v>
      </c>
      <c r="AM101" s="946">
        <f>+'Quarterly Financial Model '!AM211</f>
        <v>132.304</v>
      </c>
      <c r="AN101" s="946">
        <f>+'Quarterly Financial Model '!AN211</f>
        <v>150.90100000000001</v>
      </c>
      <c r="AO101" s="946">
        <f>+'Quarterly Financial Model '!AO211</f>
        <v>152.49</v>
      </c>
      <c r="AP101" s="957">
        <f>+'Quarterly Financial Model '!AP211</f>
        <v>152.49</v>
      </c>
      <c r="AQ101" s="946">
        <f>+'Quarterly Financial Model '!AQ211</f>
        <v>154.358</v>
      </c>
      <c r="AR101" s="946">
        <f>+'Quarterly Financial Model '!AR211</f>
        <v>144.964</v>
      </c>
      <c r="AS101" s="946">
        <f>+'Quarterly Financial Model '!AS211</f>
        <v>135.04300000000001</v>
      </c>
      <c r="AT101" s="946">
        <f>+'Quarterly Financial Model '!AT211</f>
        <v>142.01</v>
      </c>
      <c r="AU101" s="957">
        <f>+'Quarterly Financial Model '!AU211</f>
        <v>142.01</v>
      </c>
      <c r="AV101" s="946">
        <f>+'Quarterly Financial Model '!AV211</f>
        <v>273.89956901915065</v>
      </c>
      <c r="AW101" s="946">
        <f>+'Quarterly Financial Model '!AW211</f>
        <v>266.40110588774303</v>
      </c>
      <c r="AX101" s="946">
        <f>+'Quarterly Financial Model '!AX211</f>
        <v>248.45179646281599</v>
      </c>
      <c r="AY101" s="946">
        <f>+'Quarterly Financial Model '!AY211</f>
        <v>262.32699330718691</v>
      </c>
      <c r="AZ101" s="957">
        <f>+'Quarterly Financial Model '!AZ211</f>
        <v>262.32699330718691</v>
      </c>
      <c r="BA101" s="946">
        <f>+'Quarterly Financial Model '!BA211</f>
        <v>323.84000037911119</v>
      </c>
      <c r="BB101" s="946">
        <f>+'Quarterly Financial Model '!BB211</f>
        <v>290.61089606552002</v>
      </c>
      <c r="BC101" s="946">
        <f>+'Quarterly Financial Model '!BC211</f>
        <v>270.84888217744771</v>
      </c>
      <c r="BD101" s="946">
        <f>+'Quarterly Financial Model '!BD211</f>
        <v>286.18775307916547</v>
      </c>
      <c r="BE101" s="957">
        <f>+'Quarterly Financial Model '!BE211</f>
        <v>286.18775307916547</v>
      </c>
      <c r="BF101" s="946">
        <f>+'Quarterly Financial Model '!BF211</f>
        <v>354.06481967176097</v>
      </c>
      <c r="BG101" s="946">
        <f>+'Quarterly Financial Model '!BG211</f>
        <v>317.50978167868146</v>
      </c>
      <c r="BH101" s="946">
        <f>+'Quarterly Financial Model '!BH211</f>
        <v>295.60720644254928</v>
      </c>
      <c r="BI101" s="946">
        <f>+'Quarterly Financial Model '!BI211</f>
        <v>312.60536995653376</v>
      </c>
      <c r="BJ101" s="957">
        <f>+'Quarterly Financial Model '!BJ211</f>
        <v>312.60536995653376</v>
      </c>
    </row>
    <row r="102" spans="1:62">
      <c r="A102" s="939"/>
      <c r="B102" s="956" t="s">
        <v>217</v>
      </c>
      <c r="C102" s="946"/>
      <c r="D102" s="946"/>
      <c r="E102" s="946"/>
      <c r="F102" s="946"/>
      <c r="G102" s="957">
        <f>+'Quarterly Financial Model '!G212</f>
        <v>3.9279999999999999</v>
      </c>
      <c r="H102" s="946"/>
      <c r="I102" s="946"/>
      <c r="J102" s="946"/>
      <c r="K102" s="946"/>
      <c r="L102" s="957">
        <f>+'Quarterly Financial Model '!L212</f>
        <v>10.058999999999999</v>
      </c>
      <c r="M102" s="946">
        <f>+'Quarterly Financial Model '!M212</f>
        <v>12</v>
      </c>
      <c r="N102" s="946">
        <f>+'Quarterly Financial Model '!N212</f>
        <v>11.446999999999999</v>
      </c>
      <c r="O102" s="946">
        <f>+'Quarterly Financial Model '!O212</f>
        <v>13.929</v>
      </c>
      <c r="P102" s="946">
        <f>+'Quarterly Financial Model '!P212</f>
        <v>8.6419999999999995</v>
      </c>
      <c r="Q102" s="957">
        <f>+'Quarterly Financial Model '!Q212</f>
        <v>8.6419999999999995</v>
      </c>
      <c r="R102" s="946">
        <f>+'Quarterly Financial Model '!R212</f>
        <v>11.27</v>
      </c>
      <c r="S102" s="946">
        <f>+'Quarterly Financial Model '!S212</f>
        <v>11.782999999999999</v>
      </c>
      <c r="T102" s="946">
        <f>+'Quarterly Financial Model '!T212</f>
        <v>11.512</v>
      </c>
      <c r="U102" s="946">
        <f>+'Quarterly Financial Model '!U212</f>
        <v>10.629</v>
      </c>
      <c r="V102" s="957">
        <f>+'Quarterly Financial Model '!V212</f>
        <v>10.629</v>
      </c>
      <c r="W102" s="946">
        <f>+'Quarterly Financial Model '!W212</f>
        <v>17.286999999999999</v>
      </c>
      <c r="X102" s="946">
        <f>+'Quarterly Financial Model '!X212</f>
        <v>14.66</v>
      </c>
      <c r="Y102" s="946">
        <f>+'Quarterly Financial Model '!Y212</f>
        <v>20.04</v>
      </c>
      <c r="Z102" s="946">
        <f>+'Quarterly Financial Model '!Z212</f>
        <v>18.059000000000001</v>
      </c>
      <c r="AA102" s="957">
        <f>+'Quarterly Financial Model '!AA212</f>
        <v>18.059000000000001</v>
      </c>
      <c r="AB102" s="946">
        <f>+'Quarterly Financial Model '!AB212</f>
        <v>20.423999999999999</v>
      </c>
      <c r="AC102" s="946">
        <f>+'Quarterly Financial Model '!AC212</f>
        <v>32.642000000000003</v>
      </c>
      <c r="AD102" s="946">
        <f>+'Quarterly Financial Model '!AD212</f>
        <v>29.67</v>
      </c>
      <c r="AE102" s="946">
        <f>+'Quarterly Financial Model '!AE212</f>
        <v>26.905999999999999</v>
      </c>
      <c r="AF102" s="957">
        <f>+'Quarterly Financial Model '!AF212</f>
        <v>26.905999999999999</v>
      </c>
      <c r="AG102" s="946">
        <f>+'Quarterly Financial Model '!AG212</f>
        <v>28.068000000000001</v>
      </c>
      <c r="AH102" s="946">
        <f>+'Quarterly Financial Model '!AH212</f>
        <v>25.353000000000002</v>
      </c>
      <c r="AI102" s="946">
        <f>+'Quarterly Financial Model '!AI212</f>
        <v>34.801000000000002</v>
      </c>
      <c r="AJ102" s="946">
        <f>+'Quarterly Financial Model '!AJ212</f>
        <v>31.146999999999998</v>
      </c>
      <c r="AK102" s="957">
        <f>+'Quarterly Financial Model '!AK212</f>
        <v>31.146999999999998</v>
      </c>
      <c r="AL102" s="946">
        <f>+'Quarterly Financial Model '!AL212</f>
        <v>39.640999999999998</v>
      </c>
      <c r="AM102" s="946">
        <f>+'Quarterly Financial Model '!AM212</f>
        <v>32.646000000000001</v>
      </c>
      <c r="AN102" s="946">
        <f>+'Quarterly Financial Model '!AN212</f>
        <v>42.795999999999999</v>
      </c>
      <c r="AO102" s="946">
        <f>+'Quarterly Financial Model '!AO212</f>
        <v>39.228999999999999</v>
      </c>
      <c r="AP102" s="957">
        <f>+'Quarterly Financial Model '!AP212</f>
        <v>39.228999999999999</v>
      </c>
      <c r="AQ102" s="946">
        <f>+'Quarterly Financial Model '!AQ212</f>
        <v>35.386000000000003</v>
      </c>
      <c r="AR102" s="946">
        <f>+'Quarterly Financial Model '!AR212</f>
        <v>54.924999999999997</v>
      </c>
      <c r="AS102" s="946">
        <f>+'Quarterly Financial Model '!AS212</f>
        <v>48.073</v>
      </c>
      <c r="AT102" s="946">
        <f>+'Quarterly Financial Model '!AT212</f>
        <v>33.524000000000001</v>
      </c>
      <c r="AU102" s="957">
        <f>+'Quarterly Financial Model '!AU212</f>
        <v>33.524000000000001</v>
      </c>
      <c r="AV102" s="946">
        <f>+'Quarterly Financial Model '!AV212</f>
        <v>87.589287702077343</v>
      </c>
      <c r="AW102" s="946">
        <f>+'Quarterly Financial Model '!AW212</f>
        <v>102.2742796711774</v>
      </c>
      <c r="AX102" s="946">
        <f>+'Quarterly Financial Model '!AX212</f>
        <v>107.06584781146627</v>
      </c>
      <c r="AY102" s="946">
        <f>+'Quarterly Financial Model '!AY212</f>
        <v>110.35170770189249</v>
      </c>
      <c r="AZ102" s="957">
        <f>+'Quarterly Financial Model '!AZ212</f>
        <v>110.35170770189249</v>
      </c>
      <c r="BA102" s="946">
        <f>+'Quarterly Financial Model '!BA212</f>
        <v>108.490952743652</v>
      </c>
      <c r="BB102" s="946">
        <f>+'Quarterly Financial Model '!BB212</f>
        <v>116.88147556479814</v>
      </c>
      <c r="BC102" s="946">
        <f>+'Quarterly Financial Model '!BC212</f>
        <v>122.2754451794379</v>
      </c>
      <c r="BD102" s="946">
        <f>+'Quarterly Financial Model '!BD212</f>
        <v>126.12190089009093</v>
      </c>
      <c r="BE102" s="957">
        <f>+'Quarterly Financial Model '!BE212</f>
        <v>126.12190089009093</v>
      </c>
      <c r="BF102" s="946">
        <f>+'Quarterly Financial Model '!BF212</f>
        <v>124.00835993746699</v>
      </c>
      <c r="BG102" s="946">
        <f>+'Quarterly Financial Model '!BG212</f>
        <v>133.50454675427912</v>
      </c>
      <c r="BH102" s="946">
        <f>+'Quarterly Financial Model '!BH212</f>
        <v>139.51868606830936</v>
      </c>
      <c r="BI102" s="946">
        <f>+'Quarterly Financial Model '!BI212</f>
        <v>144.0260506755549</v>
      </c>
      <c r="BJ102" s="957">
        <f>+'Quarterly Financial Model '!BJ212</f>
        <v>144.0260506755549</v>
      </c>
    </row>
    <row r="103" spans="1:62">
      <c r="A103" s="939"/>
      <c r="B103" s="956" t="s">
        <v>107</v>
      </c>
      <c r="C103" s="946"/>
      <c r="D103" s="946"/>
      <c r="E103" s="946"/>
      <c r="F103" s="946"/>
      <c r="G103" s="957">
        <f>+'Quarterly Financial Model '!G213</f>
        <v>3.528</v>
      </c>
      <c r="H103" s="946"/>
      <c r="I103" s="946"/>
      <c r="J103" s="946"/>
      <c r="K103" s="946"/>
      <c r="L103" s="957">
        <f>+'Quarterly Financial Model '!L213</f>
        <v>8.0310000000000006</v>
      </c>
      <c r="M103" s="946">
        <f>+'Quarterly Financial Model '!M213</f>
        <v>10.4</v>
      </c>
      <c r="N103" s="946">
        <f>+'Quarterly Financial Model '!N213</f>
        <v>9.3019999999999996</v>
      </c>
      <c r="O103" s="946">
        <f>+'Quarterly Financial Model '!O213</f>
        <v>3.4710000000000001</v>
      </c>
      <c r="P103" s="946">
        <f>+'Quarterly Financial Model '!P213</f>
        <v>20.946999999999999</v>
      </c>
      <c r="Q103" s="957">
        <f>+'Quarterly Financial Model '!Q213</f>
        <v>20.946999999999999</v>
      </c>
      <c r="R103" s="946">
        <f>+'Quarterly Financial Model '!R213</f>
        <v>46.734000000000002</v>
      </c>
      <c r="S103" s="946">
        <f>+'Quarterly Financial Model '!S213</f>
        <v>34.319000000000003</v>
      </c>
      <c r="T103" s="946">
        <f>+'Quarterly Financial Model '!T213</f>
        <v>17.765000000000001</v>
      </c>
      <c r="U103" s="946">
        <f>+'Quarterly Financial Model '!U213</f>
        <v>11.933999999999999</v>
      </c>
      <c r="V103" s="957">
        <f>+'Quarterly Financial Model '!V213</f>
        <v>11.933999999999999</v>
      </c>
      <c r="W103" s="946">
        <f>+'Quarterly Financial Model '!W213</f>
        <v>11.851000000000001</v>
      </c>
      <c r="X103" s="946">
        <f>+'Quarterly Financial Model '!X213</f>
        <v>12.382999999999999</v>
      </c>
      <c r="Y103" s="946">
        <f>+'Quarterly Financial Model '!Y213</f>
        <v>14.435</v>
      </c>
      <c r="Z103" s="946">
        <f>+'Quarterly Financial Model '!Z213</f>
        <v>13.932</v>
      </c>
      <c r="AA103" s="957">
        <f>+'Quarterly Financial Model '!AA213</f>
        <v>13.932</v>
      </c>
      <c r="AB103" s="946">
        <f>+'Quarterly Financial Model '!AB213</f>
        <v>9.5860000000000003</v>
      </c>
      <c r="AC103" s="946">
        <f>+'Quarterly Financial Model '!AC213</f>
        <v>12.154</v>
      </c>
      <c r="AD103" s="946">
        <f>+'Quarterly Financial Model '!AD213</f>
        <v>12.571</v>
      </c>
      <c r="AE103" s="946">
        <f>+'Quarterly Financial Model '!AE213</f>
        <v>27.001999999999999</v>
      </c>
      <c r="AF103" s="957">
        <f>+'Quarterly Financial Model '!AF213</f>
        <v>27.001999999999999</v>
      </c>
      <c r="AG103" s="946">
        <f>+'Quarterly Financial Model '!AG213</f>
        <v>31.062999999999999</v>
      </c>
      <c r="AH103" s="946">
        <f>+'Quarterly Financial Model '!AH213</f>
        <v>31.805</v>
      </c>
      <c r="AI103" s="946">
        <f>+'Quarterly Financial Model '!AI213</f>
        <v>17.337</v>
      </c>
      <c r="AJ103" s="946">
        <f>+'Quarterly Financial Model '!AJ213</f>
        <v>61.661000000000001</v>
      </c>
      <c r="AK103" s="957">
        <f>+'Quarterly Financial Model '!AK213</f>
        <v>61.661000000000001</v>
      </c>
      <c r="AL103" s="946">
        <f>+'Quarterly Financial Model '!AL213</f>
        <v>69.492999999999995</v>
      </c>
      <c r="AM103" s="946">
        <f>+'Quarterly Financial Model '!AM213</f>
        <v>69.555999999999997</v>
      </c>
      <c r="AN103" s="946">
        <f>+'Quarterly Financial Model '!AN213</f>
        <v>55.118000000000002</v>
      </c>
      <c r="AO103" s="946">
        <f>+'Quarterly Financial Model '!AO213</f>
        <v>15.188000000000001</v>
      </c>
      <c r="AP103" s="957">
        <f>+'Quarterly Financial Model '!AP213</f>
        <v>15.188000000000001</v>
      </c>
      <c r="AQ103" s="946">
        <f>+'Quarterly Financial Model '!AQ213</f>
        <v>28.4</v>
      </c>
      <c r="AR103" s="946">
        <f>+'Quarterly Financial Model '!AR213</f>
        <v>38.058999999999997</v>
      </c>
      <c r="AS103" s="946">
        <f>+'Quarterly Financial Model '!AS213</f>
        <v>118.664</v>
      </c>
      <c r="AT103" s="946">
        <f>+'Quarterly Financial Model '!AT213</f>
        <v>83.950999999999993</v>
      </c>
      <c r="AU103" s="957">
        <f>+'Quarterly Financial Model '!AU213</f>
        <v>83.950999999999993</v>
      </c>
      <c r="AV103" s="946">
        <f>+'Quarterly Financial Model '!AV213</f>
        <v>83.950999999999993</v>
      </c>
      <c r="AW103" s="946">
        <f>+'Quarterly Financial Model '!AW213</f>
        <v>83.950999999999993</v>
      </c>
      <c r="AX103" s="946">
        <f>+'Quarterly Financial Model '!AX213</f>
        <v>83.950999999999993</v>
      </c>
      <c r="AY103" s="946">
        <f>+'Quarterly Financial Model '!AY213</f>
        <v>83.950999999999993</v>
      </c>
      <c r="AZ103" s="957">
        <f>+'Quarterly Financial Model '!AZ213</f>
        <v>83.950999999999993</v>
      </c>
      <c r="BA103" s="946">
        <f>+'Quarterly Financial Model '!BA213</f>
        <v>83.950999999999993</v>
      </c>
      <c r="BB103" s="946">
        <f>+'Quarterly Financial Model '!BB213</f>
        <v>83.950999999999993</v>
      </c>
      <c r="BC103" s="946">
        <f>+'Quarterly Financial Model '!BC213</f>
        <v>83.950999999999993</v>
      </c>
      <c r="BD103" s="946">
        <f>+'Quarterly Financial Model '!BD213</f>
        <v>83.950999999999993</v>
      </c>
      <c r="BE103" s="957">
        <f>+'Quarterly Financial Model '!BE213</f>
        <v>83.950999999999993</v>
      </c>
      <c r="BF103" s="946">
        <f>+'Quarterly Financial Model '!BF213</f>
        <v>83.950999999999993</v>
      </c>
      <c r="BG103" s="946">
        <f>+'Quarterly Financial Model '!BG213</f>
        <v>83.950999999999993</v>
      </c>
      <c r="BH103" s="946">
        <f>+'Quarterly Financial Model '!BH213</f>
        <v>83.950999999999993</v>
      </c>
      <c r="BI103" s="946">
        <f>+'Quarterly Financial Model '!BI213</f>
        <v>83.950999999999993</v>
      </c>
      <c r="BJ103" s="957">
        <f>+'Quarterly Financial Model '!BJ213</f>
        <v>83.950999999999993</v>
      </c>
    </row>
    <row r="104" spans="1:62">
      <c r="A104" s="939"/>
      <c r="B104" s="958" t="s">
        <v>218</v>
      </c>
      <c r="C104" s="959"/>
      <c r="D104" s="959"/>
      <c r="E104" s="959"/>
      <c r="F104" s="959"/>
      <c r="G104" s="960">
        <f>+'Quarterly Financial Model '!G214</f>
        <v>579.85200000000009</v>
      </c>
      <c r="H104" s="959"/>
      <c r="I104" s="959"/>
      <c r="J104" s="959"/>
      <c r="K104" s="959"/>
      <c r="L104" s="960">
        <f>+'Quarterly Financial Model '!L214</f>
        <v>630.94999999999993</v>
      </c>
      <c r="M104" s="959">
        <f>+'Quarterly Financial Model '!M214</f>
        <v>595.29999999999995</v>
      </c>
      <c r="N104" s="959">
        <f>+'Quarterly Financial Model '!N214</f>
        <v>627.69200000000001</v>
      </c>
      <c r="O104" s="959">
        <f>+'Quarterly Financial Model '!O214</f>
        <v>715.27</v>
      </c>
      <c r="P104" s="959">
        <f>+'Quarterly Financial Model '!P214</f>
        <v>819.99700000000007</v>
      </c>
      <c r="Q104" s="960">
        <f>+'Quarterly Financial Model '!Q214</f>
        <v>819.99700000000007</v>
      </c>
      <c r="R104" s="959">
        <f>+'Quarterly Financial Model '!R214</f>
        <v>643.21199999999999</v>
      </c>
      <c r="S104" s="959">
        <f>+'Quarterly Financial Model '!S214</f>
        <v>837.39399999999989</v>
      </c>
      <c r="T104" s="959">
        <f>+'Quarterly Financial Model '!T214</f>
        <v>892.42100000000016</v>
      </c>
      <c r="U104" s="959">
        <f>+'Quarterly Financial Model '!U214</f>
        <v>921.077</v>
      </c>
      <c r="V104" s="960">
        <f>+'Quarterly Financial Model '!V214</f>
        <v>921.077</v>
      </c>
      <c r="W104" s="959">
        <f>+'Quarterly Financial Model '!W214</f>
        <v>707.41100000000006</v>
      </c>
      <c r="X104" s="959">
        <f>+'Quarterly Financial Model '!X214</f>
        <v>1006.852</v>
      </c>
      <c r="Y104" s="959">
        <f>+'Quarterly Financial Model '!Y214</f>
        <v>1192.528</v>
      </c>
      <c r="Z104" s="959">
        <f>+'Quarterly Financial Model '!Z214</f>
        <v>807.91300000000001</v>
      </c>
      <c r="AA104" s="960">
        <f>+'Quarterly Financial Model '!AA214</f>
        <v>807.91300000000001</v>
      </c>
      <c r="AB104" s="959">
        <f>+'Quarterly Financial Model '!AB214</f>
        <v>1167.8520000000001</v>
      </c>
      <c r="AC104" s="959">
        <f>+'Quarterly Financial Model '!AC214</f>
        <v>1318.9739999999999</v>
      </c>
      <c r="AD104" s="959">
        <f>+'Quarterly Financial Model '!AD214</f>
        <v>1065.8399999999999</v>
      </c>
      <c r="AE104" s="959">
        <f>+'Quarterly Financial Model '!AE214</f>
        <v>1214.7359999999999</v>
      </c>
      <c r="AF104" s="960">
        <f>+'Quarterly Financial Model '!AF214</f>
        <v>1214.7359999999999</v>
      </c>
      <c r="AG104" s="959">
        <f>+'Quarterly Financial Model '!AG214</f>
        <v>1018.877</v>
      </c>
      <c r="AH104" s="959">
        <f>+'Quarterly Financial Model '!AH214</f>
        <v>1157.056</v>
      </c>
      <c r="AI104" s="959">
        <f>+'Quarterly Financial Model '!AI214</f>
        <v>1031.9620000000002</v>
      </c>
      <c r="AJ104" s="959">
        <f>+'Quarterly Financial Model '!AJ214</f>
        <v>1117.499</v>
      </c>
      <c r="AK104" s="960">
        <f>+'Quarterly Financial Model '!AK214</f>
        <v>1117.499</v>
      </c>
      <c r="AL104" s="959">
        <f>+'Quarterly Financial Model '!AL214</f>
        <v>1038.7</v>
      </c>
      <c r="AM104" s="959">
        <f>+'Quarterly Financial Model '!AM214</f>
        <v>1163.1409999999998</v>
      </c>
      <c r="AN104" s="959">
        <f>+'Quarterly Financial Model '!AN214</f>
        <v>1184.6029999999998</v>
      </c>
      <c r="AO104" s="959">
        <f>+'Quarterly Financial Model '!AO214</f>
        <v>1287.8580000000002</v>
      </c>
      <c r="AP104" s="960">
        <f>+'Quarterly Financial Model '!AP214</f>
        <v>1287.8580000000002</v>
      </c>
      <c r="AQ104" s="959">
        <f>+'Quarterly Financial Model '!AQ214</f>
        <v>1241.5120000000002</v>
      </c>
      <c r="AR104" s="959">
        <f>+'Quarterly Financial Model '!AR214</f>
        <v>1239.9829999999999</v>
      </c>
      <c r="AS104" s="959">
        <f>+'Quarterly Financial Model '!AS214</f>
        <v>1295.4460000000001</v>
      </c>
      <c r="AT104" s="959">
        <f>+'Quarterly Financial Model '!AT214</f>
        <v>1372.6120000000001</v>
      </c>
      <c r="AU104" s="960">
        <f>+'Quarterly Financial Model '!AU214</f>
        <v>1372.6120000000001</v>
      </c>
      <c r="AV104" s="959">
        <f>+'Quarterly Financial Model '!AV214</f>
        <v>1489.9773456358414</v>
      </c>
      <c r="AW104" s="959">
        <f>+'Quarterly Financial Model '!AW214</f>
        <v>2001.1076690108466</v>
      </c>
      <c r="AX104" s="959">
        <f>+'Quarterly Financial Model '!AX214</f>
        <v>2205.0404295250551</v>
      </c>
      <c r="AY104" s="959">
        <f>+'Quarterly Financial Model '!AY214</f>
        <v>2566.8403693207233</v>
      </c>
      <c r="AZ104" s="960">
        <f>+'Quarterly Financial Model '!AZ214</f>
        <v>2566.8403693207233</v>
      </c>
      <c r="BA104" s="959">
        <f>+'Quarterly Financial Model '!BA214</f>
        <v>2764.5808513387778</v>
      </c>
      <c r="BB104" s="959">
        <f>+'Quarterly Financial Model '!BB214</f>
        <v>3099.144960930751</v>
      </c>
      <c r="BC104" s="959">
        <f>+'Quarterly Financial Model '!BC214</f>
        <v>3266.4176928761312</v>
      </c>
      <c r="BD104" s="959">
        <f>+'Quarterly Financial Model '!BD214</f>
        <v>3587.7407760027982</v>
      </c>
      <c r="BE104" s="960">
        <f>+'Quarterly Financial Model '!BE214</f>
        <v>3587.7407760027982</v>
      </c>
      <c r="BF104" s="959">
        <f>+'Quarterly Financial Model '!BF214</f>
        <v>3891.5286949235474</v>
      </c>
      <c r="BG104" s="959">
        <f>+'Quarterly Financial Model '!BG214</f>
        <v>4381.0157702617971</v>
      </c>
      <c r="BH104" s="959">
        <f>+'Quarterly Financial Model '!BH214</f>
        <v>4688.0760852779094</v>
      </c>
      <c r="BI104" s="959">
        <f>+'Quarterly Financial Model '!BI214</f>
        <v>5168.6806747742876</v>
      </c>
      <c r="BJ104" s="960">
        <f>+'Quarterly Financial Model '!BJ214</f>
        <v>5168.6806747742876</v>
      </c>
    </row>
    <row r="105" spans="1:62">
      <c r="A105" s="939"/>
      <c r="B105" s="956" t="s">
        <v>219</v>
      </c>
      <c r="C105" s="946"/>
      <c r="D105" s="946"/>
      <c r="E105" s="946"/>
      <c r="F105" s="946"/>
      <c r="G105" s="957">
        <f>+'Quarterly Financial Model '!G215</f>
        <v>4.7140000000000004</v>
      </c>
      <c r="H105" s="946"/>
      <c r="I105" s="946"/>
      <c r="J105" s="946"/>
      <c r="K105" s="946"/>
      <c r="L105" s="957">
        <f>+'Quarterly Financial Model '!L215</f>
        <v>9.6189999999999998</v>
      </c>
      <c r="M105" s="946">
        <f>+'Quarterly Financial Model '!M215</f>
        <v>12</v>
      </c>
      <c r="N105" s="946">
        <f>+'Quarterly Financial Model '!N215</f>
        <v>15.22</v>
      </c>
      <c r="O105" s="946">
        <f>+'Quarterly Financial Model '!O215</f>
        <v>15.288</v>
      </c>
      <c r="P105" s="946">
        <f>+'Quarterly Financial Model '!P215</f>
        <v>17.492999999999999</v>
      </c>
      <c r="Q105" s="957">
        <f>+'Quarterly Financial Model '!Q215</f>
        <v>17.492999999999999</v>
      </c>
      <c r="R105" s="946">
        <f>+'Quarterly Financial Model '!R215</f>
        <v>17.681000000000001</v>
      </c>
      <c r="S105" s="946">
        <f>+'Quarterly Financial Model '!S215</f>
        <v>18.684000000000001</v>
      </c>
      <c r="T105" s="946">
        <f>+'Quarterly Financial Model '!T215</f>
        <v>19.709</v>
      </c>
      <c r="U105" s="946">
        <f>+'Quarterly Financial Model '!U215</f>
        <v>28.927</v>
      </c>
      <c r="V105" s="957">
        <f>+'Quarterly Financial Model '!V215</f>
        <v>28.927</v>
      </c>
      <c r="W105" s="946">
        <f>+'Quarterly Financial Model '!W215</f>
        <v>29.207000000000001</v>
      </c>
      <c r="X105" s="946">
        <f>+'Quarterly Financial Model '!X215</f>
        <v>29.646999999999998</v>
      </c>
      <c r="Y105" s="946">
        <f>+'Quarterly Financial Model '!Y215</f>
        <v>28.882999999999999</v>
      </c>
      <c r="Z105" s="946">
        <f>+'Quarterly Financial Model '!Z215</f>
        <v>30.808</v>
      </c>
      <c r="AA105" s="957">
        <f>+'Quarterly Financial Model '!AA215</f>
        <v>30.808</v>
      </c>
      <c r="AB105" s="946">
        <f>+'Quarterly Financial Model '!AB215</f>
        <v>36.607999999999997</v>
      </c>
      <c r="AC105" s="946">
        <f>+'Quarterly Financial Model '!AC215</f>
        <v>36.363</v>
      </c>
      <c r="AD105" s="946">
        <f>+'Quarterly Financial Model '!AD215</f>
        <v>37.924999999999997</v>
      </c>
      <c r="AE105" s="946">
        <f>+'Quarterly Financial Model '!AE215</f>
        <v>39.21</v>
      </c>
      <c r="AF105" s="957">
        <f>+'Quarterly Financial Model '!AF215</f>
        <v>39.21</v>
      </c>
      <c r="AG105" s="946">
        <f>+'Quarterly Financial Model '!AG215</f>
        <v>39.124000000000002</v>
      </c>
      <c r="AH105" s="946">
        <f>+'Quarterly Financial Model '!AH215</f>
        <v>49.073999999999998</v>
      </c>
      <c r="AI105" s="946">
        <f>+'Quarterly Financial Model '!AI215</f>
        <v>48.963000000000001</v>
      </c>
      <c r="AJ105" s="946">
        <f>+'Quarterly Financial Model '!AJ215</f>
        <v>57.984000000000002</v>
      </c>
      <c r="AK105" s="957">
        <f>+'Quarterly Financial Model '!AK215</f>
        <v>57.984000000000002</v>
      </c>
      <c r="AL105" s="946">
        <f>+'Quarterly Financial Model '!AL215</f>
        <v>61.762</v>
      </c>
      <c r="AM105" s="946">
        <f>+'Quarterly Financial Model '!AM215</f>
        <v>64.043000000000006</v>
      </c>
      <c r="AN105" s="946">
        <f>+'Quarterly Financial Model '!AN215</f>
        <v>65.855000000000004</v>
      </c>
      <c r="AO105" s="946">
        <f>+'Quarterly Financial Model '!AO215</f>
        <v>67.287999999999997</v>
      </c>
      <c r="AP105" s="957">
        <f>+'Quarterly Financial Model '!AP215</f>
        <v>67.287999999999997</v>
      </c>
      <c r="AQ105" s="946">
        <f>+'Quarterly Financial Model '!AQ215</f>
        <v>67.141999999999996</v>
      </c>
      <c r="AR105" s="946">
        <f>+'Quarterly Financial Model '!AR215</f>
        <v>65.426000000000002</v>
      </c>
      <c r="AS105" s="946">
        <f>+'Quarterly Financial Model '!AS215</f>
        <v>64.022999999999996</v>
      </c>
      <c r="AT105" s="946">
        <f>+'Quarterly Financial Model '!AT215</f>
        <v>68.364999999999995</v>
      </c>
      <c r="AU105" s="957">
        <f>+'Quarterly Financial Model '!AU215</f>
        <v>68.364999999999995</v>
      </c>
      <c r="AV105" s="946">
        <f>+'Quarterly Financial Model '!AV215</f>
        <v>119.13969384861043</v>
      </c>
      <c r="AW105" s="946">
        <f>+'Quarterly Financial Model '!AW215</f>
        <v>120.2337046012215</v>
      </c>
      <c r="AX105" s="946">
        <f>+'Quarterly Financial Model '!AX215</f>
        <v>117.78936609034803</v>
      </c>
      <c r="AY105" s="946">
        <f>+'Quarterly Financial Model '!AY215</f>
        <v>126.28677485702299</v>
      </c>
      <c r="AZ105" s="957">
        <f>+'Quarterly Financial Model '!AZ215</f>
        <v>126.28677485702299</v>
      </c>
      <c r="BA105" s="946">
        <f>+'Quarterly Financial Model '!BA215</f>
        <v>140.86257469942782</v>
      </c>
      <c r="BB105" s="946">
        <f>+'Quarterly Financial Model '!BB215</f>
        <v>131.16020864478568</v>
      </c>
      <c r="BC105" s="946">
        <f>+'Quarterly Financial Model '!BC215</f>
        <v>128.40767743345998</v>
      </c>
      <c r="BD105" s="946">
        <f>+'Quarterly Financial Model '!BD215</f>
        <v>137.77357748931166</v>
      </c>
      <c r="BE105" s="957">
        <f>+'Quarterly Financial Model '!BE215</f>
        <v>137.77357748931166</v>
      </c>
      <c r="BF105" s="946">
        <f>+'Quarterly Financial Model '!BF215</f>
        <v>154.00964072093038</v>
      </c>
      <c r="BG105" s="946">
        <f>+'Quarterly Financial Model '!BG215</f>
        <v>143.30037096182096</v>
      </c>
      <c r="BH105" s="946">
        <f>+'Quarterly Financial Model '!BH215</f>
        <v>140.14543647631743</v>
      </c>
      <c r="BI105" s="946">
        <f>+'Quarterly Financial Model '!BI215</f>
        <v>150.49127608674343</v>
      </c>
      <c r="BJ105" s="957">
        <f>+'Quarterly Financial Model '!BJ215</f>
        <v>150.49127608674343</v>
      </c>
    </row>
    <row r="106" spans="1:62">
      <c r="A106" s="939"/>
      <c r="B106" s="956" t="s">
        <v>220</v>
      </c>
      <c r="C106" s="946"/>
      <c r="D106" s="946"/>
      <c r="E106" s="946"/>
      <c r="F106" s="946"/>
      <c r="G106" s="957">
        <f>+'Quarterly Financial Model '!G216</f>
        <v>51.853000000000002</v>
      </c>
      <c r="H106" s="946"/>
      <c r="I106" s="946"/>
      <c r="J106" s="946"/>
      <c r="K106" s="946"/>
      <c r="L106" s="957">
        <f>+'Quarterly Financial Model '!L216</f>
        <v>81.055999999999997</v>
      </c>
      <c r="M106" s="946">
        <f>+'Quarterly Financial Model '!M216</f>
        <v>95.7</v>
      </c>
      <c r="N106" s="946">
        <f>+'Quarterly Financial Model '!N216</f>
        <v>108.45699999999999</v>
      </c>
      <c r="O106" s="946">
        <f>+'Quarterly Financial Model '!O216</f>
        <v>144.79300000000001</v>
      </c>
      <c r="P106" s="946">
        <f>+'Quarterly Financial Model '!P216</f>
        <v>152.31</v>
      </c>
      <c r="Q106" s="957">
        <f>+'Quarterly Financial Model '!Q216</f>
        <v>152.31</v>
      </c>
      <c r="R106" s="946">
        <f>+'Quarterly Financial Model '!R216</f>
        <v>160.27199999999999</v>
      </c>
      <c r="S106" s="946">
        <f>+'Quarterly Financial Model '!S216</f>
        <v>157.70400000000001</v>
      </c>
      <c r="T106" s="946">
        <f>+'Quarterly Financial Model '!T216</f>
        <v>161.21899999999999</v>
      </c>
      <c r="U106" s="946">
        <f>+'Quarterly Financial Model '!U216</f>
        <v>174.94</v>
      </c>
      <c r="V106" s="957">
        <f>+'Quarterly Financial Model '!V216</f>
        <v>174.94</v>
      </c>
      <c r="W106" s="946">
        <f>+'Quarterly Financial Model '!W216</f>
        <v>176.62899999999999</v>
      </c>
      <c r="X106" s="946">
        <f>+'Quarterly Financial Model '!X216</f>
        <v>196.042</v>
      </c>
      <c r="Y106" s="946">
        <f>+'Quarterly Financial Model '!Y216</f>
        <v>202.071</v>
      </c>
      <c r="Z106" s="946">
        <f>+'Quarterly Financial Model '!Z216</f>
        <v>217.333</v>
      </c>
      <c r="AA106" s="957">
        <f>+'Quarterly Financial Model '!AA216</f>
        <v>217.333</v>
      </c>
      <c r="AB106" s="946">
        <f>+'Quarterly Financial Model '!AB216</f>
        <v>216.91800000000001</v>
      </c>
      <c r="AC106" s="946">
        <f>+'Quarterly Financial Model '!AC216</f>
        <v>273.76499999999999</v>
      </c>
      <c r="AD106" s="946">
        <f>+'Quarterly Financial Model '!AD216</f>
        <v>279.024</v>
      </c>
      <c r="AE106" s="946">
        <f>+'Quarterly Financial Model '!AE216</f>
        <v>281.71499999999997</v>
      </c>
      <c r="AF106" s="957">
        <f>+'Quarterly Financial Model '!AF216</f>
        <v>281.71499999999997</v>
      </c>
      <c r="AG106" s="946">
        <f>+'Quarterly Financial Model '!AG216</f>
        <v>276.52100000000002</v>
      </c>
      <c r="AH106" s="946">
        <f>+'Quarterly Financial Model '!AH216</f>
        <v>305.85300000000001</v>
      </c>
      <c r="AI106" s="946">
        <f>+'Quarterly Financial Model '!AI216</f>
        <v>293.63</v>
      </c>
      <c r="AJ106" s="946">
        <f>+'Quarterly Financial Model '!AJ216</f>
        <v>308.00900000000001</v>
      </c>
      <c r="AK106" s="957">
        <f>+'Quarterly Financial Model '!AK216</f>
        <v>308.00900000000001</v>
      </c>
      <c r="AL106" s="946">
        <f>+'Quarterly Financial Model '!AL216</f>
        <v>313.87400000000002</v>
      </c>
      <c r="AM106" s="946">
        <f>+'Quarterly Financial Model '!AM216</f>
        <v>338.755</v>
      </c>
      <c r="AN106" s="946">
        <f>+'Quarterly Financial Model '!AN216</f>
        <v>344.42399999999998</v>
      </c>
      <c r="AO106" s="946">
        <f>+'Quarterly Financial Model '!AO216</f>
        <v>348.553</v>
      </c>
      <c r="AP106" s="957">
        <f>+'Quarterly Financial Model '!AP216</f>
        <v>348.553</v>
      </c>
      <c r="AQ106" s="946">
        <f>+'Quarterly Financial Model '!AQ216</f>
        <v>369.036</v>
      </c>
      <c r="AR106" s="946">
        <f>+'Quarterly Financial Model '!AR216</f>
        <v>465.846</v>
      </c>
      <c r="AS106" s="946">
        <f>+'Quarterly Financial Model '!AS216</f>
        <v>470.30799999999999</v>
      </c>
      <c r="AT106" s="946">
        <f>+'Quarterly Financial Model '!AT216</f>
        <v>473.72300000000001</v>
      </c>
      <c r="AU106" s="957">
        <f>+'Quarterly Financial Model '!AU216</f>
        <v>473.72300000000001</v>
      </c>
      <c r="AV106" s="946">
        <f>+'Quarterly Financial Model '!AV216</f>
        <v>460.46848124035319</v>
      </c>
      <c r="AW106" s="946">
        <f>+'Quarterly Financial Model '!AW216</f>
        <v>444.99174436880952</v>
      </c>
      <c r="AX106" s="946">
        <f>+'Quarterly Financial Model '!AX216</f>
        <v>428.789919630133</v>
      </c>
      <c r="AY106" s="946">
        <f>+'Quarterly Financial Model '!AY216</f>
        <v>412.09085952510247</v>
      </c>
      <c r="AZ106" s="957">
        <f>+'Quarterly Financial Model '!AZ216</f>
        <v>412.09085952510247</v>
      </c>
      <c r="BA106" s="946">
        <f>+'Quarterly Financial Model '!BA216</f>
        <v>396.41962873229733</v>
      </c>
      <c r="BB106" s="946">
        <f>+'Quarterly Financial Model '!BB216</f>
        <v>379.53640913971486</v>
      </c>
      <c r="BC106" s="946">
        <f>+'Quarterly Financial Model '!BC216</f>
        <v>361.87404492186459</v>
      </c>
      <c r="BD106" s="946">
        <f>+'Quarterly Financial Model '!BD216</f>
        <v>343.65607036369056</v>
      </c>
      <c r="BE106" s="957">
        <f>+'Quarterly Financial Model '!BE216</f>
        <v>343.65607036369056</v>
      </c>
      <c r="BF106" s="946">
        <f>+'Quarterly Financial Model '!BF216</f>
        <v>326.52220333616629</v>
      </c>
      <c r="BG106" s="946">
        <f>+'Quarterly Financial Model '!BG216</f>
        <v>308.07627636147527</v>
      </c>
      <c r="BH106" s="946">
        <f>+'Quarterly Financial Model '!BH216</f>
        <v>288.79939360812898</v>
      </c>
      <c r="BI106" s="946">
        <f>+'Quarterly Financial Model '!BI216</f>
        <v>268.89974166515663</v>
      </c>
      <c r="BJ106" s="957">
        <f>+'Quarterly Financial Model '!BJ216</f>
        <v>268.89974166515663</v>
      </c>
    </row>
    <row r="107" spans="1:62">
      <c r="A107" s="939"/>
      <c r="B107" s="956" t="s">
        <v>221</v>
      </c>
      <c r="C107" s="946"/>
      <c r="D107" s="946"/>
      <c r="E107" s="946"/>
      <c r="F107" s="946"/>
      <c r="G107" s="957">
        <f>+'Quarterly Financial Model '!G217</f>
        <v>952.28399999999999</v>
      </c>
      <c r="H107" s="946"/>
      <c r="I107" s="946"/>
      <c r="J107" s="946"/>
      <c r="K107" s="946"/>
      <c r="L107" s="957">
        <f>+'Quarterly Financial Model '!L217</f>
        <v>1035.8910000000001</v>
      </c>
      <c r="M107" s="946">
        <f>+'Quarterly Financial Model '!M217</f>
        <v>1005.2</v>
      </c>
      <c r="N107" s="946">
        <f>+'Quarterly Financial Model '!N217</f>
        <v>974.327</v>
      </c>
      <c r="O107" s="946">
        <f>+'Quarterly Financial Model '!O217</f>
        <v>943.62400000000002</v>
      </c>
      <c r="P107" s="946">
        <f>+'Quarterly Financial Model '!P217</f>
        <v>916.19799999999998</v>
      </c>
      <c r="Q107" s="957">
        <f>+'Quarterly Financial Model '!Q217</f>
        <v>916.19799999999998</v>
      </c>
      <c r="R107" s="946">
        <f>+'Quarterly Financial Model '!R217</f>
        <v>889.38900000000001</v>
      </c>
      <c r="S107" s="946">
        <f>+'Quarterly Financial Model '!S217</f>
        <v>862.23400000000004</v>
      </c>
      <c r="T107" s="946">
        <f>+'Quarterly Financial Model '!T217</f>
        <v>837.00099999999998</v>
      </c>
      <c r="U107" s="946">
        <f>+'Quarterly Financial Model '!U217</f>
        <v>884.53599999999994</v>
      </c>
      <c r="V107" s="957">
        <f>+'Quarterly Financial Model '!V217</f>
        <v>884.53599999999994</v>
      </c>
      <c r="W107" s="946">
        <f>+'Quarterly Financial Model '!W217</f>
        <v>853.18700000000001</v>
      </c>
      <c r="X107" s="946">
        <f>+'Quarterly Financial Model '!X217</f>
        <v>827.75800000000004</v>
      </c>
      <c r="Y107" s="946">
        <f>+'Quarterly Financial Model '!Y217</f>
        <v>825.28399999999999</v>
      </c>
      <c r="Z107" s="946">
        <f>+'Quarterly Financial Model '!Z217</f>
        <v>795.33199999999999</v>
      </c>
      <c r="AA107" s="957">
        <f>+'Quarterly Financial Model '!AA217</f>
        <v>795.33199999999999</v>
      </c>
      <c r="AB107" s="946">
        <f>+'Quarterly Financial Model '!AB217</f>
        <v>780.73500000000001</v>
      </c>
      <c r="AC107" s="946">
        <f>+'Quarterly Financial Model '!AC217</f>
        <v>1161.6420000000001</v>
      </c>
      <c r="AD107" s="946">
        <f>+'Quarterly Financial Model '!AD217</f>
        <v>1114.8430000000001</v>
      </c>
      <c r="AE107" s="946">
        <f>+'Quarterly Financial Model '!AE217</f>
        <v>1034.692</v>
      </c>
      <c r="AF107" s="957">
        <f>+'Quarterly Financial Model '!AF217</f>
        <v>1034.692</v>
      </c>
      <c r="AG107" s="946">
        <f>+'Quarterly Financial Model '!AG217</f>
        <v>987.58500000000004</v>
      </c>
      <c r="AH107" s="946">
        <f>+'Quarterly Financial Model '!AH217</f>
        <v>959.93700000000001</v>
      </c>
      <c r="AI107" s="946">
        <f>+'Quarterly Financial Model '!AI217</f>
        <v>910.84</v>
      </c>
      <c r="AJ107" s="946">
        <f>+'Quarterly Financial Model '!AJ217</f>
        <v>863.06600000000003</v>
      </c>
      <c r="AK107" s="957">
        <f>+'Quarterly Financial Model '!AK217</f>
        <v>863.06600000000003</v>
      </c>
      <c r="AL107" s="946">
        <f>+'Quarterly Financial Model '!AL217</f>
        <v>813.22199999999998</v>
      </c>
      <c r="AM107" s="946">
        <f>+'Quarterly Financial Model '!AM217</f>
        <v>764.18100000000004</v>
      </c>
      <c r="AN107" s="946">
        <f>+'Quarterly Financial Model '!AN217</f>
        <v>734.25</v>
      </c>
      <c r="AO107" s="946">
        <f>+'Quarterly Financial Model '!AO217</f>
        <v>787.82</v>
      </c>
      <c r="AP107" s="957">
        <f>+'Quarterly Financial Model '!AP217</f>
        <v>787.82</v>
      </c>
      <c r="AQ107" s="946">
        <f>+'Quarterly Financial Model '!AQ217</f>
        <v>750.30399999999997</v>
      </c>
      <c r="AR107" s="946">
        <f>+'Quarterly Financial Model '!AR217</f>
        <v>762.52</v>
      </c>
      <c r="AS107" s="946">
        <f>+'Quarterly Financial Model '!AS217</f>
        <v>732.43100000000004</v>
      </c>
      <c r="AT107" s="946">
        <f>+'Quarterly Financial Model '!AT217</f>
        <v>678.53200000000004</v>
      </c>
      <c r="AU107" s="957">
        <f>+'Quarterly Financial Model '!AU217</f>
        <v>678.53200000000004</v>
      </c>
      <c r="AV107" s="946">
        <f>+'Quarterly Financial Model '!AV217</f>
        <v>2299.8973781583127</v>
      </c>
      <c r="AW107" s="946">
        <f>+'Quarterly Financial Model '!AW217</f>
        <v>2230.8483995542474</v>
      </c>
      <c r="AX107" s="946">
        <f>+'Quarterly Financial Model '!AX217</f>
        <v>2158.5644640571836</v>
      </c>
      <c r="AY107" s="946">
        <f>+'Quarterly Financial Model '!AY217</f>
        <v>2084.0621284892568</v>
      </c>
      <c r="AZ107" s="957">
        <f>+'Quarterly Financial Model '!AZ217</f>
        <v>2084.0621284892568</v>
      </c>
      <c r="BA107" s="946">
        <f>+'Quarterly Financial Model '!BA217</f>
        <v>2014.1454213246257</v>
      </c>
      <c r="BB107" s="946">
        <f>+'Quarterly Financial Model '!BB217</f>
        <v>1938.8214639496441</v>
      </c>
      <c r="BC107" s="946">
        <f>+'Quarterly Financial Model '!BC217</f>
        <v>1860.0213771420749</v>
      </c>
      <c r="BD107" s="946">
        <f>+'Quarterly Financial Model '!BD217</f>
        <v>1778.7424521388555</v>
      </c>
      <c r="BE107" s="957">
        <f>+'Quarterly Financial Model '!BE217</f>
        <v>1778.7424521388555</v>
      </c>
      <c r="BF107" s="946">
        <f>+'Quarterly Financial Model '!BF217</f>
        <v>1702.3002390542817</v>
      </c>
      <c r="BG107" s="946">
        <f>+'Quarterly Financial Model '!BG217</f>
        <v>1620.0043114579789</v>
      </c>
      <c r="BH107" s="946">
        <f>+'Quarterly Financial Model '!BH217</f>
        <v>1534.0011005850065</v>
      </c>
      <c r="BI107" s="946">
        <f>+'Quarterly Financial Model '!BI217</f>
        <v>1445.2194244058992</v>
      </c>
      <c r="BJ107" s="957">
        <f>+'Quarterly Financial Model '!BJ217</f>
        <v>1445.2194244058992</v>
      </c>
    </row>
    <row r="108" spans="1:62">
      <c r="A108" s="939"/>
      <c r="B108" s="956" t="s">
        <v>222</v>
      </c>
      <c r="C108" s="946"/>
      <c r="D108" s="946"/>
      <c r="E108" s="946"/>
      <c r="F108" s="946"/>
      <c r="G108" s="957">
        <f>+'Quarterly Financial Model '!G218</f>
        <v>1049.1500000000001</v>
      </c>
      <c r="H108" s="946"/>
      <c r="I108" s="946"/>
      <c r="J108" s="946"/>
      <c r="K108" s="946"/>
      <c r="L108" s="957">
        <f>+'Quarterly Financial Model '!L218</f>
        <v>1532.374</v>
      </c>
      <c r="M108" s="946">
        <f>+'Quarterly Financial Model '!M218</f>
        <v>1532.4</v>
      </c>
      <c r="N108" s="946">
        <f>+'Quarterly Financial Model '!N218</f>
        <v>1532.374</v>
      </c>
      <c r="O108" s="946">
        <f>+'Quarterly Financial Model '!O218</f>
        <v>1532.374</v>
      </c>
      <c r="P108" s="946">
        <f>+'Quarterly Financial Model '!P218</f>
        <v>1532.374</v>
      </c>
      <c r="Q108" s="957">
        <f>+'Quarterly Financial Model '!Q218</f>
        <v>1532.374</v>
      </c>
      <c r="R108" s="946">
        <f>+'Quarterly Financial Model '!R218</f>
        <v>1532.374</v>
      </c>
      <c r="S108" s="946">
        <f>+'Quarterly Financial Model '!S218</f>
        <v>1532.374</v>
      </c>
      <c r="T108" s="946">
        <f>+'Quarterly Financial Model '!T218</f>
        <v>1532.374</v>
      </c>
      <c r="U108" s="946">
        <f>+'Quarterly Financial Model '!U218</f>
        <v>1804.5920000000001</v>
      </c>
      <c r="V108" s="957">
        <f>+'Quarterly Financial Model '!V218</f>
        <v>1804.5920000000001</v>
      </c>
      <c r="W108" s="946">
        <f>+'Quarterly Financial Model '!W218</f>
        <v>1807.7750000000001</v>
      </c>
      <c r="X108" s="946">
        <f>+'Quarterly Financial Model '!X218</f>
        <v>1808.4760000000001</v>
      </c>
      <c r="Y108" s="946">
        <f>+'Quarterly Financial Model '!Y218</f>
        <v>1943.6690000000001</v>
      </c>
      <c r="Z108" s="946">
        <f>+'Quarterly Financial Model '!Z218</f>
        <v>1943.6130000000001</v>
      </c>
      <c r="AA108" s="957">
        <f>+'Quarterly Financial Model '!AA218</f>
        <v>1943.6130000000001</v>
      </c>
      <c r="AB108" s="946">
        <f>+'Quarterly Financial Model '!AB218</f>
        <v>1943.6130000000001</v>
      </c>
      <c r="AC108" s="946">
        <f>+'Quarterly Financial Model '!AC218</f>
        <v>3259.7849999999999</v>
      </c>
      <c r="AD108" s="946">
        <f>+'Quarterly Financial Model '!AD218</f>
        <v>3272.9070000000002</v>
      </c>
      <c r="AE108" s="946">
        <f>+'Quarterly Financial Model '!AE218</f>
        <v>3291.366</v>
      </c>
      <c r="AF108" s="957">
        <f>+'Quarterly Financial Model '!AF218</f>
        <v>3291.366</v>
      </c>
      <c r="AG108" s="946">
        <f>+'Quarterly Financial Model '!AG218</f>
        <v>3293.6869999999999</v>
      </c>
      <c r="AH108" s="946">
        <f>+'Quarterly Financial Model '!AH218</f>
        <v>3366.5279999999998</v>
      </c>
      <c r="AI108" s="946">
        <f>+'Quarterly Financial Model '!AI218</f>
        <v>3366.5279999999998</v>
      </c>
      <c r="AJ108" s="946">
        <f>+'Quarterly Financial Model '!AJ218</f>
        <v>3366.5279999999998</v>
      </c>
      <c r="AK108" s="957">
        <f>+'Quarterly Financial Model '!AK218</f>
        <v>3366.5279999999998</v>
      </c>
      <c r="AL108" s="946">
        <f>+'Quarterly Financial Model '!AL218</f>
        <v>3366.5279999999998</v>
      </c>
      <c r="AM108" s="946">
        <f>+'Quarterly Financial Model '!AM218</f>
        <v>3366.5279999999998</v>
      </c>
      <c r="AN108" s="946">
        <f>+'Quarterly Financial Model '!AN218</f>
        <v>3366.5279999999998</v>
      </c>
      <c r="AO108" s="946">
        <f>+'Quarterly Financial Model '!AO218</f>
        <v>3738.5889999999999</v>
      </c>
      <c r="AP108" s="957">
        <f>+'Quarterly Financial Model '!AP218</f>
        <v>3738.5889999999999</v>
      </c>
      <c r="AQ108" s="946">
        <f>+'Quarterly Financial Model '!AQ218</f>
        <v>3739.8249999999998</v>
      </c>
      <c r="AR108" s="946">
        <f>+'Quarterly Financial Model '!AR218</f>
        <v>4163.7979999999998</v>
      </c>
      <c r="AS108" s="946">
        <f>+'Quarterly Financial Model '!AS218</f>
        <v>4180.3069999999998</v>
      </c>
      <c r="AT108" s="946">
        <f>+'Quarterly Financial Model '!AT218</f>
        <v>4172.9639999999999</v>
      </c>
      <c r="AU108" s="957">
        <f>+'Quarterly Financial Model '!AU218</f>
        <v>4172.9639999999999</v>
      </c>
      <c r="AV108" s="946">
        <f>+'Quarterly Financial Model '!AV218</f>
        <v>5853.4639999999999</v>
      </c>
      <c r="AW108" s="946">
        <f>+'Quarterly Financial Model '!AW218</f>
        <v>5853.4639999999999</v>
      </c>
      <c r="AX108" s="946">
        <f>+'Quarterly Financial Model '!AX218</f>
        <v>5853.4639999999999</v>
      </c>
      <c r="AY108" s="946">
        <f>+'Quarterly Financial Model '!AY218</f>
        <v>5853.4639999999999</v>
      </c>
      <c r="AZ108" s="957">
        <f>+'Quarterly Financial Model '!AZ218</f>
        <v>5853.4639999999999</v>
      </c>
      <c r="BA108" s="946">
        <f>+'Quarterly Financial Model '!BA218</f>
        <v>5853.4639999999999</v>
      </c>
      <c r="BB108" s="946">
        <f>+'Quarterly Financial Model '!BB218</f>
        <v>5853.4639999999999</v>
      </c>
      <c r="BC108" s="946">
        <f>+'Quarterly Financial Model '!BC218</f>
        <v>5853.4639999999999</v>
      </c>
      <c r="BD108" s="946">
        <f>+'Quarterly Financial Model '!BD218</f>
        <v>5853.4639999999999</v>
      </c>
      <c r="BE108" s="957">
        <f>+'Quarterly Financial Model '!BE218</f>
        <v>5853.4639999999999</v>
      </c>
      <c r="BF108" s="946">
        <f>+'Quarterly Financial Model '!BF218</f>
        <v>5853.4639999999999</v>
      </c>
      <c r="BG108" s="946">
        <f>+'Quarterly Financial Model '!BG218</f>
        <v>5853.4639999999999</v>
      </c>
      <c r="BH108" s="946">
        <f>+'Quarterly Financial Model '!BH218</f>
        <v>5853.4639999999999</v>
      </c>
      <c r="BI108" s="946">
        <f>+'Quarterly Financial Model '!BI218</f>
        <v>5853.4639999999999</v>
      </c>
      <c r="BJ108" s="957">
        <f>+'Quarterly Financial Model '!BJ218</f>
        <v>5853.4639999999999</v>
      </c>
    </row>
    <row r="109" spans="1:62">
      <c r="A109" s="939"/>
      <c r="B109" s="956" t="s">
        <v>174</v>
      </c>
      <c r="C109" s="946"/>
      <c r="D109" s="946"/>
      <c r="E109" s="946"/>
      <c r="F109" s="946"/>
      <c r="G109" s="957">
        <f>+'Quarterly Financial Model '!G219</f>
        <v>9.5109999999999992</v>
      </c>
      <c r="H109" s="946"/>
      <c r="I109" s="946"/>
      <c r="J109" s="946"/>
      <c r="K109" s="946"/>
      <c r="L109" s="957">
        <f>+'Quarterly Financial Model '!L219</f>
        <v>28.167999999999999</v>
      </c>
      <c r="M109" s="946">
        <f>+'Quarterly Financial Model '!M219</f>
        <v>28.2</v>
      </c>
      <c r="N109" s="946">
        <f>+'Quarterly Financial Model '!N219</f>
        <v>31.303000000000001</v>
      </c>
      <c r="O109" s="946">
        <f>+'Quarterly Financial Model '!O219</f>
        <v>36.542999999999999</v>
      </c>
      <c r="P109" s="946">
        <f>+'Quarterly Financial Model '!P219</f>
        <v>4.2919999999999998</v>
      </c>
      <c r="Q109" s="957">
        <f>+'Quarterly Financial Model '!Q219</f>
        <v>4.2919999999999998</v>
      </c>
      <c r="R109" s="946">
        <f>+'Quarterly Financial Model '!R219</f>
        <v>12.292</v>
      </c>
      <c r="S109" s="946">
        <f>+'Quarterly Financial Model '!S219</f>
        <v>12.292</v>
      </c>
      <c r="T109" s="946">
        <f>+'Quarterly Financial Model '!T219</f>
        <v>12.292</v>
      </c>
      <c r="U109" s="946">
        <f>+'Quarterly Financial Model '!U219</f>
        <v>141.36099999999999</v>
      </c>
      <c r="V109" s="957">
        <f>+'Quarterly Financial Model '!V219</f>
        <v>141.36099999999999</v>
      </c>
      <c r="W109" s="946">
        <f>+'Quarterly Financial Model '!W219</f>
        <v>141.36099999999999</v>
      </c>
      <c r="X109" s="946">
        <f>+'Quarterly Financial Model '!X219</f>
        <v>306.661</v>
      </c>
      <c r="Y109" s="946">
        <f>+'Quarterly Financial Model '!Y219</f>
        <v>377.26100000000002</v>
      </c>
      <c r="Z109" s="946">
        <f>+'Quarterly Financial Model '!Z219</f>
        <v>362.78500000000003</v>
      </c>
      <c r="AA109" s="957">
        <f>+'Quarterly Financial Model '!AA219</f>
        <v>362.78500000000003</v>
      </c>
      <c r="AB109" s="946">
        <f>+'Quarterly Financial Model '!AB219</f>
        <v>359.096</v>
      </c>
      <c r="AC109" s="946">
        <f>+'Quarterly Financial Model '!AC219</f>
        <v>459.86399999999998</v>
      </c>
      <c r="AD109" s="946">
        <f>+'Quarterly Financial Model '!AD219</f>
        <v>454.81099999999998</v>
      </c>
      <c r="AE109" s="946">
        <f>+'Quarterly Financial Model '!AE219</f>
        <v>429.62299999999999</v>
      </c>
      <c r="AF109" s="957">
        <f>+'Quarterly Financial Model '!AF219</f>
        <v>429.62299999999999</v>
      </c>
      <c r="AG109" s="946">
        <f>+'Quarterly Financial Model '!AG219</f>
        <v>426.84699999999998</v>
      </c>
      <c r="AH109" s="946">
        <f>+'Quarterly Financial Model '!AH219</f>
        <v>422.09399999999999</v>
      </c>
      <c r="AI109" s="946">
        <f>+'Quarterly Financial Model '!AI219</f>
        <v>419.08199999999999</v>
      </c>
      <c r="AJ109" s="946">
        <f>+'Quarterly Financial Model '!AJ219</f>
        <v>731.62199999999996</v>
      </c>
      <c r="AK109" s="957">
        <f>+'Quarterly Financial Model '!AK219</f>
        <v>731.62199999999996</v>
      </c>
      <c r="AL109" s="946">
        <f>+'Quarterly Financial Model '!AL219</f>
        <v>723.78700000000003</v>
      </c>
      <c r="AM109" s="946">
        <f>+'Quarterly Financial Model '!AM219</f>
        <v>715.07799999999997</v>
      </c>
      <c r="AN109" s="946">
        <f>+'Quarterly Financial Model '!AN219</f>
        <v>622.17499999999995</v>
      </c>
      <c r="AO109" s="946">
        <f>+'Quarterly Financial Model '!AO219</f>
        <v>771.13900000000001</v>
      </c>
      <c r="AP109" s="957">
        <f>+'Quarterly Financial Model '!AP219</f>
        <v>771.13900000000001</v>
      </c>
      <c r="AQ109" s="946">
        <f>+'Quarterly Financial Model '!AQ219</f>
        <v>745.221</v>
      </c>
      <c r="AR109" s="946">
        <f>+'Quarterly Financial Model '!AR219</f>
        <v>721.18700000000001</v>
      </c>
      <c r="AS109" s="946">
        <f>+'Quarterly Financial Model '!AS219</f>
        <v>1322.6790000000001</v>
      </c>
      <c r="AT109" s="946">
        <f>+'Quarterly Financial Model '!AT219</f>
        <v>739.524</v>
      </c>
      <c r="AU109" s="957">
        <f>+'Quarterly Financial Model '!AU219</f>
        <v>739.524</v>
      </c>
      <c r="AV109" s="946">
        <f>+'Quarterly Financial Model '!AV219</f>
        <v>739.524</v>
      </c>
      <c r="AW109" s="946">
        <f>+'Quarterly Financial Model '!AW219</f>
        <v>739.524</v>
      </c>
      <c r="AX109" s="946">
        <f>+'Quarterly Financial Model '!AX219</f>
        <v>739.524</v>
      </c>
      <c r="AY109" s="946">
        <f>+'Quarterly Financial Model '!AY219</f>
        <v>739.524</v>
      </c>
      <c r="AZ109" s="957">
        <f>+'Quarterly Financial Model '!AZ219</f>
        <v>739.524</v>
      </c>
      <c r="BA109" s="946">
        <f>+'Quarterly Financial Model '!BA219</f>
        <v>739.524</v>
      </c>
      <c r="BB109" s="946">
        <f>+'Quarterly Financial Model '!BB219</f>
        <v>739.524</v>
      </c>
      <c r="BC109" s="946">
        <f>+'Quarterly Financial Model '!BC219</f>
        <v>739.524</v>
      </c>
      <c r="BD109" s="946">
        <f>+'Quarterly Financial Model '!BD219</f>
        <v>739.524</v>
      </c>
      <c r="BE109" s="957">
        <f>+'Quarterly Financial Model '!BE219</f>
        <v>739.524</v>
      </c>
      <c r="BF109" s="946">
        <f>+'Quarterly Financial Model '!BF219</f>
        <v>739.524</v>
      </c>
      <c r="BG109" s="946">
        <f>+'Quarterly Financial Model '!BG219</f>
        <v>739.524</v>
      </c>
      <c r="BH109" s="946">
        <f>+'Quarterly Financial Model '!BH219</f>
        <v>739.524</v>
      </c>
      <c r="BI109" s="946">
        <f>+'Quarterly Financial Model '!BI219</f>
        <v>739.524</v>
      </c>
      <c r="BJ109" s="957">
        <f>+'Quarterly Financial Model '!BJ219</f>
        <v>739.524</v>
      </c>
    </row>
    <row r="110" spans="1:62">
      <c r="A110" s="939"/>
      <c r="B110" s="956" t="s">
        <v>223</v>
      </c>
      <c r="C110" s="946"/>
      <c r="D110" s="946"/>
      <c r="E110" s="946"/>
      <c r="F110" s="946"/>
      <c r="G110" s="957">
        <f>+'Quarterly Financial Model '!G220</f>
        <v>14.632999999999999</v>
      </c>
      <c r="H110" s="946"/>
      <c r="I110" s="946"/>
      <c r="J110" s="946"/>
      <c r="K110" s="946"/>
      <c r="L110" s="957">
        <f>+'Quarterly Financial Model '!L220</f>
        <v>52.459000000000003</v>
      </c>
      <c r="M110" s="946">
        <f>+'Quarterly Financial Model '!M220</f>
        <v>56.2</v>
      </c>
      <c r="N110" s="946">
        <f>+'Quarterly Financial Model '!N220</f>
        <v>46.509</v>
      </c>
      <c r="O110" s="946">
        <f>+'Quarterly Financial Model '!O220</f>
        <v>40.557000000000002</v>
      </c>
      <c r="P110" s="946">
        <f>+'Quarterly Financial Model '!P220</f>
        <v>47.045999999999999</v>
      </c>
      <c r="Q110" s="957">
        <f>+'Quarterly Financial Model '!Q220</f>
        <v>47.045999999999999</v>
      </c>
      <c r="R110" s="946">
        <f>+'Quarterly Financial Model '!R220</f>
        <v>28.54</v>
      </c>
      <c r="S110" s="946">
        <f>+'Quarterly Financial Model '!S220</f>
        <v>24.95</v>
      </c>
      <c r="T110" s="946">
        <f>+'Quarterly Financial Model '!T220</f>
        <v>24.280999999999999</v>
      </c>
      <c r="U110" s="946">
        <f>+'Quarterly Financial Model '!U220</f>
        <v>24.096</v>
      </c>
      <c r="V110" s="957">
        <f>+'Quarterly Financial Model '!V220</f>
        <v>24.096</v>
      </c>
      <c r="W110" s="946">
        <f>+'Quarterly Financial Model '!W220</f>
        <v>23.126000000000001</v>
      </c>
      <c r="X110" s="946">
        <f>+'Quarterly Financial Model '!X220</f>
        <v>36.029000000000003</v>
      </c>
      <c r="Y110" s="946">
        <f>+'Quarterly Financial Model '!Y220</f>
        <v>31.111999999999998</v>
      </c>
      <c r="Z110" s="946">
        <f>+'Quarterly Financial Model '!Z220</f>
        <v>31.768999999999998</v>
      </c>
      <c r="AA110" s="957">
        <f>+'Quarterly Financial Model '!AA220</f>
        <v>31.768999999999998</v>
      </c>
      <c r="AB110" s="946">
        <f>+'Quarterly Financial Model '!AB220</f>
        <v>30.102</v>
      </c>
      <c r="AC110" s="946">
        <f>+'Quarterly Financial Model '!AC220</f>
        <v>44.374000000000002</v>
      </c>
      <c r="AD110" s="946">
        <f>+'Quarterly Financial Model '!AD220</f>
        <v>47.978000000000002</v>
      </c>
      <c r="AE110" s="946">
        <f>+'Quarterly Financial Model '!AE220</f>
        <v>44.741</v>
      </c>
      <c r="AF110" s="957">
        <f>+'Quarterly Financial Model '!AF220</f>
        <v>44.741</v>
      </c>
      <c r="AG110" s="946">
        <f>+'Quarterly Financial Model '!AG220</f>
        <v>41.781999999999996</v>
      </c>
      <c r="AH110" s="946">
        <f>+'Quarterly Financial Model '!AH220</f>
        <v>39.588000000000001</v>
      </c>
      <c r="AI110" s="946">
        <f>+'Quarterly Financial Model '!AI220</f>
        <v>39.155000000000001</v>
      </c>
      <c r="AJ110" s="946">
        <f>+'Quarterly Financial Model '!AJ220</f>
        <v>20.718</v>
      </c>
      <c r="AK110" s="957">
        <f>+'Quarterly Financial Model '!AK220</f>
        <v>20.718</v>
      </c>
      <c r="AL110" s="946">
        <f>+'Quarterly Financial Model '!AL220</f>
        <v>37.866</v>
      </c>
      <c r="AM110" s="946">
        <f>+'Quarterly Financial Model '!AM220</f>
        <v>31.602</v>
      </c>
      <c r="AN110" s="946">
        <f>+'Quarterly Financial Model '!AN220</f>
        <v>31.35</v>
      </c>
      <c r="AO110" s="946">
        <f>+'Quarterly Financial Model '!AO220</f>
        <v>42.76</v>
      </c>
      <c r="AP110" s="957">
        <f>+'Quarterly Financial Model '!AP220</f>
        <v>42.76</v>
      </c>
      <c r="AQ110" s="946">
        <f>+'Quarterly Financial Model '!AQ220</f>
        <v>31.042000000000002</v>
      </c>
      <c r="AR110" s="946">
        <f>+'Quarterly Financial Model '!AR220</f>
        <v>26.099</v>
      </c>
      <c r="AS110" s="946">
        <f>+'Quarterly Financial Model '!AS220</f>
        <v>24.74</v>
      </c>
      <c r="AT110" s="946">
        <f>+'Quarterly Financial Model '!AT220</f>
        <v>1161.2529999999999</v>
      </c>
      <c r="AU110" s="957">
        <f>+'Quarterly Financial Model '!AU220</f>
        <v>1161.2529999999999</v>
      </c>
      <c r="AV110" s="946">
        <f>+'Quarterly Financial Model '!AV220</f>
        <v>1161.2529999999999</v>
      </c>
      <c r="AW110" s="946">
        <f>+'Quarterly Financial Model '!AW220</f>
        <v>1161.2529999999999</v>
      </c>
      <c r="AX110" s="946">
        <f>+'Quarterly Financial Model '!AX220</f>
        <v>1161.2529999999999</v>
      </c>
      <c r="AY110" s="946">
        <f>+'Quarterly Financial Model '!AY220</f>
        <v>1161.2529999999999</v>
      </c>
      <c r="AZ110" s="957">
        <f>+'Quarterly Financial Model '!AZ220</f>
        <v>1161.2529999999999</v>
      </c>
      <c r="BA110" s="946">
        <f>+'Quarterly Financial Model '!BA220</f>
        <v>1161.2529999999999</v>
      </c>
      <c r="BB110" s="946">
        <f>+'Quarterly Financial Model '!BB220</f>
        <v>1161.2529999999999</v>
      </c>
      <c r="BC110" s="946">
        <f>+'Quarterly Financial Model '!BC220</f>
        <v>1161.2529999999999</v>
      </c>
      <c r="BD110" s="946">
        <f>+'Quarterly Financial Model '!BD220</f>
        <v>1161.2529999999999</v>
      </c>
      <c r="BE110" s="957">
        <f>+'Quarterly Financial Model '!BE220</f>
        <v>1161.2529999999999</v>
      </c>
      <c r="BF110" s="946">
        <f>+'Quarterly Financial Model '!BF220</f>
        <v>1161.2529999999999</v>
      </c>
      <c r="BG110" s="946">
        <f>+'Quarterly Financial Model '!BG220</f>
        <v>1161.2529999999999</v>
      </c>
      <c r="BH110" s="946">
        <f>+'Quarterly Financial Model '!BH220</f>
        <v>1161.2529999999999</v>
      </c>
      <c r="BI110" s="946">
        <f>+'Quarterly Financial Model '!BI220</f>
        <v>1161.2529999999999</v>
      </c>
      <c r="BJ110" s="957">
        <f>+'Quarterly Financial Model '!BJ220</f>
        <v>1161.2529999999999</v>
      </c>
    </row>
    <row r="111" spans="1:62" ht="13.5" thickBot="1">
      <c r="A111" s="939"/>
      <c r="B111" s="961" t="s">
        <v>224</v>
      </c>
      <c r="C111" s="962"/>
      <c r="D111" s="962"/>
      <c r="E111" s="962"/>
      <c r="F111" s="962"/>
      <c r="G111" s="963">
        <f>+'Quarterly Financial Model '!G221</f>
        <v>2661.9969999999998</v>
      </c>
      <c r="H111" s="962"/>
      <c r="I111" s="962"/>
      <c r="J111" s="962"/>
      <c r="K111" s="962"/>
      <c r="L111" s="963">
        <f>+'Quarterly Financial Model '!L221</f>
        <v>3370.5170000000003</v>
      </c>
      <c r="M111" s="962">
        <f>+'Quarterly Financial Model '!M221</f>
        <v>3325</v>
      </c>
      <c r="N111" s="962">
        <f>+'Quarterly Financial Model '!N221</f>
        <v>3335.8819999999996</v>
      </c>
      <c r="O111" s="962">
        <f>+'Quarterly Financial Model '!O221</f>
        <v>3428.4490000000001</v>
      </c>
      <c r="P111" s="962">
        <f>+'Quarterly Financial Model '!P221</f>
        <v>3489.71</v>
      </c>
      <c r="Q111" s="963">
        <f>+'Quarterly Financial Model '!Q221</f>
        <v>3489.71</v>
      </c>
      <c r="R111" s="962">
        <f>+'Quarterly Financial Model '!R221</f>
        <v>3283.7599999999998</v>
      </c>
      <c r="S111" s="962">
        <f>+'Quarterly Financial Model '!S221</f>
        <v>3445.6320000000001</v>
      </c>
      <c r="T111" s="962">
        <f>+'Quarterly Financial Model '!T221</f>
        <v>3479.297</v>
      </c>
      <c r="U111" s="962">
        <f>+'Quarterly Financial Model '!U221</f>
        <v>3979.529</v>
      </c>
      <c r="V111" s="963">
        <f>+'Quarterly Financial Model '!V221</f>
        <v>3979.529</v>
      </c>
      <c r="W111" s="962">
        <f>+'Quarterly Financial Model '!W221</f>
        <v>3738.6960000000004</v>
      </c>
      <c r="X111" s="962">
        <f>+'Quarterly Financial Model '!X221</f>
        <v>4211.4650000000001</v>
      </c>
      <c r="Y111" s="962">
        <f>+'Quarterly Financial Model '!Y221</f>
        <v>4600.8080000000009</v>
      </c>
      <c r="Z111" s="962">
        <f>+'Quarterly Financial Model '!Z221</f>
        <v>4189.5529999999999</v>
      </c>
      <c r="AA111" s="963">
        <f>+'Quarterly Financial Model '!AA221</f>
        <v>4189.5529999999999</v>
      </c>
      <c r="AB111" s="962">
        <f>+'Quarterly Financial Model '!AB221</f>
        <v>4534.924</v>
      </c>
      <c r="AC111" s="962">
        <f>+'Quarterly Financial Model '!AC221</f>
        <v>6554.7669999999989</v>
      </c>
      <c r="AD111" s="962">
        <f>+'Quarterly Financial Model '!AD221</f>
        <v>6273.3279999999995</v>
      </c>
      <c r="AE111" s="962">
        <f>+'Quarterly Financial Model '!AE221</f>
        <v>6336.0829999999996</v>
      </c>
      <c r="AF111" s="963">
        <f>+'Quarterly Financial Model '!AF221</f>
        <v>6336.0829999999996</v>
      </c>
      <c r="AG111" s="962">
        <f>+'Quarterly Financial Model '!AG221</f>
        <v>6084.4229999999998</v>
      </c>
      <c r="AH111" s="962">
        <f>+'Quarterly Financial Model '!AH221</f>
        <v>6300.13</v>
      </c>
      <c r="AI111" s="962">
        <f>+'Quarterly Financial Model '!AI221</f>
        <v>6110.1600000000008</v>
      </c>
      <c r="AJ111" s="962">
        <f>+'Quarterly Financial Model '!AJ221</f>
        <v>6465.4259999999995</v>
      </c>
      <c r="AK111" s="963">
        <f>+'Quarterly Financial Model '!AK221</f>
        <v>6465.4259999999995</v>
      </c>
      <c r="AL111" s="962">
        <f>+'Quarterly Financial Model '!AL221</f>
        <v>6355.7389999999996</v>
      </c>
      <c r="AM111" s="962">
        <f>+'Quarterly Financial Model '!AM221</f>
        <v>6443.3279999999986</v>
      </c>
      <c r="AN111" s="962">
        <f>+'Quarterly Financial Model '!AN221</f>
        <v>6349.1850000000004</v>
      </c>
      <c r="AO111" s="962">
        <f>+'Quarterly Financial Model '!AO221</f>
        <v>7044.0070000000005</v>
      </c>
      <c r="AP111" s="963">
        <f>+'Quarterly Financial Model '!AP221</f>
        <v>7044.0070000000005</v>
      </c>
      <c r="AQ111" s="962">
        <f>+'Quarterly Financial Model '!AQ221</f>
        <v>6944.0819999999994</v>
      </c>
      <c r="AR111" s="962">
        <f>+'Quarterly Financial Model '!AR221</f>
        <v>7444.8589999999995</v>
      </c>
      <c r="AS111" s="962">
        <f>+'Quarterly Financial Model '!AS221</f>
        <v>8089.9339999999993</v>
      </c>
      <c r="AT111" s="962">
        <f>+'Quarterly Financial Model '!AT221</f>
        <v>8666.973</v>
      </c>
      <c r="AU111" s="963">
        <f>+'Quarterly Financial Model '!AU221</f>
        <v>8666.973</v>
      </c>
      <c r="AV111" s="962">
        <f>+'Quarterly Financial Model '!AV221</f>
        <v>12123.723898883118</v>
      </c>
      <c r="AW111" s="962">
        <f>+'Quarterly Financial Model '!AW221</f>
        <v>12551.422517535126</v>
      </c>
      <c r="AX111" s="962">
        <f>+'Quarterly Financial Model '!AX221</f>
        <v>12664.42517930272</v>
      </c>
      <c r="AY111" s="962">
        <f>+'Quarterly Financial Model '!AY221</f>
        <v>12943.521132192105</v>
      </c>
      <c r="AZ111" s="963">
        <f>+'Quarterly Financial Model '!AZ221</f>
        <v>12943.521132192105</v>
      </c>
      <c r="BA111" s="962">
        <f>+'Quarterly Financial Model '!BA221</f>
        <v>13070.249476095129</v>
      </c>
      <c r="BB111" s="962">
        <f>+'Quarterly Financial Model '!BB221</f>
        <v>13302.904042664895</v>
      </c>
      <c r="BC111" s="962">
        <f>+'Quarterly Financial Model '!BC221</f>
        <v>13370.96179237353</v>
      </c>
      <c r="BD111" s="962">
        <f>+'Quarterly Financial Model '!BD221</f>
        <v>13602.153875994656</v>
      </c>
      <c r="BE111" s="963">
        <f>+'Quarterly Financial Model '!BE221</f>
        <v>13602.153875994656</v>
      </c>
      <c r="BF111" s="962">
        <f>+'Quarterly Financial Model '!BF221</f>
        <v>13828.601778034927</v>
      </c>
      <c r="BG111" s="962">
        <f>+'Quarterly Financial Model '!BG221</f>
        <v>14206.637729043072</v>
      </c>
      <c r="BH111" s="962">
        <f>+'Quarterly Financial Model '!BH221</f>
        <v>14405.263015947363</v>
      </c>
      <c r="BI111" s="962">
        <f>+'Quarterly Financial Model '!BI221</f>
        <v>14787.532116932087</v>
      </c>
      <c r="BJ111" s="963">
        <f>+'Quarterly Financial Model '!BJ221</f>
        <v>14787.532116932087</v>
      </c>
    </row>
    <row r="112" spans="1:62" ht="13.5" thickTop="1">
      <c r="A112" s="939"/>
      <c r="B112" s="956"/>
      <c r="C112" s="15"/>
      <c r="D112" s="15"/>
      <c r="E112" s="15"/>
      <c r="F112" s="15"/>
      <c r="G112" s="830"/>
      <c r="H112" s="15"/>
      <c r="I112" s="15"/>
      <c r="J112" s="15"/>
      <c r="K112" s="15"/>
      <c r="L112" s="830"/>
      <c r="M112" s="15"/>
      <c r="N112" s="15"/>
      <c r="O112" s="15"/>
      <c r="P112" s="15"/>
      <c r="Q112" s="830"/>
      <c r="R112" s="15"/>
      <c r="S112" s="15"/>
      <c r="T112" s="15"/>
      <c r="U112" s="15"/>
      <c r="V112" s="830"/>
      <c r="W112" s="15"/>
      <c r="X112" s="15"/>
      <c r="Y112" s="15"/>
      <c r="Z112" s="15"/>
      <c r="AA112" s="830"/>
      <c r="AB112" s="15"/>
      <c r="AC112" s="15"/>
      <c r="AD112" s="15"/>
      <c r="AE112" s="15"/>
      <c r="AF112" s="830"/>
      <c r="AG112" s="15"/>
      <c r="AH112" s="15"/>
      <c r="AI112" s="15"/>
      <c r="AJ112" s="15"/>
      <c r="AK112" s="830"/>
      <c r="AL112" s="15"/>
      <c r="AM112" s="15"/>
      <c r="AN112" s="15"/>
      <c r="AO112" s="15"/>
      <c r="AP112" s="830"/>
      <c r="AQ112" s="15"/>
      <c r="AR112" s="15"/>
      <c r="AS112" s="15"/>
      <c r="AT112" s="15"/>
      <c r="AU112" s="830"/>
      <c r="AV112" s="15"/>
      <c r="AW112" s="15"/>
      <c r="AX112" s="15"/>
      <c r="AY112" s="15"/>
      <c r="AZ112" s="830"/>
      <c r="BA112" s="15"/>
      <c r="BB112" s="15"/>
      <c r="BC112" s="15"/>
      <c r="BD112" s="15"/>
      <c r="BE112" s="830"/>
      <c r="BF112" s="15"/>
      <c r="BG112" s="15"/>
      <c r="BH112" s="15"/>
      <c r="BI112" s="15"/>
      <c r="BJ112" s="830"/>
    </row>
    <row r="113" spans="1:66">
      <c r="A113" s="939"/>
      <c r="B113" s="956" t="s">
        <v>226</v>
      </c>
      <c r="C113" s="946"/>
      <c r="D113" s="946"/>
      <c r="E113" s="946"/>
      <c r="F113" s="946"/>
      <c r="G113" s="957">
        <f>+'Quarterly Financial Model '!G224</f>
        <v>84.465000000000003</v>
      </c>
      <c r="H113" s="946"/>
      <c r="I113" s="946"/>
      <c r="J113" s="946"/>
      <c r="K113" s="946"/>
      <c r="L113" s="957">
        <f>+'Quarterly Financial Model '!L224</f>
        <v>163.38</v>
      </c>
      <c r="M113" s="946">
        <f>+'Quarterly Financial Model '!M224</f>
        <v>147</v>
      </c>
      <c r="N113" s="946">
        <f>+'Quarterly Financial Model '!N224</f>
        <v>150.59299999999999</v>
      </c>
      <c r="O113" s="946">
        <f>+'Quarterly Financial Model '!O224</f>
        <v>155.14599999999999</v>
      </c>
      <c r="P113" s="946">
        <f>+'Quarterly Financial Model '!P224</f>
        <v>193.70599999999999</v>
      </c>
      <c r="Q113" s="957">
        <f>+'Quarterly Financial Model '!Q224</f>
        <v>193.70599999999999</v>
      </c>
      <c r="R113" s="946">
        <f>+'Quarterly Financial Model '!R224</f>
        <v>172.107</v>
      </c>
      <c r="S113" s="946">
        <f>+'Quarterly Financial Model '!S224</f>
        <v>187.61799999999999</v>
      </c>
      <c r="T113" s="946">
        <f>+'Quarterly Financial Model '!T224</f>
        <v>213.017</v>
      </c>
      <c r="U113" s="946">
        <f>+'Quarterly Financial Model '!U224</f>
        <v>215.99799999999999</v>
      </c>
      <c r="V113" s="957">
        <f>+'Quarterly Financial Model '!V224</f>
        <v>215.99799999999999</v>
      </c>
      <c r="W113" s="946">
        <f>+'Quarterly Financial Model '!W224</f>
        <v>211.977</v>
      </c>
      <c r="X113" s="946">
        <f>+'Quarterly Financial Model '!X224</f>
        <v>215.61099999999999</v>
      </c>
      <c r="Y113" s="946">
        <f>+'Quarterly Financial Model '!Y224</f>
        <v>211.745</v>
      </c>
      <c r="Z113" s="946">
        <f>+'Quarterly Financial Model '!Z224</f>
        <v>233.38300000000001</v>
      </c>
      <c r="AA113" s="957">
        <f>+'Quarterly Financial Model '!AA224</f>
        <v>233.38300000000001</v>
      </c>
      <c r="AB113" s="946">
        <f>+'Quarterly Financial Model '!AB224</f>
        <v>209.29599999999999</v>
      </c>
      <c r="AC113" s="946">
        <f>+'Quarterly Financial Model '!AC224</f>
        <v>278.13900000000001</v>
      </c>
      <c r="AD113" s="946">
        <f>+'Quarterly Financial Model '!AD224</f>
        <v>261.60000000000002</v>
      </c>
      <c r="AE113" s="946">
        <f>+'Quarterly Financial Model '!AE224</f>
        <v>299.77100000000002</v>
      </c>
      <c r="AF113" s="957">
        <f>+'Quarterly Financial Model '!AF224</f>
        <v>299.77100000000002</v>
      </c>
      <c r="AG113" s="946">
        <f>+'Quarterly Financial Model '!AG224</f>
        <v>253.185</v>
      </c>
      <c r="AH113" s="946">
        <f>+'Quarterly Financial Model '!AH224</f>
        <v>305.536</v>
      </c>
      <c r="AI113" s="946">
        <f>+'Quarterly Financial Model '!AI224</f>
        <v>319.49599999999998</v>
      </c>
      <c r="AJ113" s="946">
        <f>+'Quarterly Financial Model '!AJ224</f>
        <v>364.87799999999999</v>
      </c>
      <c r="AK113" s="957">
        <f>+'Quarterly Financial Model '!AK224</f>
        <v>364.87799999999999</v>
      </c>
      <c r="AL113" s="946">
        <f>+'Quarterly Financial Model '!AL224</f>
        <v>345.72</v>
      </c>
      <c r="AM113" s="946">
        <f>+'Quarterly Financial Model '!AM224</f>
        <v>379.11799999999999</v>
      </c>
      <c r="AN113" s="946">
        <f>+'Quarterly Financial Model '!AN224</f>
        <v>390.47</v>
      </c>
      <c r="AO113" s="946">
        <f>+'Quarterly Financial Model '!AO224</f>
        <v>471.97899999999998</v>
      </c>
      <c r="AP113" s="957">
        <f>+'Quarterly Financial Model '!AP224</f>
        <v>471.97899999999998</v>
      </c>
      <c r="AQ113" s="946">
        <f>+'Quarterly Financial Model '!AQ224</f>
        <v>464.40199999999999</v>
      </c>
      <c r="AR113" s="946">
        <f>+'Quarterly Financial Model '!AR224</f>
        <v>499.55</v>
      </c>
      <c r="AS113" s="946">
        <f>+'Quarterly Financial Model '!AS224</f>
        <v>528.47299999999996</v>
      </c>
      <c r="AT113" s="946">
        <f>+'Quarterly Financial Model '!AT224</f>
        <v>622.87099999999998</v>
      </c>
      <c r="AU113" s="957">
        <f>+'Quarterly Financial Model '!AU224</f>
        <v>622.87099999999998</v>
      </c>
      <c r="AV113" s="946">
        <f>+'Quarterly Financial Model '!AV224</f>
        <v>556.12246160049108</v>
      </c>
      <c r="AW113" s="946">
        <f>+'Quarterly Financial Model '!AW224</f>
        <v>627.71515565378718</v>
      </c>
      <c r="AX113" s="946">
        <f>+'Quarterly Financial Model '!AX224</f>
        <v>634.46428332720757</v>
      </c>
      <c r="AY113" s="946">
        <f>+'Quarterly Financial Model '!AY224</f>
        <v>653.93604564084444</v>
      </c>
      <c r="AZ113" s="957">
        <f>+'Quarterly Financial Model '!AZ224</f>
        <v>653.93604564084444</v>
      </c>
      <c r="BA113" s="946">
        <f>+'Quarterly Financial Model '!BA224</f>
        <v>602.72751524251112</v>
      </c>
      <c r="BB113" s="946">
        <f>+'Quarterly Financial Model '!BB224</f>
        <v>649.34153091554515</v>
      </c>
      <c r="BC113" s="946">
        <f>+'Quarterly Financial Model '!BC224</f>
        <v>679.30802877465499</v>
      </c>
      <c r="BD113" s="946">
        <f>+'Quarterly Financial Model '!BD224</f>
        <v>700.67722716717185</v>
      </c>
      <c r="BE113" s="957">
        <f>+'Quarterly Financial Model '!BE224</f>
        <v>700.67722716717185</v>
      </c>
      <c r="BF113" s="946">
        <f>+'Quarterly Financial Model '!BF224</f>
        <v>599.07420259645892</v>
      </c>
      <c r="BG113" s="946">
        <f>+'Quarterly Financial Model '!BG224</f>
        <v>644.94950122840146</v>
      </c>
      <c r="BH113" s="946">
        <f>+'Quarterly Financial Model '!BH224</f>
        <v>674.0033143396588</v>
      </c>
      <c r="BI113" s="946">
        <f>+'Quarterly Financial Model '!BI224</f>
        <v>695.7780225872217</v>
      </c>
      <c r="BJ113" s="957">
        <f>+'Quarterly Financial Model '!BJ224</f>
        <v>695.7780225872217</v>
      </c>
      <c r="BN113" s="1186"/>
    </row>
    <row r="114" spans="1:66">
      <c r="A114" s="939"/>
      <c r="B114" s="956" t="s">
        <v>227</v>
      </c>
      <c r="C114" s="946"/>
      <c r="D114" s="946"/>
      <c r="E114" s="946"/>
      <c r="F114" s="946"/>
      <c r="G114" s="957">
        <f>+'Quarterly Financial Model '!G225</f>
        <v>28.777999999999999</v>
      </c>
      <c r="H114" s="946"/>
      <c r="I114" s="946"/>
      <c r="J114" s="946"/>
      <c r="K114" s="946"/>
      <c r="L114" s="957">
        <f>+'Quarterly Financial Model '!L225</f>
        <v>12.465999999999999</v>
      </c>
      <c r="M114" s="946">
        <f>+'Quarterly Financial Model '!M225</f>
        <v>9.6999999999999993</v>
      </c>
      <c r="N114" s="946">
        <f>+'Quarterly Financial Model '!N225</f>
        <v>7.5750000000000002</v>
      </c>
      <c r="O114" s="946">
        <f>+'Quarterly Financial Model '!O225</f>
        <v>10.534000000000001</v>
      </c>
      <c r="P114" s="946">
        <f>+'Quarterly Financial Model '!P225</f>
        <v>3.8140000000000001</v>
      </c>
      <c r="Q114" s="957">
        <f>+'Quarterly Financial Model '!Q225</f>
        <v>3.8140000000000001</v>
      </c>
      <c r="R114" s="946">
        <f>+'Quarterly Financial Model '!R225</f>
        <v>0.95</v>
      </c>
      <c r="S114" s="946">
        <f>+'Quarterly Financial Model '!S225</f>
        <v>0.76</v>
      </c>
      <c r="T114" s="946">
        <f>+'Quarterly Financial Model '!T225</f>
        <v>0.752</v>
      </c>
      <c r="U114" s="946">
        <f>+'Quarterly Financial Model '!U225</f>
        <v>1.625</v>
      </c>
      <c r="V114" s="957">
        <f>+'Quarterly Financial Model '!V225</f>
        <v>1.625</v>
      </c>
      <c r="W114" s="946">
        <f>+'Quarterly Financial Model '!W225</f>
        <v>2.7050000000000001</v>
      </c>
      <c r="X114" s="946">
        <f>+'Quarterly Financial Model '!X225</f>
        <v>2.6930000000000001</v>
      </c>
      <c r="Y114" s="946">
        <f>+'Quarterly Financial Model '!Y225</f>
        <v>2.6629999999999998</v>
      </c>
      <c r="Z114" s="946">
        <f>+'Quarterly Financial Model '!Z225</f>
        <v>2.3809999999999998</v>
      </c>
      <c r="AA114" s="957">
        <f>+'Quarterly Financial Model '!AA225</f>
        <v>2.3809999999999998</v>
      </c>
      <c r="AB114" s="946">
        <f>+'Quarterly Financial Model '!AB225</f>
        <v>1.7889999999999999</v>
      </c>
      <c r="AC114" s="946">
        <f>+'Quarterly Financial Model '!AC225</f>
        <v>2.1579999999999999</v>
      </c>
      <c r="AD114" s="946">
        <f>+'Quarterly Financial Model '!AD225</f>
        <v>3.2010000000000001</v>
      </c>
      <c r="AE114" s="946">
        <f>+'Quarterly Financial Model '!AE225</f>
        <v>2.0350000000000001</v>
      </c>
      <c r="AF114" s="957">
        <f>+'Quarterly Financial Model '!AF225</f>
        <v>2.0350000000000001</v>
      </c>
      <c r="AG114" s="946">
        <f>+'Quarterly Financial Model '!AG225</f>
        <v>2.6840000000000002</v>
      </c>
      <c r="AH114" s="946">
        <f>+'Quarterly Financial Model '!AH225</f>
        <v>2.63</v>
      </c>
      <c r="AI114" s="946">
        <f>+'Quarterly Financial Model '!AI225</f>
        <v>3.9039999999999999</v>
      </c>
      <c r="AJ114" s="946">
        <f>+'Quarterly Financial Model '!AJ225</f>
        <v>4.6980000000000004</v>
      </c>
      <c r="AK114" s="957">
        <f>+'Quarterly Financial Model '!AK225</f>
        <v>4.6980000000000004</v>
      </c>
      <c r="AL114" s="946">
        <f>+'Quarterly Financial Model '!AL225</f>
        <v>5.218</v>
      </c>
      <c r="AM114" s="946">
        <f>+'Quarterly Financial Model '!AM225</f>
        <v>3.3940000000000001</v>
      </c>
      <c r="AN114" s="946">
        <f>+'Quarterly Financial Model '!AN225</f>
        <v>3.367</v>
      </c>
      <c r="AO114" s="946">
        <f>+'Quarterly Financial Model '!AO225</f>
        <v>3.6230000000000002</v>
      </c>
      <c r="AP114" s="957">
        <f>+'Quarterly Financial Model '!AP225</f>
        <v>3.6230000000000002</v>
      </c>
      <c r="AQ114" s="946">
        <f>+'Quarterly Financial Model '!AQ225</f>
        <v>3.76</v>
      </c>
      <c r="AR114" s="946">
        <f>+'Quarterly Financial Model '!AR225</f>
        <v>3.375</v>
      </c>
      <c r="AS114" s="946">
        <f>+'Quarterly Financial Model '!AS225</f>
        <v>3.0369999999999999</v>
      </c>
      <c r="AT114" s="946">
        <f>+'Quarterly Financial Model '!AT225</f>
        <v>9.0129999999999999</v>
      </c>
      <c r="AU114" s="957">
        <f>+'Quarterly Financial Model '!AU225</f>
        <v>9.0129999999999999</v>
      </c>
      <c r="AV114" s="946">
        <f>+'Quarterly Financial Model '!AV225</f>
        <v>9.0129999999999999</v>
      </c>
      <c r="AW114" s="946">
        <f>+'Quarterly Financial Model '!AW225</f>
        <v>9.0129999999999999</v>
      </c>
      <c r="AX114" s="946">
        <f>+'Quarterly Financial Model '!AX225</f>
        <v>9.0129999999999999</v>
      </c>
      <c r="AY114" s="946">
        <f>+'Quarterly Financial Model '!AY225</f>
        <v>9.0129999999999999</v>
      </c>
      <c r="AZ114" s="957">
        <f>+'Quarterly Financial Model '!AZ225</f>
        <v>9.0129999999999999</v>
      </c>
      <c r="BA114" s="946">
        <f>+'Quarterly Financial Model '!BA225</f>
        <v>9.0129999999999999</v>
      </c>
      <c r="BB114" s="946">
        <f>+'Quarterly Financial Model '!BB225</f>
        <v>9.0129999999999999</v>
      </c>
      <c r="BC114" s="946">
        <f>+'Quarterly Financial Model '!BC225</f>
        <v>9.0129999999999999</v>
      </c>
      <c r="BD114" s="946">
        <f>+'Quarterly Financial Model '!BD225</f>
        <v>9.0129999999999999</v>
      </c>
      <c r="BE114" s="957">
        <f>+'Quarterly Financial Model '!BE225</f>
        <v>9.0129999999999999</v>
      </c>
      <c r="BF114" s="946">
        <f>+'Quarterly Financial Model '!BF225</f>
        <v>9.0129999999999999</v>
      </c>
      <c r="BG114" s="946">
        <f>+'Quarterly Financial Model '!BG225</f>
        <v>9.0129999999999999</v>
      </c>
      <c r="BH114" s="946">
        <f>+'Quarterly Financial Model '!BH225</f>
        <v>9.0129999999999999</v>
      </c>
      <c r="BI114" s="946">
        <f>+'Quarterly Financial Model '!BI225</f>
        <v>9.0129999999999999</v>
      </c>
      <c r="BJ114" s="957">
        <f>+'Quarterly Financial Model '!BJ225</f>
        <v>9.0129999999999999</v>
      </c>
      <c r="BN114" s="1186"/>
    </row>
    <row r="115" spans="1:66">
      <c r="A115" s="939"/>
      <c r="B115" s="956" t="s">
        <v>228</v>
      </c>
      <c r="C115" s="946"/>
      <c r="D115" s="946"/>
      <c r="E115" s="946"/>
      <c r="F115" s="946"/>
      <c r="G115" s="957">
        <f>+'Quarterly Financial Model '!G226</f>
        <v>126.232</v>
      </c>
      <c r="H115" s="946"/>
      <c r="I115" s="946"/>
      <c r="J115" s="946"/>
      <c r="K115" s="946"/>
      <c r="L115" s="957">
        <f>+'Quarterly Financial Model '!L226</f>
        <v>229.131</v>
      </c>
      <c r="M115" s="946">
        <f>+'Quarterly Financial Model '!M226</f>
        <v>185.7</v>
      </c>
      <c r="N115" s="946">
        <f>+'Quarterly Financial Model '!N226</f>
        <v>186.33699999999999</v>
      </c>
      <c r="O115" s="946">
        <f>+'Quarterly Financial Model '!O226</f>
        <v>218.624</v>
      </c>
      <c r="P115" s="946">
        <f>+'Quarterly Financial Model '!P226</f>
        <v>208.66900000000001</v>
      </c>
      <c r="Q115" s="957">
        <f>+'Quarterly Financial Model '!Q226</f>
        <v>208.66900000000001</v>
      </c>
      <c r="R115" s="946">
        <f>+'Quarterly Financial Model '!R226</f>
        <v>163.851</v>
      </c>
      <c r="S115" s="946">
        <f>+'Quarterly Financial Model '!S226</f>
        <v>275.07799999999997</v>
      </c>
      <c r="T115" s="946">
        <f>+'Quarterly Financial Model '!T226</f>
        <v>248.75200000000001</v>
      </c>
      <c r="U115" s="946">
        <f>+'Quarterly Financial Model '!U226</f>
        <v>542.56399999999996</v>
      </c>
      <c r="V115" s="957">
        <f>+'Quarterly Financial Model '!V226</f>
        <v>542.56399999999996</v>
      </c>
      <c r="W115" s="946">
        <f>+'Quarterly Financial Model '!W226</f>
        <v>319.55099999999999</v>
      </c>
      <c r="X115" s="946">
        <f>+'Quarterly Financial Model '!X226</f>
        <v>310.50299999999999</v>
      </c>
      <c r="Y115" s="946">
        <f>+'Quarterly Financial Model '!Y226</f>
        <v>600.88800000000003</v>
      </c>
      <c r="Z115" s="946">
        <f>+'Quarterly Financial Model '!Z226</f>
        <v>333.649</v>
      </c>
      <c r="AA115" s="957">
        <f>+'Quarterly Financial Model '!AA226</f>
        <v>333.649</v>
      </c>
      <c r="AB115" s="946">
        <f>+'Quarterly Financial Model '!AB226</f>
        <v>722.92499999999995</v>
      </c>
      <c r="AC115" s="946">
        <f>+'Quarterly Financial Model '!AC226</f>
        <v>748.52599999999995</v>
      </c>
      <c r="AD115" s="946">
        <f>+'Quarterly Financial Model '!AD226</f>
        <v>434.053</v>
      </c>
      <c r="AE115" s="946">
        <f>+'Quarterly Financial Model '!AE226</f>
        <v>501.04199999999997</v>
      </c>
      <c r="AF115" s="957">
        <f>+'Quarterly Financial Model '!AF226</f>
        <v>501.04199999999997</v>
      </c>
      <c r="AG115" s="946">
        <f>+'Quarterly Financial Model '!AG226</f>
        <v>488.12799999999999</v>
      </c>
      <c r="AH115" s="946">
        <f>+'Quarterly Financial Model '!AH226</f>
        <v>522.62599999999998</v>
      </c>
      <c r="AI115" s="946">
        <f>+'Quarterly Financial Model '!AI226</f>
        <v>496.66699999999997</v>
      </c>
      <c r="AJ115" s="946">
        <f>+'Quarterly Financial Model '!AJ226</f>
        <v>677.50199999999995</v>
      </c>
      <c r="AK115" s="957">
        <f>+'Quarterly Financial Model '!AK226</f>
        <v>677.50199999999995</v>
      </c>
      <c r="AL115" s="946">
        <f>+'Quarterly Financial Model '!AL226</f>
        <v>604.46600000000001</v>
      </c>
      <c r="AM115" s="946">
        <f>+'Quarterly Financial Model '!AM226</f>
        <v>635.16099999999994</v>
      </c>
      <c r="AN115" s="946">
        <f>+'Quarterly Financial Model '!AN226</f>
        <v>668.28200000000004</v>
      </c>
      <c r="AO115" s="946">
        <f>+'Quarterly Financial Model '!AO226</f>
        <v>801.38099999999997</v>
      </c>
      <c r="AP115" s="957">
        <f>+'Quarterly Financial Model '!AP226</f>
        <v>801.38099999999997</v>
      </c>
      <c r="AQ115" s="946">
        <f>+'Quarterly Financial Model '!AQ226</f>
        <v>762.14</v>
      </c>
      <c r="AR115" s="946">
        <f>+'Quarterly Financial Model '!AR226</f>
        <v>834.68600000000004</v>
      </c>
      <c r="AS115" s="946">
        <f>+'Quarterly Financial Model '!AS226</f>
        <v>788.26099999999997</v>
      </c>
      <c r="AT115" s="946">
        <f>+'Quarterly Financial Model '!AT226</f>
        <v>816.23500000000001</v>
      </c>
      <c r="AU115" s="957">
        <f>+'Quarterly Financial Model '!AU226</f>
        <v>816.23500000000001</v>
      </c>
      <c r="AV115" s="946">
        <f>+'Quarterly Financial Model '!AV226</f>
        <v>1352.3744641175413</v>
      </c>
      <c r="AW115" s="946">
        <f>+'Quarterly Financial Model '!AW226</f>
        <v>1533.9068559712525</v>
      </c>
      <c r="AX115" s="946">
        <f>+'Quarterly Financial Model '!AX226</f>
        <v>1450.2407494766542</v>
      </c>
      <c r="AY115" s="946">
        <f>+'Quarterly Financial Model '!AY226</f>
        <v>1507.7844756150394</v>
      </c>
      <c r="AZ115" s="957">
        <f>+'Quarterly Financial Model '!AZ226</f>
        <v>1507.7844756150394</v>
      </c>
      <c r="BA115" s="946">
        <f>+'Quarterly Financial Model '!BA226</f>
        <v>1598.954494674301</v>
      </c>
      <c r="BB115" s="946">
        <f>+'Quarterly Financial Model '!BB226</f>
        <v>1673.3040368184143</v>
      </c>
      <c r="BC115" s="946">
        <f>+'Quarterly Financial Model '!BC226</f>
        <v>1580.9750280583009</v>
      </c>
      <c r="BD115" s="946">
        <f>+'Quarterly Financial Model '!BD226</f>
        <v>1644.9296573098561</v>
      </c>
      <c r="BE115" s="957">
        <f>+'Quarterly Financial Model '!BE226</f>
        <v>1644.9296573098561</v>
      </c>
      <c r="BF115" s="946">
        <f>+'Quarterly Financial Model '!BF226</f>
        <v>1748.1890259308611</v>
      </c>
      <c r="BG115" s="946">
        <f>+'Quarterly Financial Model '!BG226</f>
        <v>1828.1847191733941</v>
      </c>
      <c r="BH115" s="946">
        <f>+'Quarterly Financial Model '!BH226</f>
        <v>1725.492118492705</v>
      </c>
      <c r="BI115" s="946">
        <f>+'Quarterly Financial Model '!BI226</f>
        <v>1796.77096082298</v>
      </c>
      <c r="BJ115" s="957">
        <f>+'Quarterly Financial Model '!BJ226</f>
        <v>1796.77096082298</v>
      </c>
    </row>
    <row r="116" spans="1:66">
      <c r="A116" s="939"/>
      <c r="B116" s="956" t="s">
        <v>229</v>
      </c>
      <c r="C116" s="946"/>
      <c r="D116" s="946"/>
      <c r="E116" s="946"/>
      <c r="F116" s="946"/>
      <c r="G116" s="957">
        <f>+'Quarterly Financial Model '!G227</f>
        <v>18.75</v>
      </c>
      <c r="H116" s="946"/>
      <c r="I116" s="946"/>
      <c r="J116" s="946"/>
      <c r="K116" s="946"/>
      <c r="L116" s="957">
        <f>+'Quarterly Financial Model '!L227</f>
        <v>3.8130000000000002</v>
      </c>
      <c r="M116" s="946">
        <f>+'Quarterly Financial Model '!M227</f>
        <v>0</v>
      </c>
      <c r="N116" s="946">
        <f>+'Quarterly Financial Model '!N227</f>
        <v>3.48</v>
      </c>
      <c r="O116" s="946">
        <f>+'Quarterly Financial Model '!O227</f>
        <v>3.8029999999999999</v>
      </c>
      <c r="P116" s="946">
        <f>+'Quarterly Financial Model '!P227</f>
        <v>3.8029999999999999</v>
      </c>
      <c r="Q116" s="957">
        <f>+'Quarterly Financial Model '!Q227</f>
        <v>3.8029999999999999</v>
      </c>
      <c r="R116" s="946">
        <f>+'Quarterly Financial Model '!R227</f>
        <v>16</v>
      </c>
      <c r="S116" s="946">
        <f>+'Quarterly Financial Model '!S227</f>
        <v>16</v>
      </c>
      <c r="T116" s="946">
        <f>+'Quarterly Financial Model '!T227</f>
        <v>16</v>
      </c>
      <c r="U116" s="946">
        <f>+'Quarterly Financial Model '!U227</f>
        <v>28.8</v>
      </c>
      <c r="V116" s="957">
        <f>+'Quarterly Financial Model '!V227</f>
        <v>28.8</v>
      </c>
      <c r="W116" s="946">
        <f>+'Quarterly Financial Model '!W227</f>
        <v>16</v>
      </c>
      <c r="X116" s="946">
        <f>+'Quarterly Financial Model '!X227</f>
        <v>17.620999999999999</v>
      </c>
      <c r="Y116" s="946">
        <f>+'Quarterly Financial Model '!Y227</f>
        <v>17.620999999999999</v>
      </c>
      <c r="Z116" s="946">
        <f>+'Quarterly Financial Model '!Z227</f>
        <v>17.620999999999999</v>
      </c>
      <c r="AA116" s="957">
        <f>+'Quarterly Financial Model '!AA227</f>
        <v>17.620999999999999</v>
      </c>
      <c r="AB116" s="946">
        <f>+'Quarterly Financial Model '!AB227</f>
        <v>17.620999999999999</v>
      </c>
      <c r="AC116" s="946">
        <f>+'Quarterly Financial Model '!AC227</f>
        <v>10.353</v>
      </c>
      <c r="AD116" s="946">
        <f>+'Quarterly Financial Model '!AD227</f>
        <v>10.353</v>
      </c>
      <c r="AE116" s="946">
        <f>+'Quarterly Financial Model '!AE227</f>
        <v>10.353</v>
      </c>
      <c r="AF116" s="957">
        <f>+'Quarterly Financial Model '!AF227</f>
        <v>10.353</v>
      </c>
      <c r="AG116" s="946">
        <f>+'Quarterly Financial Model '!AG227</f>
        <v>10.353</v>
      </c>
      <c r="AH116" s="946">
        <f>+'Quarterly Financial Model '!AH227</f>
        <v>10.353</v>
      </c>
      <c r="AI116" s="946">
        <f>+'Quarterly Financial Model '!AI227</f>
        <v>10.353</v>
      </c>
      <c r="AJ116" s="946">
        <f>+'Quarterly Financial Model '!AJ227</f>
        <v>10.353</v>
      </c>
      <c r="AK116" s="957">
        <f>+'Quarterly Financial Model '!AK227</f>
        <v>10.353</v>
      </c>
      <c r="AL116" s="946">
        <f>+'Quarterly Financial Model '!AL227</f>
        <v>10.353</v>
      </c>
      <c r="AM116" s="946">
        <f>+'Quarterly Financial Model '!AM227</f>
        <v>10.353</v>
      </c>
      <c r="AN116" s="946">
        <f>+'Quarterly Financial Model '!AN227</f>
        <v>5.9790000000000001</v>
      </c>
      <c r="AO116" s="946">
        <f>+'Quarterly Financial Model '!AO227</f>
        <v>7.5570000000000004</v>
      </c>
      <c r="AP116" s="957">
        <f>+'Quarterly Financial Model '!AP227</f>
        <v>7.5570000000000004</v>
      </c>
      <c r="AQ116" s="946">
        <f>+'Quarterly Financial Model '!AQ227</f>
        <v>7.5570000000000004</v>
      </c>
      <c r="AR116" s="946">
        <f>+'Quarterly Financial Model '!AR227</f>
        <v>7.5570000000000004</v>
      </c>
      <c r="AS116" s="946">
        <f>+'Quarterly Financial Model '!AS227</f>
        <v>7.5570000000000004</v>
      </c>
      <c r="AT116" s="946">
        <f>+'Quarterly Financial Model '!AT227</f>
        <v>0</v>
      </c>
      <c r="AU116" s="957">
        <f>+'Quarterly Financial Model '!AU227</f>
        <v>0</v>
      </c>
      <c r="AV116" s="946">
        <f>+'Quarterly Financial Model '!AV227</f>
        <v>0</v>
      </c>
      <c r="AW116" s="946">
        <f>+'Quarterly Financial Model '!AW227</f>
        <v>0</v>
      </c>
      <c r="AX116" s="946">
        <f>+'Quarterly Financial Model '!AX227</f>
        <v>0</v>
      </c>
      <c r="AY116" s="946">
        <f>+'Quarterly Financial Model '!AY227</f>
        <v>0</v>
      </c>
      <c r="AZ116" s="957">
        <f>+'Quarterly Financial Model '!AZ227</f>
        <v>0</v>
      </c>
      <c r="BA116" s="946">
        <f>+'Quarterly Financial Model '!BA227</f>
        <v>0</v>
      </c>
      <c r="BB116" s="946">
        <f>+'Quarterly Financial Model '!BB227</f>
        <v>0</v>
      </c>
      <c r="BC116" s="946">
        <f>+'Quarterly Financial Model '!BC227</f>
        <v>0</v>
      </c>
      <c r="BD116" s="946">
        <f>+'Quarterly Financial Model '!BD227</f>
        <v>0</v>
      </c>
      <c r="BE116" s="957">
        <f>+'Quarterly Financial Model '!BE227</f>
        <v>0</v>
      </c>
      <c r="BF116" s="946">
        <f>+'Quarterly Financial Model '!BF227</f>
        <v>0</v>
      </c>
      <c r="BG116" s="946">
        <f>+'Quarterly Financial Model '!BG227</f>
        <v>0</v>
      </c>
      <c r="BH116" s="946">
        <f>+'Quarterly Financial Model '!BH227</f>
        <v>0</v>
      </c>
      <c r="BI116" s="946">
        <f>+'Quarterly Financial Model '!BI227</f>
        <v>0</v>
      </c>
      <c r="BJ116" s="957">
        <f>+'Quarterly Financial Model '!BJ227</f>
        <v>0</v>
      </c>
    </row>
    <row r="117" spans="1:66">
      <c r="A117" s="939"/>
      <c r="B117" s="956" t="s">
        <v>230</v>
      </c>
      <c r="C117" s="946"/>
      <c r="D117" s="946"/>
      <c r="E117" s="946"/>
      <c r="F117" s="946"/>
      <c r="G117" s="957">
        <f>+'Quarterly Financial Model '!G228</f>
        <v>0</v>
      </c>
      <c r="H117" s="946"/>
      <c r="I117" s="946"/>
      <c r="J117" s="946"/>
      <c r="K117" s="946"/>
      <c r="L117" s="957">
        <f>+'Quarterly Financial Model '!L228</f>
        <v>11.938000000000001</v>
      </c>
      <c r="M117" s="946">
        <f>+'Quarterly Financial Model '!M228</f>
        <v>15.8</v>
      </c>
      <c r="N117" s="946">
        <f>+'Quarterly Financial Model '!N228</f>
        <v>12.73</v>
      </c>
      <c r="O117" s="946">
        <f>+'Quarterly Financial Model '!O228</f>
        <v>12.407999999999999</v>
      </c>
      <c r="P117" s="946">
        <f>+'Quarterly Financial Model '!P228</f>
        <v>12.407999999999999</v>
      </c>
      <c r="Q117" s="957">
        <f>+'Quarterly Financial Model '!Q228</f>
        <v>12.407999999999999</v>
      </c>
      <c r="R117" s="946">
        <f>+'Quarterly Financial Model '!R228</f>
        <v>36.5</v>
      </c>
      <c r="S117" s="946">
        <f>+'Quarterly Financial Model '!S228</f>
        <v>36.5</v>
      </c>
      <c r="T117" s="946">
        <f>+'Quarterly Financial Model '!T228</f>
        <v>36.5</v>
      </c>
      <c r="U117" s="946">
        <f>+'Quarterly Financial Model '!U228</f>
        <v>63.7</v>
      </c>
      <c r="V117" s="957">
        <f>+'Quarterly Financial Model '!V228</f>
        <v>63.7</v>
      </c>
      <c r="W117" s="946">
        <f>+'Quarterly Financial Model '!W228</f>
        <v>36.5</v>
      </c>
      <c r="X117" s="946">
        <f>+'Quarterly Financial Model '!X228</f>
        <v>74.879000000000005</v>
      </c>
      <c r="Y117" s="946">
        <f>+'Quarterly Financial Model '!Y228</f>
        <v>74.879000000000005</v>
      </c>
      <c r="Z117" s="946">
        <f>+'Quarterly Financial Model '!Z228</f>
        <v>74.879000000000005</v>
      </c>
      <c r="AA117" s="957">
        <f>+'Quarterly Financial Model '!AA228</f>
        <v>74.879000000000005</v>
      </c>
      <c r="AB117" s="946">
        <f>+'Quarterly Financial Model '!AB228</f>
        <v>74.879000000000005</v>
      </c>
      <c r="AC117" s="946">
        <f>+'Quarterly Financial Model '!AC228</f>
        <v>106.148</v>
      </c>
      <c r="AD117" s="946">
        <f>+'Quarterly Financial Model '!AD228</f>
        <v>106.148</v>
      </c>
      <c r="AE117" s="946">
        <f>+'Quarterly Financial Model '!AE228</f>
        <v>106.148</v>
      </c>
      <c r="AF117" s="957">
        <f>+'Quarterly Financial Model '!AF228</f>
        <v>106.148</v>
      </c>
      <c r="AG117" s="946">
        <f>+'Quarterly Financial Model '!AG228</f>
        <v>106.148</v>
      </c>
      <c r="AH117" s="946">
        <f>+'Quarterly Financial Model '!AH228</f>
        <v>106.148</v>
      </c>
      <c r="AI117" s="946">
        <f>+'Quarterly Financial Model '!AI228</f>
        <v>106.148</v>
      </c>
      <c r="AJ117" s="946">
        <f>+'Quarterly Financial Model '!AJ228</f>
        <v>106.148</v>
      </c>
      <c r="AK117" s="957">
        <f>+'Quarterly Financial Model '!AK228</f>
        <v>106.148</v>
      </c>
      <c r="AL117" s="946">
        <f>+'Quarterly Financial Model '!AL228</f>
        <v>95.647999999999996</v>
      </c>
      <c r="AM117" s="946">
        <f>+'Quarterly Financial Model '!AM228</f>
        <v>99.147999999999996</v>
      </c>
      <c r="AN117" s="946">
        <f>+'Quarterly Financial Model '!AN228</f>
        <v>92.36</v>
      </c>
      <c r="AO117" s="946">
        <f>+'Quarterly Financial Model '!AO228</f>
        <v>123.562</v>
      </c>
      <c r="AP117" s="957">
        <f>+'Quarterly Financial Model '!AP228</f>
        <v>123.562</v>
      </c>
      <c r="AQ117" s="946">
        <f>+'Quarterly Financial Model '!AQ228</f>
        <v>123.562</v>
      </c>
      <c r="AR117" s="946">
        <f>+'Quarterly Financial Model '!AR228</f>
        <v>123.562</v>
      </c>
      <c r="AS117" s="946">
        <f>+'Quarterly Financial Model '!AS228</f>
        <v>133.09700000000001</v>
      </c>
      <c r="AT117" s="946">
        <f>+'Quarterly Financial Model '!AT228</f>
        <v>107.89700000000001</v>
      </c>
      <c r="AU117" s="957">
        <f>+'Quarterly Financial Model '!AU228</f>
        <v>107.89700000000001</v>
      </c>
      <c r="AV117" s="946">
        <f>+'Quarterly Financial Model '!AV228</f>
        <v>107.89700000000001</v>
      </c>
      <c r="AW117" s="946">
        <f>+'Quarterly Financial Model '!AW228</f>
        <v>107.89700000000001</v>
      </c>
      <c r="AX117" s="946">
        <f>+'Quarterly Financial Model '!AX228</f>
        <v>107.89700000000001</v>
      </c>
      <c r="AY117" s="946">
        <f>+'Quarterly Financial Model '!AY228</f>
        <v>107.89700000000001</v>
      </c>
      <c r="AZ117" s="957">
        <f>+'Quarterly Financial Model '!AZ228</f>
        <v>107.89700000000001</v>
      </c>
      <c r="BA117" s="946">
        <f>+'Quarterly Financial Model '!BA228</f>
        <v>107.89700000000001</v>
      </c>
      <c r="BB117" s="946">
        <f>+'Quarterly Financial Model '!BB228</f>
        <v>107.89700000000001</v>
      </c>
      <c r="BC117" s="946">
        <f>+'Quarterly Financial Model '!BC228</f>
        <v>107.89700000000001</v>
      </c>
      <c r="BD117" s="946">
        <f>+'Quarterly Financial Model '!BD228</f>
        <v>107.89700000000001</v>
      </c>
      <c r="BE117" s="957">
        <f>+'Quarterly Financial Model '!BE228</f>
        <v>107.89700000000001</v>
      </c>
      <c r="BF117" s="946">
        <f>+'Quarterly Financial Model '!BF228</f>
        <v>107.89700000000001</v>
      </c>
      <c r="BG117" s="946">
        <f>+'Quarterly Financial Model '!BG228</f>
        <v>107.89700000000001</v>
      </c>
      <c r="BH117" s="946">
        <f>+'Quarterly Financial Model '!BH228</f>
        <v>107.89700000000001</v>
      </c>
      <c r="BI117" s="946">
        <f>+'Quarterly Financial Model '!BI228</f>
        <v>107.89700000000001</v>
      </c>
      <c r="BJ117" s="957">
        <f>+'Quarterly Financial Model '!BJ228</f>
        <v>107.89700000000001</v>
      </c>
    </row>
    <row r="118" spans="1:66">
      <c r="A118" s="939"/>
      <c r="B118" s="956" t="s">
        <v>231</v>
      </c>
      <c r="C118" s="946"/>
      <c r="D118" s="946"/>
      <c r="E118" s="946"/>
      <c r="F118" s="946"/>
      <c r="G118" s="957">
        <f>+'Quarterly Financial Model '!G231</f>
        <v>1.7390000000000001</v>
      </c>
      <c r="H118" s="946"/>
      <c r="I118" s="946"/>
      <c r="J118" s="946"/>
      <c r="K118" s="946"/>
      <c r="L118" s="957">
        <f>+'Quarterly Financial Model '!L231</f>
        <v>3.9870000000000001</v>
      </c>
      <c r="M118" s="946">
        <f>+'Quarterly Financial Model '!M231</f>
        <v>5.8</v>
      </c>
      <c r="N118" s="946">
        <f>+'Quarterly Financial Model '!N231</f>
        <v>7.6950000000000003</v>
      </c>
      <c r="O118" s="946">
        <f>+'Quarterly Financial Model '!O231</f>
        <v>6.9370000000000003</v>
      </c>
      <c r="P118" s="946">
        <f>+'Quarterly Financial Model '!P231</f>
        <v>7.3129999999999997</v>
      </c>
      <c r="Q118" s="957">
        <f>+'Quarterly Financial Model '!Q231</f>
        <v>7.3129999999999997</v>
      </c>
      <c r="R118" s="946">
        <f>+'Quarterly Financial Model '!R231</f>
        <v>9.4019999999999992</v>
      </c>
      <c r="S118" s="946">
        <f>+'Quarterly Financial Model '!S231</f>
        <v>10.885999999999999</v>
      </c>
      <c r="T118" s="946">
        <f>+'Quarterly Financial Model '!T231</f>
        <v>9.83</v>
      </c>
      <c r="U118" s="946">
        <f>+'Quarterly Financial Model '!U231</f>
        <v>9.6669999999999998</v>
      </c>
      <c r="V118" s="957">
        <f>+'Quarterly Financial Model '!V231</f>
        <v>9.6669999999999998</v>
      </c>
      <c r="W118" s="946">
        <f>+'Quarterly Financial Model '!W231</f>
        <v>11.715999999999999</v>
      </c>
      <c r="X118" s="946">
        <f>+'Quarterly Financial Model '!X231</f>
        <v>11.085000000000001</v>
      </c>
      <c r="Y118" s="946">
        <f>+'Quarterly Financial Model '!Y231</f>
        <v>9.8659999999999997</v>
      </c>
      <c r="Z118" s="946">
        <f>+'Quarterly Financial Model '!Z231</f>
        <v>9.0530000000000008</v>
      </c>
      <c r="AA118" s="957">
        <f>+'Quarterly Financial Model '!AA231</f>
        <v>9.0530000000000008</v>
      </c>
      <c r="AB118" s="946">
        <f>+'Quarterly Financial Model '!AB231</f>
        <v>10.000999999999999</v>
      </c>
      <c r="AC118" s="946">
        <f>+'Quarterly Financial Model '!AC231</f>
        <v>9.4770000000000003</v>
      </c>
      <c r="AD118" s="946">
        <f>+'Quarterly Financial Model '!AD231</f>
        <v>8.0050000000000008</v>
      </c>
      <c r="AE118" s="946">
        <f>+'Quarterly Financial Model '!AE231</f>
        <v>5.48</v>
      </c>
      <c r="AF118" s="957">
        <f>+'Quarterly Financial Model '!AF231</f>
        <v>5.48</v>
      </c>
      <c r="AG118" s="946">
        <f>+'Quarterly Financial Model '!AG231</f>
        <v>9.0839999999999996</v>
      </c>
      <c r="AH118" s="946">
        <f>+'Quarterly Financial Model '!AH231</f>
        <v>8.8350000000000009</v>
      </c>
      <c r="AI118" s="946">
        <f>+'Quarterly Financial Model '!AI231</f>
        <v>7.9169999999999998</v>
      </c>
      <c r="AJ118" s="946">
        <f>+'Quarterly Financial Model '!AJ231</f>
        <v>14.47</v>
      </c>
      <c r="AK118" s="957">
        <f>+'Quarterly Financial Model '!AK231</f>
        <v>14.47</v>
      </c>
      <c r="AL118" s="946">
        <f>+'Quarterly Financial Model '!AL231</f>
        <v>19.096</v>
      </c>
      <c r="AM118" s="946">
        <f>+'Quarterly Financial Model '!AM231</f>
        <v>14.395</v>
      </c>
      <c r="AN118" s="946">
        <f>+'Quarterly Financial Model '!AN231</f>
        <v>12.255000000000001</v>
      </c>
      <c r="AO118" s="946">
        <f>+'Quarterly Financial Model '!AO231</f>
        <v>7.907</v>
      </c>
      <c r="AP118" s="957">
        <f>+'Quarterly Financial Model '!AP231</f>
        <v>7.907</v>
      </c>
      <c r="AQ118" s="946">
        <f>+'Quarterly Financial Model '!AQ231</f>
        <v>9.702</v>
      </c>
      <c r="AR118" s="946">
        <f>+'Quarterly Financial Model '!AR231</f>
        <v>18.731000000000002</v>
      </c>
      <c r="AS118" s="946">
        <f>+'Quarterly Financial Model '!AS231</f>
        <v>19.349</v>
      </c>
      <c r="AT118" s="946">
        <f>+'Quarterly Financial Model '!AT231</f>
        <v>18.879000000000001</v>
      </c>
      <c r="AU118" s="957">
        <f>+'Quarterly Financial Model '!AU231</f>
        <v>18.879000000000001</v>
      </c>
      <c r="AV118" s="946">
        <f>+'Quarterly Financial Model '!AV231</f>
        <v>18.879000000000001</v>
      </c>
      <c r="AW118" s="946">
        <f>+'Quarterly Financial Model '!AW231</f>
        <v>18.879000000000001</v>
      </c>
      <c r="AX118" s="946">
        <f>+'Quarterly Financial Model '!AX231</f>
        <v>18.879000000000001</v>
      </c>
      <c r="AY118" s="946">
        <f>+'Quarterly Financial Model '!AY231</f>
        <v>18.879000000000001</v>
      </c>
      <c r="AZ118" s="957">
        <f>+'Quarterly Financial Model '!AZ231</f>
        <v>18.879000000000001</v>
      </c>
      <c r="BA118" s="946">
        <f>+'Quarterly Financial Model '!BA231</f>
        <v>18.879000000000001</v>
      </c>
      <c r="BB118" s="946">
        <f>+'Quarterly Financial Model '!BB231</f>
        <v>18.879000000000001</v>
      </c>
      <c r="BC118" s="946">
        <f>+'Quarterly Financial Model '!BC231</f>
        <v>18.879000000000001</v>
      </c>
      <c r="BD118" s="946">
        <f>+'Quarterly Financial Model '!BD231</f>
        <v>18.879000000000001</v>
      </c>
      <c r="BE118" s="957">
        <f>+'Quarterly Financial Model '!BE231</f>
        <v>18.879000000000001</v>
      </c>
      <c r="BF118" s="946">
        <f>+'Quarterly Financial Model '!BF231</f>
        <v>18.879000000000001</v>
      </c>
      <c r="BG118" s="946">
        <f>+'Quarterly Financial Model '!BG231</f>
        <v>18.879000000000001</v>
      </c>
      <c r="BH118" s="946">
        <f>+'Quarterly Financial Model '!BH231</f>
        <v>18.879000000000001</v>
      </c>
      <c r="BI118" s="946">
        <f>+'Quarterly Financial Model '!BI231</f>
        <v>18.879000000000001</v>
      </c>
      <c r="BJ118" s="957">
        <f>+'Quarterly Financial Model '!BJ231</f>
        <v>18.879000000000001</v>
      </c>
    </row>
    <row r="119" spans="1:66">
      <c r="A119" s="939"/>
      <c r="B119" s="956" t="s">
        <v>232</v>
      </c>
      <c r="C119" s="946"/>
      <c r="D119" s="946"/>
      <c r="E119" s="946"/>
      <c r="F119" s="946"/>
      <c r="G119" s="957">
        <f>+'Quarterly Financial Model '!G232</f>
        <v>0</v>
      </c>
      <c r="H119" s="946"/>
      <c r="I119" s="946"/>
      <c r="J119" s="946"/>
      <c r="K119" s="946"/>
      <c r="L119" s="957">
        <f>+'Quarterly Financial Model '!L232</f>
        <v>0.112</v>
      </c>
      <c r="M119" s="946">
        <f>+'Quarterly Financial Model '!M232</f>
        <v>6.3</v>
      </c>
      <c r="N119" s="946">
        <f>+'Quarterly Financial Model '!N232</f>
        <v>6.2480000000000002</v>
      </c>
      <c r="O119" s="946">
        <f>+'Quarterly Financial Model '!O232</f>
        <v>4.5129999999999999</v>
      </c>
      <c r="P119" s="946">
        <f>+'Quarterly Financial Model '!P232</f>
        <v>4.6070000000000002</v>
      </c>
      <c r="Q119" s="957">
        <f>+'Quarterly Financial Model '!Q232</f>
        <v>4.6070000000000002</v>
      </c>
      <c r="R119" s="946">
        <f>+'Quarterly Financial Model '!R232</f>
        <v>4.2560000000000002</v>
      </c>
      <c r="S119" s="946">
        <f>+'Quarterly Financial Model '!S232</f>
        <v>4.274</v>
      </c>
      <c r="T119" s="946">
        <f>+'Quarterly Financial Model '!T232</f>
        <v>5.0679999999999996</v>
      </c>
      <c r="U119" s="946">
        <f>+'Quarterly Financial Model '!U232</f>
        <v>5.5049999999999999</v>
      </c>
      <c r="V119" s="957">
        <f>+'Quarterly Financial Model '!V232</f>
        <v>5.5049999999999999</v>
      </c>
      <c r="W119" s="946">
        <f>+'Quarterly Financial Model '!W232</f>
        <v>4.8890000000000002</v>
      </c>
      <c r="X119" s="946">
        <f>+'Quarterly Financial Model '!X232</f>
        <v>4.6479999999999997</v>
      </c>
      <c r="Y119" s="946">
        <f>+'Quarterly Financial Model '!Y232</f>
        <v>4.6790000000000003</v>
      </c>
      <c r="Z119" s="946">
        <f>+'Quarterly Financial Model '!Z232</f>
        <v>4.3259999999999996</v>
      </c>
      <c r="AA119" s="957">
        <f>+'Quarterly Financial Model '!AA232</f>
        <v>4.3259999999999996</v>
      </c>
      <c r="AB119" s="946">
        <f>+'Quarterly Financial Model '!AB232</f>
        <v>4.3470000000000004</v>
      </c>
      <c r="AC119" s="946">
        <f>+'Quarterly Financial Model '!AC232</f>
        <v>8.7859999999999996</v>
      </c>
      <c r="AD119" s="946">
        <f>+'Quarterly Financial Model '!AD232</f>
        <v>8.1180000000000003</v>
      </c>
      <c r="AE119" s="946">
        <f>+'Quarterly Financial Model '!AE232</f>
        <v>8.1579999999999995</v>
      </c>
      <c r="AF119" s="957">
        <f>+'Quarterly Financial Model '!AF232</f>
        <v>8.1579999999999995</v>
      </c>
      <c r="AG119" s="946">
        <f>+'Quarterly Financial Model '!AG232</f>
        <v>8.9160000000000004</v>
      </c>
      <c r="AH119" s="946">
        <f>+'Quarterly Financial Model '!AH232</f>
        <v>17.262</v>
      </c>
      <c r="AI119" s="946">
        <f>+'Quarterly Financial Model '!AI232</f>
        <v>8.5920000000000005</v>
      </c>
      <c r="AJ119" s="946">
        <f>+'Quarterly Financial Model '!AJ232</f>
        <v>7.931</v>
      </c>
      <c r="AK119" s="957">
        <f>+'Quarterly Financial Model '!AK232</f>
        <v>7.931</v>
      </c>
      <c r="AL119" s="946">
        <f>+'Quarterly Financial Model '!AL232</f>
        <v>7.9160000000000004</v>
      </c>
      <c r="AM119" s="946">
        <f>+'Quarterly Financial Model '!AM232</f>
        <v>8.6010000000000009</v>
      </c>
      <c r="AN119" s="946">
        <f>+'Quarterly Financial Model '!AN232</f>
        <v>7.8869999999999996</v>
      </c>
      <c r="AO119" s="946">
        <f>+'Quarterly Financial Model '!AO232</f>
        <v>7.87</v>
      </c>
      <c r="AP119" s="957">
        <f>+'Quarterly Financial Model '!AP232</f>
        <v>7.87</v>
      </c>
      <c r="AQ119" s="946">
        <f>+'Quarterly Financial Model '!AQ232</f>
        <v>7.9130000000000003</v>
      </c>
      <c r="AR119" s="946">
        <f>+'Quarterly Financial Model '!AR232</f>
        <v>8.6720000000000006</v>
      </c>
      <c r="AS119" s="946">
        <f>+'Quarterly Financial Model '!AS232</f>
        <v>8</v>
      </c>
      <c r="AT119" s="946">
        <f>+'Quarterly Financial Model '!AT232</f>
        <v>8.0440000000000005</v>
      </c>
      <c r="AU119" s="957">
        <f>+'Quarterly Financial Model '!AU232</f>
        <v>8.0440000000000005</v>
      </c>
      <c r="AV119" s="946">
        <f>+'Quarterly Financial Model '!AV232</f>
        <v>8.0440000000000005</v>
      </c>
      <c r="AW119" s="946">
        <f>+'Quarterly Financial Model '!AW232</f>
        <v>8.0440000000000005</v>
      </c>
      <c r="AX119" s="946">
        <f>+'Quarterly Financial Model '!AX232</f>
        <v>8.0440000000000005</v>
      </c>
      <c r="AY119" s="946">
        <f>+'Quarterly Financial Model '!AY232</f>
        <v>8.0440000000000005</v>
      </c>
      <c r="AZ119" s="957">
        <f>+'Quarterly Financial Model '!AZ232</f>
        <v>8.0440000000000005</v>
      </c>
      <c r="BA119" s="946">
        <f>+'Quarterly Financial Model '!BA232</f>
        <v>8.0440000000000005</v>
      </c>
      <c r="BB119" s="946">
        <f>+'Quarterly Financial Model '!BB232</f>
        <v>8.0440000000000005</v>
      </c>
      <c r="BC119" s="946">
        <f>+'Quarterly Financial Model '!BC232</f>
        <v>8.0440000000000005</v>
      </c>
      <c r="BD119" s="946">
        <f>+'Quarterly Financial Model '!BD232</f>
        <v>8.0440000000000005</v>
      </c>
      <c r="BE119" s="957">
        <f>+'Quarterly Financial Model '!BE232</f>
        <v>8.0440000000000005</v>
      </c>
      <c r="BF119" s="946">
        <f>+'Quarterly Financial Model '!BF232</f>
        <v>8.0440000000000005</v>
      </c>
      <c r="BG119" s="946">
        <f>+'Quarterly Financial Model '!BG232</f>
        <v>8.0440000000000005</v>
      </c>
      <c r="BH119" s="946">
        <f>+'Quarterly Financial Model '!BH232</f>
        <v>8.0440000000000005</v>
      </c>
      <c r="BI119" s="946">
        <f>+'Quarterly Financial Model '!BI232</f>
        <v>8.0440000000000005</v>
      </c>
      <c r="BJ119" s="957">
        <f>+'Quarterly Financial Model '!BJ232</f>
        <v>8.0440000000000005</v>
      </c>
    </row>
    <row r="120" spans="1:66">
      <c r="A120" s="939"/>
      <c r="B120" s="956" t="s">
        <v>107</v>
      </c>
      <c r="C120" s="946"/>
      <c r="D120" s="946"/>
      <c r="E120" s="946"/>
      <c r="F120" s="946"/>
      <c r="G120" s="957">
        <f>+'Quarterly Financial Model '!G233</f>
        <v>0.23799999999999999</v>
      </c>
      <c r="H120" s="946"/>
      <c r="I120" s="946"/>
      <c r="J120" s="946"/>
      <c r="K120" s="946"/>
      <c r="L120" s="957">
        <f>+'Quarterly Financial Model '!L233</f>
        <v>0</v>
      </c>
      <c r="M120" s="946">
        <f>+'Quarterly Financial Model '!M233</f>
        <v>0</v>
      </c>
      <c r="N120" s="946">
        <f>+'Quarterly Financial Model '!N233</f>
        <v>0</v>
      </c>
      <c r="O120" s="946">
        <f>+'Quarterly Financial Model '!O233</f>
        <v>6.3529999999999998</v>
      </c>
      <c r="P120" s="946">
        <f>+'Quarterly Financial Model '!P233</f>
        <v>6.4</v>
      </c>
      <c r="Q120" s="957">
        <f>+'Quarterly Financial Model '!Q233</f>
        <v>6.4</v>
      </c>
      <c r="R120" s="946">
        <f>+'Quarterly Financial Model '!R233</f>
        <v>5.7590000000000003</v>
      </c>
      <c r="S120" s="946">
        <f>+'Quarterly Financial Model '!S233</f>
        <v>2.0870000000000002</v>
      </c>
      <c r="T120" s="946">
        <f>+'Quarterly Financial Model '!T233</f>
        <v>2.4769999999999999</v>
      </c>
      <c r="U120" s="946">
        <f>+'Quarterly Financial Model '!U233</f>
        <v>1.609</v>
      </c>
      <c r="V120" s="957">
        <f>+'Quarterly Financial Model '!V233</f>
        <v>1.609</v>
      </c>
      <c r="W120" s="946">
        <f>+'Quarterly Financial Model '!W233</f>
        <v>0.222</v>
      </c>
      <c r="X120" s="946">
        <f>+'Quarterly Financial Model '!X233</f>
        <v>1.4810000000000001</v>
      </c>
      <c r="Y120" s="946">
        <f>+'Quarterly Financial Model '!Y233</f>
        <v>1.3819999999999999</v>
      </c>
      <c r="Z120" s="946">
        <f>+'Quarterly Financial Model '!Z233</f>
        <v>1.3819999999999999</v>
      </c>
      <c r="AA120" s="957">
        <f>+'Quarterly Financial Model '!AA233</f>
        <v>1.3819999999999999</v>
      </c>
      <c r="AB120" s="946">
        <f>+'Quarterly Financial Model '!AB233</f>
        <v>1.3819999999999999</v>
      </c>
      <c r="AC120" s="946">
        <f>+'Quarterly Financial Model '!AC233</f>
        <v>2.7480000000000002</v>
      </c>
      <c r="AD120" s="946">
        <f>+'Quarterly Financial Model '!AD233</f>
        <v>5.242</v>
      </c>
      <c r="AE120" s="946">
        <f>+'Quarterly Financial Model '!AE233</f>
        <v>7.5570000000000004</v>
      </c>
      <c r="AF120" s="957">
        <f>+'Quarterly Financial Model '!AF233</f>
        <v>7.5570000000000004</v>
      </c>
      <c r="AG120" s="946">
        <f>+'Quarterly Financial Model '!AG233</f>
        <v>9.1809999999999992</v>
      </c>
      <c r="AH120" s="946">
        <f>+'Quarterly Financial Model '!AH233</f>
        <v>9.9909999999999997</v>
      </c>
      <c r="AI120" s="946">
        <f>+'Quarterly Financial Model '!AI233</f>
        <v>13.25</v>
      </c>
      <c r="AJ120" s="946">
        <f>+'Quarterly Financial Model '!AJ233</f>
        <v>13.94</v>
      </c>
      <c r="AK120" s="957">
        <f>+'Quarterly Financial Model '!AK233</f>
        <v>13.94</v>
      </c>
      <c r="AL120" s="946">
        <f>+'Quarterly Financial Model '!AL233</f>
        <v>18.651</v>
      </c>
      <c r="AM120" s="946">
        <f>+'Quarterly Financial Model '!AM233</f>
        <v>20.103999999999999</v>
      </c>
      <c r="AN120" s="946">
        <f>+'Quarterly Financial Model '!AN233</f>
        <v>16.795999999999999</v>
      </c>
      <c r="AO120" s="946">
        <f>+'Quarterly Financial Model '!AO233</f>
        <v>13.718999999999999</v>
      </c>
      <c r="AP120" s="957">
        <f>+'Quarterly Financial Model '!AP233</f>
        <v>13.718999999999999</v>
      </c>
      <c r="AQ120" s="946">
        <f>+'Quarterly Financial Model '!AQ233</f>
        <v>11.034000000000001</v>
      </c>
      <c r="AR120" s="946">
        <f>+'Quarterly Financial Model '!AR233</f>
        <v>6.9610000000000003</v>
      </c>
      <c r="AS120" s="946">
        <f>+'Quarterly Financial Model '!AS233</f>
        <v>6.79</v>
      </c>
      <c r="AT120" s="946">
        <f>+'Quarterly Financial Model '!AT233</f>
        <v>5.9749999999999996</v>
      </c>
      <c r="AU120" s="957">
        <f>+'Quarterly Financial Model '!AU233</f>
        <v>5.9749999999999996</v>
      </c>
      <c r="AV120" s="946">
        <f>+'Quarterly Financial Model '!AV233</f>
        <v>5.9749999999999996</v>
      </c>
      <c r="AW120" s="946">
        <f>+'Quarterly Financial Model '!AW233</f>
        <v>5.9749999999999996</v>
      </c>
      <c r="AX120" s="946">
        <f>+'Quarterly Financial Model '!AX233</f>
        <v>5.9749999999999996</v>
      </c>
      <c r="AY120" s="946">
        <f>+'Quarterly Financial Model '!AY233</f>
        <v>5.9749999999999996</v>
      </c>
      <c r="AZ120" s="957">
        <f>+'Quarterly Financial Model '!AZ233</f>
        <v>5.9749999999999996</v>
      </c>
      <c r="BA120" s="946">
        <f>+'Quarterly Financial Model '!BA233</f>
        <v>5.9749999999999996</v>
      </c>
      <c r="BB120" s="946">
        <f>+'Quarterly Financial Model '!BB233</f>
        <v>5.9749999999999996</v>
      </c>
      <c r="BC120" s="946">
        <f>+'Quarterly Financial Model '!BC233</f>
        <v>5.9749999999999996</v>
      </c>
      <c r="BD120" s="946">
        <f>+'Quarterly Financial Model '!BD233</f>
        <v>5.9749999999999996</v>
      </c>
      <c r="BE120" s="957">
        <f>+'Quarterly Financial Model '!BE233</f>
        <v>5.9749999999999996</v>
      </c>
      <c r="BF120" s="946">
        <f>+'Quarterly Financial Model '!BF233</f>
        <v>5.9749999999999996</v>
      </c>
      <c r="BG120" s="946">
        <f>+'Quarterly Financial Model '!BG233</f>
        <v>5.9749999999999996</v>
      </c>
      <c r="BH120" s="946">
        <f>+'Quarterly Financial Model '!BH233</f>
        <v>5.9749999999999996</v>
      </c>
      <c r="BI120" s="946">
        <f>+'Quarterly Financial Model '!BI233</f>
        <v>5.9749999999999996</v>
      </c>
      <c r="BJ120" s="957">
        <f>+'Quarterly Financial Model '!BJ233</f>
        <v>5.9749999999999996</v>
      </c>
    </row>
    <row r="121" spans="1:66">
      <c r="A121" s="939"/>
      <c r="B121" s="958" t="s">
        <v>233</v>
      </c>
      <c r="C121" s="959"/>
      <c r="D121" s="959"/>
      <c r="E121" s="959"/>
      <c r="F121" s="959"/>
      <c r="G121" s="960">
        <f>+'Quarterly Financial Model '!G234</f>
        <v>260.202</v>
      </c>
      <c r="H121" s="959"/>
      <c r="I121" s="959"/>
      <c r="J121" s="959"/>
      <c r="K121" s="959"/>
      <c r="L121" s="960">
        <f>+'Quarterly Financial Model '!L234</f>
        <v>424.827</v>
      </c>
      <c r="M121" s="959">
        <f>+'Quarterly Financial Model '!M234</f>
        <v>370.3</v>
      </c>
      <c r="N121" s="959">
        <f>+'Quarterly Financial Model '!N234</f>
        <v>374.65800000000002</v>
      </c>
      <c r="O121" s="959">
        <f>+'Quarterly Financial Model '!O234</f>
        <v>418.31799999999998</v>
      </c>
      <c r="P121" s="959">
        <f>+'Quarterly Financial Model '!P234</f>
        <v>440.71999999999997</v>
      </c>
      <c r="Q121" s="960">
        <f>+'Quarterly Financial Model '!Q234</f>
        <v>440.71999999999997</v>
      </c>
      <c r="R121" s="959">
        <f>+'Quarterly Financial Model '!R234</f>
        <v>408.82500000000005</v>
      </c>
      <c r="S121" s="959">
        <f>+'Quarterly Financial Model '!S234</f>
        <v>533.20299999999986</v>
      </c>
      <c r="T121" s="959">
        <f>+'Quarterly Financial Model '!T234</f>
        <v>532.39599999999996</v>
      </c>
      <c r="U121" s="959">
        <f>+'Quarterly Financial Model '!U234</f>
        <v>869.46799999999996</v>
      </c>
      <c r="V121" s="960">
        <f>+'Quarterly Financial Model '!V234</f>
        <v>869.46799999999996</v>
      </c>
      <c r="W121" s="959">
        <f>+'Quarterly Financial Model '!W234</f>
        <v>635.15499999999997</v>
      </c>
      <c r="X121" s="959">
        <f>+'Quarterly Financial Model '!X234</f>
        <v>670.1160000000001</v>
      </c>
      <c r="Y121" s="959">
        <f>+'Quarterly Financial Model '!Y234</f>
        <v>955.31799999999998</v>
      </c>
      <c r="Z121" s="959">
        <f>+'Quarterly Financial Model '!Z234</f>
        <v>685.31299999999999</v>
      </c>
      <c r="AA121" s="960">
        <f>+'Quarterly Financial Model '!AA234</f>
        <v>685.31299999999999</v>
      </c>
      <c r="AB121" s="959">
        <f>+'Quarterly Financial Model '!AB234</f>
        <v>1064.8890000000001</v>
      </c>
      <c r="AC121" s="959">
        <f>+'Quarterly Financial Model '!AC234</f>
        <v>1189.327</v>
      </c>
      <c r="AD121" s="959">
        <f>+'Quarterly Financial Model '!AD234</f>
        <v>860.053</v>
      </c>
      <c r="AE121" s="959">
        <f>+'Quarterly Financial Model '!AE234</f>
        <v>963.33299999999997</v>
      </c>
      <c r="AF121" s="960">
        <f>+'Quarterly Financial Model '!AF234</f>
        <v>963.33299999999997</v>
      </c>
      <c r="AG121" s="959">
        <f>+'Quarterly Financial Model '!AG234</f>
        <v>942.14299999999992</v>
      </c>
      <c r="AH121" s="959">
        <f>+'Quarterly Financial Model '!AH234</f>
        <v>1036.2009999999998</v>
      </c>
      <c r="AI121" s="959">
        <f>+'Quarterly Financial Model '!AI234</f>
        <v>1061.1889999999999</v>
      </c>
      <c r="AJ121" s="959">
        <f>+'Quarterly Financial Model '!AJ234</f>
        <v>1295.3790000000001</v>
      </c>
      <c r="AK121" s="960">
        <f>+'Quarterly Financial Model '!AK234</f>
        <v>1295.3790000000001</v>
      </c>
      <c r="AL121" s="959">
        <f>+'Quarterly Financial Model '!AL234</f>
        <v>1204.615</v>
      </c>
      <c r="AM121" s="959">
        <f>+'Quarterly Financial Model '!AM234</f>
        <v>1265.4360000000001</v>
      </c>
      <c r="AN121" s="959">
        <f>+'Quarterly Financial Model '!AN234</f>
        <v>1411.2770000000003</v>
      </c>
      <c r="AO121" s="959">
        <f>+'Quarterly Financial Model '!AO234</f>
        <v>1689.0119999999999</v>
      </c>
      <c r="AP121" s="960">
        <f>+'Quarterly Financial Model '!AP234</f>
        <v>1689.0119999999999</v>
      </c>
      <c r="AQ121" s="959">
        <f>+'Quarterly Financial Model '!AQ234</f>
        <v>1666.3549999999998</v>
      </c>
      <c r="AR121" s="959">
        <f>+'Quarterly Financial Model '!AR234</f>
        <v>1799.4950000000001</v>
      </c>
      <c r="AS121" s="959">
        <f>+'Quarterly Financial Model '!AS234</f>
        <v>1811.2059999999999</v>
      </c>
      <c r="AT121" s="959">
        <f>+'Quarterly Financial Model '!AT234</f>
        <v>1834.4580000000001</v>
      </c>
      <c r="AU121" s="960">
        <f>+'Quarterly Financial Model '!AU234</f>
        <v>1834.4580000000001</v>
      </c>
      <c r="AV121" s="959">
        <f>+'Quarterly Financial Model '!AV234</f>
        <v>2303.8489257180318</v>
      </c>
      <c r="AW121" s="959">
        <f>+'Quarterly Financial Model '!AW234</f>
        <v>2556.9740116250391</v>
      </c>
      <c r="AX121" s="959">
        <f>+'Quarterly Financial Model '!AX234</f>
        <v>2480.0570328038611</v>
      </c>
      <c r="AY121" s="959">
        <f>+'Quarterly Financial Model '!AY234</f>
        <v>2557.0725212558832</v>
      </c>
      <c r="AZ121" s="960">
        <f>+'Quarterly Financial Model '!AZ234</f>
        <v>2557.0725212558832</v>
      </c>
      <c r="BA121" s="959">
        <f>+'Quarterly Financial Model '!BA234</f>
        <v>2597.0340099168116</v>
      </c>
      <c r="BB121" s="959">
        <f>+'Quarterly Financial Model '!BB234</f>
        <v>2717.9975677339589</v>
      </c>
      <c r="BC121" s="959">
        <f>+'Quarterly Financial Model '!BC234</f>
        <v>2655.6350568329553</v>
      </c>
      <c r="BD121" s="959">
        <f>+'Quarterly Financial Model '!BD234</f>
        <v>2740.9588844770274</v>
      </c>
      <c r="BE121" s="960">
        <f>+'Quarterly Financial Model '!BE234</f>
        <v>2740.9588844770274</v>
      </c>
      <c r="BF121" s="959">
        <f>+'Quarterly Financial Model '!BF234</f>
        <v>2742.6152285273197</v>
      </c>
      <c r="BG121" s="959">
        <f>+'Quarterly Financial Model '!BG234</f>
        <v>2868.486220401795</v>
      </c>
      <c r="BH121" s="959">
        <f>+'Quarterly Financial Model '!BH234</f>
        <v>2794.8474328323632</v>
      </c>
      <c r="BI121" s="959">
        <f>+'Quarterly Financial Model '!BI234</f>
        <v>2887.9009834102012</v>
      </c>
      <c r="BJ121" s="960">
        <f>+'Quarterly Financial Model '!BJ234</f>
        <v>2887.9009834102012</v>
      </c>
    </row>
    <row r="122" spans="1:66">
      <c r="A122" s="939"/>
      <c r="B122" s="956" t="s">
        <v>234</v>
      </c>
      <c r="C122" s="946"/>
      <c r="D122" s="946"/>
      <c r="E122" s="946"/>
      <c r="F122" s="946"/>
      <c r="G122" s="957">
        <f>+'Quarterly Financial Model '!G235</f>
        <v>1218.75</v>
      </c>
      <c r="H122" s="946"/>
      <c r="I122" s="946"/>
      <c r="J122" s="946"/>
      <c r="K122" s="946"/>
      <c r="L122" s="957">
        <f>+'Quarterly Financial Model '!L235</f>
        <v>377.43700000000001</v>
      </c>
      <c r="M122" s="946">
        <f>+'Quarterly Financial Model '!M235</f>
        <v>0</v>
      </c>
      <c r="N122" s="946">
        <f>+'Quarterly Financial Model '!N235</f>
        <v>375.94600000000003</v>
      </c>
      <c r="O122" s="946">
        <f>+'Quarterly Financial Model '!O235</f>
        <v>374.54300000000001</v>
      </c>
      <c r="P122" s="946">
        <f>+'Quarterly Financial Model '!P235</f>
        <v>373.59199999999998</v>
      </c>
      <c r="Q122" s="957">
        <f>+'Quarterly Financial Model '!Q235</f>
        <v>373.59199999999998</v>
      </c>
      <c r="R122" s="946">
        <f>+'Quarterly Financial Model '!R235</f>
        <v>304</v>
      </c>
      <c r="S122" s="946">
        <f>+'Quarterly Financial Model '!S235</f>
        <v>300</v>
      </c>
      <c r="T122" s="946">
        <f>+'Quarterly Financial Model '!T235</f>
        <v>296</v>
      </c>
      <c r="U122" s="946">
        <f>+'Quarterly Financial Model '!U235</f>
        <v>292</v>
      </c>
      <c r="V122" s="957">
        <f>+'Quarterly Financial Model '!V235</f>
        <v>292</v>
      </c>
      <c r="W122" s="946">
        <f>+'Quarterly Financial Model '!W235</f>
        <v>288</v>
      </c>
      <c r="X122" s="946">
        <f>+'Quarterly Financial Model '!X235</f>
        <v>334.80399999999997</v>
      </c>
      <c r="Y122" s="946">
        <f>+'Quarterly Financial Model '!Y235</f>
        <v>330.39800000000002</v>
      </c>
      <c r="Z122" s="946">
        <f>+'Quarterly Financial Model '!Z235</f>
        <v>325.99299999999999</v>
      </c>
      <c r="AA122" s="957">
        <f>+'Quarterly Financial Model '!AA235</f>
        <v>325.99299999999999</v>
      </c>
      <c r="AB122" s="946">
        <f>+'Quarterly Financial Model '!AB235</f>
        <v>321.58800000000002</v>
      </c>
      <c r="AC122" s="946">
        <f>+'Quarterly Financial Model '!AC235</f>
        <v>196.69800000000001</v>
      </c>
      <c r="AD122" s="946">
        <f>+'Quarterly Financial Model '!AD235</f>
        <v>194.10900000000001</v>
      </c>
      <c r="AE122" s="946">
        <f>+'Quarterly Financial Model '!AE235</f>
        <v>191.52099999999999</v>
      </c>
      <c r="AF122" s="957">
        <f>+'Quarterly Financial Model '!AF235</f>
        <v>191.52099999999999</v>
      </c>
      <c r="AG122" s="946">
        <f>+'Quarterly Financial Model '!AG235</f>
        <v>188.93299999999999</v>
      </c>
      <c r="AH122" s="946">
        <f>+'Quarterly Financial Model '!AH235</f>
        <v>186.345</v>
      </c>
      <c r="AI122" s="946">
        <f>+'Quarterly Financial Model '!AI235</f>
        <v>183.75700000000001</v>
      </c>
      <c r="AJ122" s="946">
        <f>+'Quarterly Financial Model '!AJ235</f>
        <v>181.16900000000001</v>
      </c>
      <c r="AK122" s="957">
        <f>+'Quarterly Financial Model '!AK235</f>
        <v>181.16900000000001</v>
      </c>
      <c r="AL122" s="946">
        <f>+'Quarterly Financial Model '!AL235</f>
        <v>178.58099999999999</v>
      </c>
      <c r="AM122" s="946">
        <f>+'Quarterly Financial Model '!AM235</f>
        <v>175.99299999999999</v>
      </c>
      <c r="AN122" s="946">
        <f>+'Quarterly Financial Model '!AN235</f>
        <v>177.77799999999999</v>
      </c>
      <c r="AO122" s="946">
        <f>+'Quarterly Financial Model '!AO235</f>
        <v>143.577</v>
      </c>
      <c r="AP122" s="957">
        <f>+'Quarterly Financial Model '!AP235</f>
        <v>143.577</v>
      </c>
      <c r="AQ122" s="946">
        <f>+'Quarterly Financial Model '!AQ235</f>
        <v>141.68799999999999</v>
      </c>
      <c r="AR122" s="946">
        <f>+'Quarterly Financial Model '!AR235</f>
        <v>171.89699999999999</v>
      </c>
      <c r="AS122" s="946">
        <f>+'Quarterly Financial Model '!AS235</f>
        <v>170.09700000000001</v>
      </c>
      <c r="AT122" s="946">
        <f>+'Quarterly Financial Model '!AT235</f>
        <v>0</v>
      </c>
      <c r="AU122" s="957">
        <f>+'Quarterly Financial Model '!AU235</f>
        <v>0</v>
      </c>
      <c r="AV122" s="946">
        <f>+'Quarterly Financial Model '!AV235</f>
        <v>0</v>
      </c>
      <c r="AW122" s="946">
        <f>+'Quarterly Financial Model '!AW235</f>
        <v>0</v>
      </c>
      <c r="AX122" s="946">
        <f>+'Quarterly Financial Model '!AX235</f>
        <v>0</v>
      </c>
      <c r="AY122" s="946">
        <f>+'Quarterly Financial Model '!AY235</f>
        <v>0</v>
      </c>
      <c r="AZ122" s="957">
        <f>+'Quarterly Financial Model '!AZ235</f>
        <v>0</v>
      </c>
      <c r="BA122" s="946">
        <f>+'Quarterly Financial Model '!BA235</f>
        <v>0</v>
      </c>
      <c r="BB122" s="946">
        <f>+'Quarterly Financial Model '!BB235</f>
        <v>0</v>
      </c>
      <c r="BC122" s="946">
        <f>+'Quarterly Financial Model '!BC235</f>
        <v>0</v>
      </c>
      <c r="BD122" s="946">
        <f>+'Quarterly Financial Model '!BD235</f>
        <v>0</v>
      </c>
      <c r="BE122" s="957">
        <f>+'Quarterly Financial Model '!BE235</f>
        <v>0</v>
      </c>
      <c r="BF122" s="946">
        <f>+'Quarterly Financial Model '!BF235</f>
        <v>0</v>
      </c>
      <c r="BG122" s="946">
        <f>+'Quarterly Financial Model '!BG235</f>
        <v>0</v>
      </c>
      <c r="BH122" s="946">
        <f>+'Quarterly Financial Model '!BH235</f>
        <v>0</v>
      </c>
      <c r="BI122" s="946">
        <f>+'Quarterly Financial Model '!BI235</f>
        <v>0</v>
      </c>
      <c r="BJ122" s="957">
        <f>+'Quarterly Financial Model '!BJ235</f>
        <v>0</v>
      </c>
    </row>
    <row r="123" spans="1:66">
      <c r="A123" s="939"/>
      <c r="B123" s="956" t="s">
        <v>235</v>
      </c>
      <c r="C123" s="946"/>
      <c r="D123" s="946"/>
      <c r="E123" s="946"/>
      <c r="F123" s="946"/>
      <c r="G123" s="957">
        <f>+'Quarterly Financial Model '!G236</f>
        <v>0</v>
      </c>
      <c r="H123" s="946"/>
      <c r="I123" s="946"/>
      <c r="J123" s="946"/>
      <c r="K123" s="946"/>
      <c r="L123" s="957">
        <f>+'Quarterly Financial Model '!L236</f>
        <v>1363.09</v>
      </c>
      <c r="M123" s="946">
        <f>+'Quarterly Financial Model '!M236</f>
        <v>1737.4</v>
      </c>
      <c r="N123" s="946">
        <f>+'Quarterly Financial Model '!N236</f>
        <v>1358.9</v>
      </c>
      <c r="O123" s="946">
        <f>+'Quarterly Financial Model '!O236</f>
        <v>1367.2909999999999</v>
      </c>
      <c r="P123" s="946">
        <f>+'Quarterly Financial Model '!P236</f>
        <v>1364.9059999999999</v>
      </c>
      <c r="Q123" s="957">
        <f>+'Quarterly Financial Model '!Q236</f>
        <v>1364.9059999999999</v>
      </c>
      <c r="R123" s="946">
        <f>+'Quarterly Financial Model '!R236</f>
        <v>898.21699999999998</v>
      </c>
      <c r="S123" s="946">
        <f>+'Quarterly Financial Model '!S236</f>
        <v>889.35500000000002</v>
      </c>
      <c r="T123" s="946">
        <f>+'Quarterly Financial Model '!T236</f>
        <v>880.48</v>
      </c>
      <c r="U123" s="946">
        <f>+'Quarterly Financial Model '!U236</f>
        <v>871.60500000000002</v>
      </c>
      <c r="V123" s="957">
        <f>+'Quarterly Financial Model '!V236</f>
        <v>871.60500000000002</v>
      </c>
      <c r="W123" s="946">
        <f>+'Quarterly Financial Model '!W236</f>
        <v>862.73</v>
      </c>
      <c r="X123" s="946">
        <f>+'Quarterly Financial Model '!X236</f>
        <v>1429.82</v>
      </c>
      <c r="Y123" s="946">
        <f>+'Quarterly Financial Model '!Y236</f>
        <v>1411.326</v>
      </c>
      <c r="Z123" s="946">
        <f>+'Quarterly Financial Model '!Z236</f>
        <v>1392.7570000000001</v>
      </c>
      <c r="AA123" s="957">
        <f>+'Quarterly Financial Model '!AA236</f>
        <v>1392.7570000000001</v>
      </c>
      <c r="AB123" s="946">
        <f>+'Quarterly Financial Model '!AB236</f>
        <v>1374.1869999999999</v>
      </c>
      <c r="AC123" s="946">
        <f>+'Quarterly Financial Model '!AC236</f>
        <v>3138.0439999999999</v>
      </c>
      <c r="AD123" s="946">
        <f>+'Quarterly Financial Model '!AD236</f>
        <v>3111.88</v>
      </c>
      <c r="AE123" s="946">
        <f>+'Quarterly Financial Model '!AE236</f>
        <v>3085.7159999999999</v>
      </c>
      <c r="AF123" s="957">
        <f>+'Quarterly Financial Model '!AF236</f>
        <v>3085.7159999999999</v>
      </c>
      <c r="AG123" s="946">
        <f>+'Quarterly Financial Model '!AG236</f>
        <v>2860.3589999999999</v>
      </c>
      <c r="AH123" s="946">
        <f>+'Quarterly Financial Model '!AH236</f>
        <v>2834.1350000000002</v>
      </c>
      <c r="AI123" s="946">
        <f>+'Quarterly Financial Model '!AI236</f>
        <v>2807.9110000000001</v>
      </c>
      <c r="AJ123" s="946">
        <f>+'Quarterly Financial Model '!AJ236</f>
        <v>2762.4690000000001</v>
      </c>
      <c r="AK123" s="957">
        <f>+'Quarterly Financial Model '!AK236</f>
        <v>2762.4690000000001</v>
      </c>
      <c r="AL123" s="946">
        <f>+'Quarterly Financial Model '!AL236</f>
        <v>2737.5230000000001</v>
      </c>
      <c r="AM123" s="946">
        <f>+'Quarterly Financial Model '!AM236</f>
        <v>2712.6320000000001</v>
      </c>
      <c r="AN123" s="946">
        <f>+'Quarterly Financial Model '!AN236</f>
        <v>2697.9650000000001</v>
      </c>
      <c r="AO123" s="946">
        <f>+'Quarterly Financial Model '!AO236</f>
        <v>2946.0259999999998</v>
      </c>
      <c r="AP123" s="957">
        <f>+'Quarterly Financial Model '!AP236</f>
        <v>2946.0259999999998</v>
      </c>
      <c r="AQ123" s="946">
        <f>+'Quarterly Financial Model '!AQ236</f>
        <v>2916.2890000000002</v>
      </c>
      <c r="AR123" s="946">
        <f>+'Quarterly Financial Model '!AR236</f>
        <v>3212.4540000000002</v>
      </c>
      <c r="AS123" s="946">
        <f>+'Quarterly Financial Model '!AS236</f>
        <v>4421.5219999999999</v>
      </c>
      <c r="AT123" s="946">
        <f>+'Quarterly Financial Model '!AT236</f>
        <v>5586.348</v>
      </c>
      <c r="AU123" s="957">
        <f>+'Quarterly Financial Model '!AU236</f>
        <v>5586.348</v>
      </c>
      <c r="AV123" s="946">
        <f>+'Quarterly Financial Model '!AV236</f>
        <v>8436.348</v>
      </c>
      <c r="AW123" s="946">
        <f>+'Quarterly Financial Model '!AW236</f>
        <v>8436.348</v>
      </c>
      <c r="AX123" s="946">
        <f>+'Quarterly Financial Model '!AX236</f>
        <v>8436.348</v>
      </c>
      <c r="AY123" s="946">
        <f>+'Quarterly Financial Model '!AY236</f>
        <v>8436.348</v>
      </c>
      <c r="AZ123" s="957">
        <f>+'Quarterly Financial Model '!AZ236</f>
        <v>8436.348</v>
      </c>
      <c r="BA123" s="946">
        <f>+'Quarterly Financial Model '!BA236</f>
        <v>8336.348</v>
      </c>
      <c r="BB123" s="946">
        <f>+'Quarterly Financial Model '!BB236</f>
        <v>8236.348</v>
      </c>
      <c r="BC123" s="946">
        <f>+'Quarterly Financial Model '!BC236</f>
        <v>8136.348</v>
      </c>
      <c r="BD123" s="946">
        <f>+'Quarterly Financial Model '!BD236</f>
        <v>8036.348</v>
      </c>
      <c r="BE123" s="957">
        <f>+'Quarterly Financial Model '!BE236</f>
        <v>8036.348</v>
      </c>
      <c r="BF123" s="946">
        <f>+'Quarterly Financial Model '!BF236</f>
        <v>8036.348</v>
      </c>
      <c r="BG123" s="946">
        <f>+'Quarterly Financial Model '!BG236</f>
        <v>8036.348</v>
      </c>
      <c r="BH123" s="946">
        <f>+'Quarterly Financial Model '!BH236</f>
        <v>8036.348</v>
      </c>
      <c r="BI123" s="946">
        <f>+'Quarterly Financial Model '!BI236</f>
        <v>8036.348</v>
      </c>
      <c r="BJ123" s="957">
        <f>+'Quarterly Financial Model '!BJ236</f>
        <v>8036.348</v>
      </c>
    </row>
    <row r="124" spans="1:66">
      <c r="A124" s="939"/>
      <c r="B124" s="956" t="s">
        <v>236</v>
      </c>
      <c r="C124" s="946"/>
      <c r="D124" s="946"/>
      <c r="E124" s="946"/>
      <c r="F124" s="946"/>
      <c r="G124" s="957">
        <f>+'Quarterly Financial Model '!G237</f>
        <v>0</v>
      </c>
      <c r="H124" s="946"/>
      <c r="I124" s="946"/>
      <c r="J124" s="946"/>
      <c r="K124" s="946"/>
      <c r="L124" s="957">
        <f>+'Quarterly Financial Model '!L237</f>
        <v>0</v>
      </c>
      <c r="M124" s="946">
        <f>+'Quarterly Financial Model '!M237</f>
        <v>0</v>
      </c>
      <c r="N124" s="946">
        <f>+'Quarterly Financial Model '!N237</f>
        <v>0</v>
      </c>
      <c r="O124" s="946">
        <f>+'Quarterly Financial Model '!O237</f>
        <v>0</v>
      </c>
      <c r="P124" s="946">
        <f>+'Quarterly Financial Model '!P237</f>
        <v>0</v>
      </c>
      <c r="Q124" s="957">
        <f>+'Quarterly Financial Model '!Q237</f>
        <v>0</v>
      </c>
      <c r="R124" s="946">
        <f>+'Quarterly Financial Model '!R237</f>
        <v>333</v>
      </c>
      <c r="S124" s="946">
        <f>+'Quarterly Financial Model '!S237</f>
        <v>333</v>
      </c>
      <c r="T124" s="946">
        <f>+'Quarterly Financial Model '!T237</f>
        <v>333</v>
      </c>
      <c r="U124" s="946">
        <f>+'Quarterly Financial Model '!U237</f>
        <v>484.7</v>
      </c>
      <c r="V124" s="957">
        <f>+'Quarterly Financial Model '!V237</f>
        <v>484.7</v>
      </c>
      <c r="W124" s="946">
        <f>+'Quarterly Financial Model '!W237</f>
        <v>453.10500000000002</v>
      </c>
      <c r="X124" s="946">
        <f>+'Quarterly Financial Model '!X237</f>
        <v>694.90499999999997</v>
      </c>
      <c r="Y124" s="946">
        <f>+'Quarterly Financial Model '!Y237</f>
        <v>782.005</v>
      </c>
      <c r="Z124" s="946">
        <f>+'Quarterly Financial Model '!Z237</f>
        <v>551.06100000000004</v>
      </c>
      <c r="AA124" s="957">
        <f>+'Quarterly Financial Model '!AA237</f>
        <v>551.06100000000004</v>
      </c>
      <c r="AB124" s="946">
        <f>+'Quarterly Financial Model '!AB237</f>
        <v>528.41200000000003</v>
      </c>
      <c r="AC124" s="946">
        <f>+'Quarterly Financial Model '!AC237</f>
        <v>776.08900000000006</v>
      </c>
      <c r="AD124" s="946">
        <f>+'Quarterly Financial Model '!AD237</f>
        <v>782.55899999999997</v>
      </c>
      <c r="AE124" s="946">
        <f>+'Quarterly Financial Model '!AE237</f>
        <v>749.69299999999998</v>
      </c>
      <c r="AF124" s="957">
        <f>+'Quarterly Financial Model '!AF237</f>
        <v>749.69299999999998</v>
      </c>
      <c r="AG124" s="946">
        <f>+'Quarterly Financial Model '!AG237</f>
        <v>702.22199999999998</v>
      </c>
      <c r="AH124" s="946">
        <f>+'Quarterly Financial Model '!AH237</f>
        <v>765.23699999999997</v>
      </c>
      <c r="AI124" s="946">
        <f>+'Quarterly Financial Model '!AI237</f>
        <v>685.85799999999995</v>
      </c>
      <c r="AJ124" s="946">
        <f>+'Quarterly Financial Model '!AJ237</f>
        <v>928.80899999999997</v>
      </c>
      <c r="AK124" s="957">
        <f>+'Quarterly Financial Model '!AK237</f>
        <v>928.80899999999997</v>
      </c>
      <c r="AL124" s="946">
        <f>+'Quarterly Financial Model '!AL237</f>
        <v>878.899</v>
      </c>
      <c r="AM124" s="946">
        <f>+'Quarterly Financial Model '!AM237</f>
        <v>844.721</v>
      </c>
      <c r="AN124" s="946">
        <f>+'Quarterly Financial Model '!AN237</f>
        <v>399.68299999999999</v>
      </c>
      <c r="AO124" s="946">
        <f>+'Quarterly Financial Model '!AO237</f>
        <v>537.95799999999997</v>
      </c>
      <c r="AP124" s="957">
        <f>+'Quarterly Financial Model '!AP237</f>
        <v>537.95799999999997</v>
      </c>
      <c r="AQ124" s="946">
        <f>+'Quarterly Financial Model '!AQ237</f>
        <v>422.12099999999998</v>
      </c>
      <c r="AR124" s="946">
        <f>+'Quarterly Financial Model '!AR237</f>
        <v>327.92499999999995</v>
      </c>
      <c r="AS124" s="946">
        <f>+'Quarterly Financial Model '!AS237</f>
        <v>918.94399999999996</v>
      </c>
      <c r="AT124" s="946">
        <f>+'Quarterly Financial Model '!AT237</f>
        <v>535.02699999999993</v>
      </c>
      <c r="AU124" s="957">
        <f>+'Quarterly Financial Model '!AU237</f>
        <v>535.02699999999993</v>
      </c>
      <c r="AV124" s="946">
        <f>+'Quarterly Financial Model '!AV237</f>
        <v>535.02699999999993</v>
      </c>
      <c r="AW124" s="946">
        <f>+'Quarterly Financial Model '!AW237</f>
        <v>535.02699999999993</v>
      </c>
      <c r="AX124" s="946">
        <f>+'Quarterly Financial Model '!AX237</f>
        <v>535.02699999999993</v>
      </c>
      <c r="AY124" s="946">
        <f>+'Quarterly Financial Model '!AY237</f>
        <v>535.02699999999993</v>
      </c>
      <c r="AZ124" s="957">
        <f>+'Quarterly Financial Model '!AZ237</f>
        <v>535.02699999999993</v>
      </c>
      <c r="BA124" s="946">
        <f>+'Quarterly Financial Model '!BA237</f>
        <v>535.02699999999993</v>
      </c>
      <c r="BB124" s="946">
        <f>+'Quarterly Financial Model '!BB237</f>
        <v>535.02699999999993</v>
      </c>
      <c r="BC124" s="946">
        <f>+'Quarterly Financial Model '!BC237</f>
        <v>535.02699999999993</v>
      </c>
      <c r="BD124" s="946">
        <f>+'Quarterly Financial Model '!BD237</f>
        <v>535.02699999999993</v>
      </c>
      <c r="BE124" s="957">
        <f>+'Quarterly Financial Model '!BE237</f>
        <v>535.02699999999993</v>
      </c>
      <c r="BF124" s="946">
        <f>+'Quarterly Financial Model '!BF237</f>
        <v>535.02699999999993</v>
      </c>
      <c r="BG124" s="946">
        <f>+'Quarterly Financial Model '!BG237</f>
        <v>535.02699999999993</v>
      </c>
      <c r="BH124" s="946">
        <f>+'Quarterly Financial Model '!BH237</f>
        <v>535.02699999999993</v>
      </c>
      <c r="BI124" s="946">
        <f>+'Quarterly Financial Model '!BI237</f>
        <v>535.02699999999993</v>
      </c>
      <c r="BJ124" s="957">
        <f>+'Quarterly Financial Model '!BJ237</f>
        <v>535.02699999999993</v>
      </c>
    </row>
    <row r="125" spans="1:66">
      <c r="A125" s="939"/>
      <c r="B125" s="956" t="s">
        <v>237</v>
      </c>
      <c r="C125" s="946"/>
      <c r="D125" s="946"/>
      <c r="E125" s="946"/>
      <c r="F125" s="946"/>
      <c r="G125" s="957">
        <f>+'Quarterly Financial Model '!G238</f>
        <v>0</v>
      </c>
      <c r="H125" s="946"/>
      <c r="I125" s="946"/>
      <c r="J125" s="946"/>
      <c r="K125" s="946"/>
      <c r="L125" s="957">
        <f>+'Quarterly Financial Model '!L238</f>
        <v>0</v>
      </c>
      <c r="M125" s="946">
        <f>+'Quarterly Financial Model '!M238</f>
        <v>6</v>
      </c>
      <c r="N125" s="946">
        <f>+'Quarterly Financial Model '!N238</f>
        <v>5.0789999999999997</v>
      </c>
      <c r="O125" s="946">
        <f>+'Quarterly Financial Model '!O238</f>
        <v>13.448</v>
      </c>
      <c r="P125" s="946">
        <f>+'Quarterly Financial Model '!P238</f>
        <v>12.321999999999999</v>
      </c>
      <c r="Q125" s="957">
        <f>+'Quarterly Financial Model '!Q238</f>
        <v>12.321999999999999</v>
      </c>
      <c r="R125" s="946">
        <f>+'Quarterly Financial Model '!R238</f>
        <v>11.151999999999999</v>
      </c>
      <c r="S125" s="946">
        <f>+'Quarterly Financial Model '!S238</f>
        <v>9.9849999999999994</v>
      </c>
      <c r="T125" s="946">
        <f>+'Quarterly Financial Model '!T238</f>
        <v>9.5519999999999996</v>
      </c>
      <c r="U125" s="946">
        <f>+'Quarterly Financial Model '!U238</f>
        <v>8.2750000000000004</v>
      </c>
      <c r="V125" s="957">
        <f>+'Quarterly Financial Model '!V238</f>
        <v>8.2750000000000004</v>
      </c>
      <c r="W125" s="946">
        <f>+'Quarterly Financial Model '!W238</f>
        <v>7.6109999999999998</v>
      </c>
      <c r="X125" s="946">
        <f>+'Quarterly Financial Model '!X238</f>
        <v>14.403</v>
      </c>
      <c r="Y125" s="946">
        <f>+'Quarterly Financial Model '!Y238</f>
        <v>12.851000000000001</v>
      </c>
      <c r="Z125" s="946">
        <f>+'Quarterly Financial Model '!Z238</f>
        <v>12.044</v>
      </c>
      <c r="AA125" s="957">
        <f>+'Quarterly Financial Model '!AA238</f>
        <v>12.044</v>
      </c>
      <c r="AB125" s="946">
        <f>+'Quarterly Financial Model '!AB238</f>
        <v>10.855</v>
      </c>
      <c r="AC125" s="946">
        <f>+'Quarterly Financial Model '!AC238</f>
        <v>19.236999999999998</v>
      </c>
      <c r="AD125" s="946">
        <f>+'Quarterly Financial Model '!AD238</f>
        <v>17.013000000000002</v>
      </c>
      <c r="AE125" s="946">
        <f>+'Quarterly Financial Model '!AE238</f>
        <v>14.779</v>
      </c>
      <c r="AF125" s="957">
        <f>+'Quarterly Financial Model '!AF238</f>
        <v>14.779</v>
      </c>
      <c r="AG125" s="946">
        <f>+'Quarterly Financial Model '!AG238</f>
        <v>12.532999999999999</v>
      </c>
      <c r="AH125" s="946">
        <f>+'Quarterly Financial Model '!AH238</f>
        <v>36.296999999999997</v>
      </c>
      <c r="AI125" s="946">
        <f>+'Quarterly Financial Model '!AI238</f>
        <v>23.271000000000001</v>
      </c>
      <c r="AJ125" s="946">
        <f>+'Quarterly Financial Model '!AJ238</f>
        <v>21.800999999999998</v>
      </c>
      <c r="AK125" s="957">
        <f>+'Quarterly Financial Model '!AK238</f>
        <v>21.800999999999998</v>
      </c>
      <c r="AL125" s="946">
        <f>+'Quarterly Financial Model '!AL238</f>
        <v>19.673999999999999</v>
      </c>
      <c r="AM125" s="946">
        <f>+'Quarterly Financial Model '!AM238</f>
        <v>17.536000000000001</v>
      </c>
      <c r="AN125" s="946">
        <f>+'Quarterly Financial Model '!AN238</f>
        <v>15.385</v>
      </c>
      <c r="AO125" s="946">
        <f>+'Quarterly Financial Model '!AO238</f>
        <v>13.223000000000001</v>
      </c>
      <c r="AP125" s="957">
        <f>+'Quarterly Financial Model '!AP238</f>
        <v>13.223000000000001</v>
      </c>
      <c r="AQ125" s="946">
        <f>+'Quarterly Financial Model '!AQ238</f>
        <v>11.048999999999999</v>
      </c>
      <c r="AR125" s="946">
        <f>+'Quarterly Financial Model '!AR238</f>
        <v>8.8629999999999995</v>
      </c>
      <c r="AS125" s="946">
        <f>+'Quarterly Financial Model '!AS238</f>
        <v>6.6660000000000004</v>
      </c>
      <c r="AT125" s="946">
        <f>+'Quarterly Financial Model '!AT238</f>
        <v>4.4560000000000004</v>
      </c>
      <c r="AU125" s="957">
        <f>+'Quarterly Financial Model '!AU238</f>
        <v>4.4560000000000004</v>
      </c>
      <c r="AV125" s="946">
        <f>+'Quarterly Financial Model '!AV238</f>
        <v>4.4560000000000004</v>
      </c>
      <c r="AW125" s="946">
        <f>+'Quarterly Financial Model '!AW238</f>
        <v>4.4560000000000004</v>
      </c>
      <c r="AX125" s="946">
        <f>+'Quarterly Financial Model '!AX238</f>
        <v>4.4560000000000004</v>
      </c>
      <c r="AY125" s="946">
        <f>+'Quarterly Financial Model '!AY238</f>
        <v>4.4560000000000004</v>
      </c>
      <c r="AZ125" s="957">
        <f>+'Quarterly Financial Model '!AZ238</f>
        <v>4.4560000000000004</v>
      </c>
      <c r="BA125" s="946">
        <f>+'Quarterly Financial Model '!BA238</f>
        <v>4.4560000000000004</v>
      </c>
      <c r="BB125" s="946">
        <f>+'Quarterly Financial Model '!BB238</f>
        <v>4.4560000000000004</v>
      </c>
      <c r="BC125" s="946">
        <f>+'Quarterly Financial Model '!BC238</f>
        <v>4.4560000000000004</v>
      </c>
      <c r="BD125" s="946">
        <f>+'Quarterly Financial Model '!BD238</f>
        <v>4.4560000000000004</v>
      </c>
      <c r="BE125" s="957">
        <f>+'Quarterly Financial Model '!BE238</f>
        <v>4.4560000000000004</v>
      </c>
      <c r="BF125" s="946">
        <f>+'Quarterly Financial Model '!BF238</f>
        <v>4.4560000000000004</v>
      </c>
      <c r="BG125" s="946">
        <f>+'Quarterly Financial Model '!BG238</f>
        <v>4.4560000000000004</v>
      </c>
      <c r="BH125" s="946">
        <f>+'Quarterly Financial Model '!BH238</f>
        <v>4.4560000000000004</v>
      </c>
      <c r="BI125" s="946">
        <f>+'Quarterly Financial Model '!BI238</f>
        <v>4.4560000000000004</v>
      </c>
      <c r="BJ125" s="957">
        <f>+'Quarterly Financial Model '!BJ238</f>
        <v>4.4560000000000004</v>
      </c>
    </row>
    <row r="126" spans="1:66">
      <c r="A126" s="939"/>
      <c r="B126" s="956" t="s">
        <v>174</v>
      </c>
      <c r="C126" s="946"/>
      <c r="D126" s="946"/>
      <c r="E126" s="946"/>
      <c r="F126" s="946"/>
      <c r="G126" s="957">
        <f>+'Quarterly Financial Model '!G239</f>
        <v>17.131</v>
      </c>
      <c r="H126" s="946"/>
      <c r="I126" s="946"/>
      <c r="J126" s="946"/>
      <c r="K126" s="946"/>
      <c r="L126" s="957">
        <f>+'Quarterly Financial Model '!L239</f>
        <v>4.0430000000000001</v>
      </c>
      <c r="M126" s="946">
        <f>+'Quarterly Financial Model '!M239</f>
        <v>4.7</v>
      </c>
      <c r="N126" s="946">
        <f>+'Quarterly Financial Model '!N239</f>
        <v>4.0430000000000001</v>
      </c>
      <c r="O126" s="946">
        <f>+'Quarterly Financial Model '!O239</f>
        <v>1.788</v>
      </c>
      <c r="P126" s="946">
        <f>+'Quarterly Financial Model '!P239</f>
        <v>9.2629999999999999</v>
      </c>
      <c r="Q126" s="957">
        <f>+'Quarterly Financial Model '!Q239</f>
        <v>9.2629999999999999</v>
      </c>
      <c r="R126" s="946">
        <f>+'Quarterly Financial Model '!R239</f>
        <v>9.2629999999999999</v>
      </c>
      <c r="S126" s="946">
        <f>+'Quarterly Financial Model '!S239</f>
        <v>9.2629999999999999</v>
      </c>
      <c r="T126" s="946">
        <f>+'Quarterly Financial Model '!T239</f>
        <v>9.2629999999999999</v>
      </c>
      <c r="U126" s="946">
        <f>+'Quarterly Financial Model '!U239</f>
        <v>8.2070000000000007</v>
      </c>
      <c r="V126" s="957">
        <f>+'Quarterly Financial Model '!V239</f>
        <v>8.2070000000000007</v>
      </c>
      <c r="W126" s="946">
        <f>+'Quarterly Financial Model '!W239</f>
        <v>8.2070000000000007</v>
      </c>
      <c r="X126" s="946">
        <f>+'Quarterly Financial Model '!X239</f>
        <v>10.506</v>
      </c>
      <c r="Y126" s="946">
        <f>+'Quarterly Financial Model '!Y239</f>
        <v>22.135000000000002</v>
      </c>
      <c r="Z126" s="946">
        <f>+'Quarterly Financial Model '!Z239</f>
        <v>37.963000000000001</v>
      </c>
      <c r="AA126" s="957">
        <f>+'Quarterly Financial Model '!AA239</f>
        <v>37.963000000000001</v>
      </c>
      <c r="AB126" s="946">
        <f>+'Quarterly Financial Model '!AB239</f>
        <v>42.262999999999998</v>
      </c>
      <c r="AC126" s="946">
        <f>+'Quarterly Financial Model '!AC239</f>
        <v>32.863</v>
      </c>
      <c r="AD126" s="946">
        <f>+'Quarterly Financial Model '!AD239</f>
        <v>43.052999999999997</v>
      </c>
      <c r="AE126" s="946">
        <f>+'Quarterly Financial Model '!AE239</f>
        <v>24.38</v>
      </c>
      <c r="AF126" s="957">
        <f>+'Quarterly Financial Model '!AF239</f>
        <v>24.38</v>
      </c>
      <c r="AG126" s="946">
        <f>+'Quarterly Financial Model '!AG239</f>
        <v>31.98</v>
      </c>
      <c r="AH126" s="946">
        <f>+'Quarterly Financial Model '!AH239</f>
        <v>9.9689999999999994</v>
      </c>
      <c r="AI126" s="946">
        <f>+'Quarterly Financial Model '!AI239</f>
        <v>17.658000000000001</v>
      </c>
      <c r="AJ126" s="946">
        <f>+'Quarterly Financial Model '!AJ239</f>
        <v>15.836</v>
      </c>
      <c r="AK126" s="957">
        <f>+'Quarterly Financial Model '!AK239</f>
        <v>15.836</v>
      </c>
      <c r="AL126" s="946">
        <f>+'Quarterly Financial Model '!AL239</f>
        <v>21.359000000000002</v>
      </c>
      <c r="AM126" s="946">
        <f>+'Quarterly Financial Model '!AM239</f>
        <v>26.658999999999999</v>
      </c>
      <c r="AN126" s="946">
        <f>+'Quarterly Financial Model '!AN239</f>
        <v>33.844999999999999</v>
      </c>
      <c r="AO126" s="946">
        <f>+'Quarterly Financial Model '!AO239</f>
        <v>62.148000000000003</v>
      </c>
      <c r="AP126" s="957">
        <f>+'Quarterly Financial Model '!AP239</f>
        <v>62.148000000000003</v>
      </c>
      <c r="AQ126" s="946">
        <f>+'Quarterly Financial Model '!AQ239</f>
        <v>63.463000000000001</v>
      </c>
      <c r="AR126" s="946">
        <f>+'Quarterly Financial Model '!AR239</f>
        <v>94.614999999999995</v>
      </c>
      <c r="AS126" s="946">
        <f>+'Quarterly Financial Model '!AS239</f>
        <v>98.096999999999994</v>
      </c>
      <c r="AT126" s="946">
        <f>+'Quarterly Financial Model '!AT239</f>
        <v>65.617000000000004</v>
      </c>
      <c r="AU126" s="957">
        <f>+'Quarterly Financial Model '!AU239</f>
        <v>65.617000000000004</v>
      </c>
      <c r="AV126" s="946">
        <f>+'Quarterly Financial Model '!AV239</f>
        <v>65.617000000000004</v>
      </c>
      <c r="AW126" s="946">
        <f>+'Quarterly Financial Model '!AW239</f>
        <v>65.617000000000004</v>
      </c>
      <c r="AX126" s="946">
        <f>+'Quarterly Financial Model '!AX239</f>
        <v>65.617000000000004</v>
      </c>
      <c r="AY126" s="946">
        <f>+'Quarterly Financial Model '!AY239</f>
        <v>65.617000000000004</v>
      </c>
      <c r="AZ126" s="957">
        <f>+'Quarterly Financial Model '!AZ239</f>
        <v>65.617000000000004</v>
      </c>
      <c r="BA126" s="946">
        <f>+'Quarterly Financial Model '!BA239</f>
        <v>65.617000000000004</v>
      </c>
      <c r="BB126" s="946">
        <f>+'Quarterly Financial Model '!BB239</f>
        <v>65.617000000000004</v>
      </c>
      <c r="BC126" s="946">
        <f>+'Quarterly Financial Model '!BC239</f>
        <v>65.617000000000004</v>
      </c>
      <c r="BD126" s="946">
        <f>+'Quarterly Financial Model '!BD239</f>
        <v>65.617000000000004</v>
      </c>
      <c r="BE126" s="957">
        <f>+'Quarterly Financial Model '!BE239</f>
        <v>65.617000000000004</v>
      </c>
      <c r="BF126" s="946">
        <f>+'Quarterly Financial Model '!BF239</f>
        <v>65.617000000000004</v>
      </c>
      <c r="BG126" s="946">
        <f>+'Quarterly Financial Model '!BG239</f>
        <v>65.617000000000004</v>
      </c>
      <c r="BH126" s="946">
        <f>+'Quarterly Financial Model '!BH239</f>
        <v>65.617000000000004</v>
      </c>
      <c r="BI126" s="946">
        <f>+'Quarterly Financial Model '!BI239</f>
        <v>65.617000000000004</v>
      </c>
      <c r="BJ126" s="957">
        <f>+'Quarterly Financial Model '!BJ239</f>
        <v>65.617000000000004</v>
      </c>
    </row>
    <row r="127" spans="1:66">
      <c r="A127" s="939"/>
      <c r="B127" s="956" t="s">
        <v>107</v>
      </c>
      <c r="C127" s="946"/>
      <c r="D127" s="946"/>
      <c r="E127" s="946"/>
      <c r="F127" s="946"/>
      <c r="G127" s="957">
        <f>+'Quarterly Financial Model '!G240</f>
        <v>3.2719999999999998</v>
      </c>
      <c r="H127" s="946"/>
      <c r="I127" s="946"/>
      <c r="J127" s="946"/>
      <c r="K127" s="946"/>
      <c r="L127" s="957">
        <f>+'Quarterly Financial Model '!L240</f>
        <v>6.407</v>
      </c>
      <c r="M127" s="946">
        <f>+'Quarterly Financial Model '!M240</f>
        <v>5.0999999999999996</v>
      </c>
      <c r="N127" s="946">
        <f>+'Quarterly Financial Model '!N240</f>
        <v>15.484</v>
      </c>
      <c r="O127" s="946">
        <f>+'Quarterly Financial Model '!O240</f>
        <v>35.008000000000003</v>
      </c>
      <c r="P127" s="946">
        <f>+'Quarterly Financial Model '!P240</f>
        <v>33.186999999999998</v>
      </c>
      <c r="Q127" s="957">
        <f>+'Quarterly Financial Model '!Q240</f>
        <v>33.186999999999998</v>
      </c>
      <c r="R127" s="946">
        <f>+'Quarterly Financial Model '!R240</f>
        <v>2.0059999999999998</v>
      </c>
      <c r="S127" s="946">
        <f>+'Quarterly Financial Model '!S240</f>
        <v>0.89100000000000001</v>
      </c>
      <c r="T127" s="946">
        <f>+'Quarterly Financial Model '!T240</f>
        <v>1.423</v>
      </c>
      <c r="U127" s="946">
        <f>+'Quarterly Financial Model '!U240</f>
        <v>1.0389999999999999</v>
      </c>
      <c r="V127" s="957">
        <f>+'Quarterly Financial Model '!V240</f>
        <v>1.0389999999999999</v>
      </c>
      <c r="W127" s="946">
        <f>+'Quarterly Financial Model '!W240</f>
        <v>1.0389999999999999</v>
      </c>
      <c r="X127" s="946">
        <f>+'Quarterly Financial Model '!X240</f>
        <v>2.4180000000000001</v>
      </c>
      <c r="Y127" s="946">
        <f>+'Quarterly Financial Model '!Y240</f>
        <v>4.0780000000000003</v>
      </c>
      <c r="Z127" s="946">
        <f>+'Quarterly Financial Model '!Z240</f>
        <v>8.1</v>
      </c>
      <c r="AA127" s="957">
        <f>+'Quarterly Financial Model '!AA240</f>
        <v>8.1</v>
      </c>
      <c r="AB127" s="946">
        <f>+'Quarterly Financial Model '!AB240</f>
        <v>7.6050000000000004</v>
      </c>
      <c r="AC127" s="946">
        <f>+'Quarterly Financial Model '!AC240</f>
        <v>11.313000000000001</v>
      </c>
      <c r="AD127" s="946">
        <f>+'Quarterly Financial Model '!AD240</f>
        <v>21.437000000000001</v>
      </c>
      <c r="AE127" s="946">
        <f>+'Quarterly Financial Model '!AE240</f>
        <v>6.0750000000000002</v>
      </c>
      <c r="AF127" s="957">
        <f>+'Quarterly Financial Model '!AF240</f>
        <v>6.0750000000000002</v>
      </c>
      <c r="AG127" s="946">
        <f>+'Quarterly Financial Model '!AG240</f>
        <v>14.94</v>
      </c>
      <c r="AH127" s="946">
        <f>+'Quarterly Financial Model '!AH240</f>
        <v>38.268999999999998</v>
      </c>
      <c r="AI127" s="946">
        <f>+'Quarterly Financial Model '!AI240</f>
        <v>41.585000000000001</v>
      </c>
      <c r="AJ127" s="946">
        <f>+'Quarterly Financial Model '!AJ240</f>
        <v>34.896999999999998</v>
      </c>
      <c r="AK127" s="957">
        <f>+'Quarterly Financial Model '!AK240</f>
        <v>34.896999999999998</v>
      </c>
      <c r="AL127" s="946">
        <f>+'Quarterly Financial Model '!AL240</f>
        <v>36.435000000000002</v>
      </c>
      <c r="AM127" s="946">
        <f>+'Quarterly Financial Model '!AM240</f>
        <v>34.720999999999997</v>
      </c>
      <c r="AN127" s="946">
        <f>+'Quarterly Financial Model '!AN240</f>
        <v>41.037999999999997</v>
      </c>
      <c r="AO127" s="946">
        <f>+'Quarterly Financial Model '!AO240</f>
        <v>44.774000000000001</v>
      </c>
      <c r="AP127" s="957">
        <f>+'Quarterly Financial Model '!AP240</f>
        <v>44.774000000000001</v>
      </c>
      <c r="AQ127" s="946">
        <f>+'Quarterly Financial Model '!AQ240</f>
        <v>54.344999999999999</v>
      </c>
      <c r="AR127" s="946">
        <f>+'Quarterly Financial Model '!AR240</f>
        <v>49.106999999999999</v>
      </c>
      <c r="AS127" s="946">
        <f>+'Quarterly Financial Model '!AS240</f>
        <v>46.296999999999997</v>
      </c>
      <c r="AT127" s="946">
        <f>+'Quarterly Financial Model '!AT240</f>
        <v>40.412999999999997</v>
      </c>
      <c r="AU127" s="957">
        <f>+'Quarterly Financial Model '!AU240</f>
        <v>40.412999999999997</v>
      </c>
      <c r="AV127" s="946">
        <f>+'Quarterly Financial Model '!AV240</f>
        <v>40.412999999999997</v>
      </c>
      <c r="AW127" s="946">
        <f>+'Quarterly Financial Model '!AW240</f>
        <v>40.412999999999997</v>
      </c>
      <c r="AX127" s="946">
        <f>+'Quarterly Financial Model '!AX240</f>
        <v>40.412999999999997</v>
      </c>
      <c r="AY127" s="946">
        <f>+'Quarterly Financial Model '!AY240</f>
        <v>40.412999999999997</v>
      </c>
      <c r="AZ127" s="957">
        <f>+'Quarterly Financial Model '!AZ240</f>
        <v>40.412999999999997</v>
      </c>
      <c r="BA127" s="946">
        <f>+'Quarterly Financial Model '!BA240</f>
        <v>40.412999999999997</v>
      </c>
      <c r="BB127" s="946">
        <f>+'Quarterly Financial Model '!BB240</f>
        <v>40.412999999999997</v>
      </c>
      <c r="BC127" s="946">
        <f>+'Quarterly Financial Model '!BC240</f>
        <v>40.412999999999997</v>
      </c>
      <c r="BD127" s="946">
        <f>+'Quarterly Financial Model '!BD240</f>
        <v>40.412999999999997</v>
      </c>
      <c r="BE127" s="957">
        <f>+'Quarterly Financial Model '!BE240</f>
        <v>40.412999999999997</v>
      </c>
      <c r="BF127" s="946">
        <f>+'Quarterly Financial Model '!BF240</f>
        <v>40.412999999999997</v>
      </c>
      <c r="BG127" s="946">
        <f>+'Quarterly Financial Model '!BG240</f>
        <v>40.412999999999997</v>
      </c>
      <c r="BH127" s="946">
        <f>+'Quarterly Financial Model '!BH240</f>
        <v>40.412999999999997</v>
      </c>
      <c r="BI127" s="946">
        <f>+'Quarterly Financial Model '!BI240</f>
        <v>40.412999999999997</v>
      </c>
      <c r="BJ127" s="957">
        <f>+'Quarterly Financial Model '!BJ240</f>
        <v>40.412999999999997</v>
      </c>
    </row>
    <row r="128" spans="1:66">
      <c r="A128" s="939"/>
      <c r="B128" s="958" t="s">
        <v>41</v>
      </c>
      <c r="C128" s="959"/>
      <c r="D128" s="959"/>
      <c r="E128" s="959"/>
      <c r="F128" s="959"/>
      <c r="G128" s="960">
        <f>+'Quarterly Financial Model '!G241</f>
        <v>1499.355</v>
      </c>
      <c r="H128" s="959"/>
      <c r="I128" s="959"/>
      <c r="J128" s="959"/>
      <c r="K128" s="959"/>
      <c r="L128" s="960">
        <f>+'Quarterly Financial Model '!L241</f>
        <v>2175.8040000000001</v>
      </c>
      <c r="M128" s="959">
        <f>+'Quarterly Financial Model '!M241</f>
        <v>2123.5</v>
      </c>
      <c r="N128" s="959">
        <f>+'Quarterly Financial Model '!N241</f>
        <v>2134.11</v>
      </c>
      <c r="O128" s="959">
        <f>+'Quarterly Financial Model '!O241</f>
        <v>2210.3959999999997</v>
      </c>
      <c r="P128" s="959">
        <f>+'Quarterly Financial Model '!P241</f>
        <v>2233.9899999999998</v>
      </c>
      <c r="Q128" s="960">
        <f>+'Quarterly Financial Model '!Q241</f>
        <v>2233.9899999999998</v>
      </c>
      <c r="R128" s="959">
        <f>+'Quarterly Financial Model '!R241</f>
        <v>1966.463</v>
      </c>
      <c r="S128" s="959">
        <f>+'Quarterly Financial Model '!S241</f>
        <v>2075.6970000000001</v>
      </c>
      <c r="T128" s="959">
        <f>+'Quarterly Financial Model '!T241</f>
        <v>2062.1139999999996</v>
      </c>
      <c r="U128" s="959">
        <f>+'Quarterly Financial Model '!U241</f>
        <v>2535.2939999999999</v>
      </c>
      <c r="V128" s="960">
        <f>+'Quarterly Financial Model '!V241</f>
        <v>2535.2939999999999</v>
      </c>
      <c r="W128" s="959">
        <f>+'Quarterly Financial Model '!W241</f>
        <v>2255.8469999999998</v>
      </c>
      <c r="X128" s="959">
        <f>+'Quarterly Financial Model '!X241</f>
        <v>3156.9719999999993</v>
      </c>
      <c r="Y128" s="959">
        <f>+'Quarterly Financial Model '!Y241</f>
        <v>3518.1110000000003</v>
      </c>
      <c r="Z128" s="959">
        <f>+'Quarterly Financial Model '!Z241</f>
        <v>3013.2310000000002</v>
      </c>
      <c r="AA128" s="960">
        <f>+'Quarterly Financial Model '!AA241</f>
        <v>3013.2310000000002</v>
      </c>
      <c r="AB128" s="959">
        <f>+'Quarterly Financial Model '!AB241</f>
        <v>3349.799</v>
      </c>
      <c r="AC128" s="959">
        <f>+'Quarterly Financial Model '!AC241</f>
        <v>5363.5709999999999</v>
      </c>
      <c r="AD128" s="959">
        <f>+'Quarterly Financial Model '!AD241</f>
        <v>5030.1040000000003</v>
      </c>
      <c r="AE128" s="959">
        <f>+'Quarterly Financial Model '!AE241</f>
        <v>5035.4970000000003</v>
      </c>
      <c r="AF128" s="960">
        <f>+'Quarterly Financial Model '!AF241</f>
        <v>5035.4970000000003</v>
      </c>
      <c r="AG128" s="959">
        <f>+'Quarterly Financial Model '!AG241</f>
        <v>4753.1099999999997</v>
      </c>
      <c r="AH128" s="959">
        <f>+'Quarterly Financial Model '!AH241</f>
        <v>4906.4529999999995</v>
      </c>
      <c r="AI128" s="959">
        <f>+'Quarterly Financial Model '!AI241</f>
        <v>4821.2290000000003</v>
      </c>
      <c r="AJ128" s="959">
        <f>+'Quarterly Financial Model '!AJ241</f>
        <v>5240.3600000000006</v>
      </c>
      <c r="AK128" s="960">
        <f>+'Quarterly Financial Model '!AK241</f>
        <v>5240.3600000000006</v>
      </c>
      <c r="AL128" s="959">
        <f>+'Quarterly Financial Model '!AL241</f>
        <v>5077.0860000000011</v>
      </c>
      <c r="AM128" s="959">
        <f>+'Quarterly Financial Model '!AM241</f>
        <v>5077.6979999999985</v>
      </c>
      <c r="AN128" s="959">
        <f>+'Quarterly Financial Model '!AN241</f>
        <v>4776.9710000000005</v>
      </c>
      <c r="AO128" s="959">
        <f>+'Quarterly Financial Model '!AO241</f>
        <v>5436.7179999999998</v>
      </c>
      <c r="AP128" s="960">
        <f>+'Quarterly Financial Model '!AP241</f>
        <v>5436.7179999999998</v>
      </c>
      <c r="AQ128" s="959">
        <f>+'Quarterly Financial Model '!AQ241</f>
        <v>5275.31</v>
      </c>
      <c r="AR128" s="959">
        <f>+'Quarterly Financial Model '!AR241</f>
        <v>5664.3560000000007</v>
      </c>
      <c r="AS128" s="959">
        <f>+'Quarterly Financial Model '!AS241</f>
        <v>7472.8289999999997</v>
      </c>
      <c r="AT128" s="959">
        <f>+'Quarterly Financial Model '!AT241</f>
        <v>8066.3190000000004</v>
      </c>
      <c r="AU128" s="960">
        <f>+'Quarterly Financial Model '!AU241</f>
        <v>8066.3190000000004</v>
      </c>
      <c r="AV128" s="959">
        <f>+'Quarterly Financial Model '!AV241</f>
        <v>11385.709925718033</v>
      </c>
      <c r="AW128" s="959">
        <f>+'Quarterly Financial Model '!AW241</f>
        <v>11638.83501162504</v>
      </c>
      <c r="AX128" s="959">
        <f>+'Quarterly Financial Model '!AX241</f>
        <v>11561.918032803862</v>
      </c>
      <c r="AY128" s="959">
        <f>+'Quarterly Financial Model '!AY241</f>
        <v>11638.933521255884</v>
      </c>
      <c r="AZ128" s="960">
        <f>+'Quarterly Financial Model '!AZ241</f>
        <v>11638.933521255884</v>
      </c>
      <c r="BA128" s="959">
        <f>+'Quarterly Financial Model '!BA241</f>
        <v>11578.895009916812</v>
      </c>
      <c r="BB128" s="959">
        <f>+'Quarterly Financial Model '!BB241</f>
        <v>11599.85856773396</v>
      </c>
      <c r="BC128" s="959">
        <f>+'Quarterly Financial Model '!BC241</f>
        <v>11437.496056832957</v>
      </c>
      <c r="BD128" s="959">
        <f>+'Quarterly Financial Model '!BD241</f>
        <v>11422.819884477029</v>
      </c>
      <c r="BE128" s="960">
        <f>+'Quarterly Financial Model '!BE241</f>
        <v>11422.819884477029</v>
      </c>
      <c r="BF128" s="959">
        <f>+'Quarterly Financial Model '!BF241</f>
        <v>11424.476228527321</v>
      </c>
      <c r="BG128" s="959">
        <f>+'Quarterly Financial Model '!BG241</f>
        <v>11550.347220401796</v>
      </c>
      <c r="BH128" s="959">
        <f>+'Quarterly Financial Model '!BH241</f>
        <v>11476.708432832364</v>
      </c>
      <c r="BI128" s="959">
        <f>+'Quarterly Financial Model '!BI241</f>
        <v>11569.761983410202</v>
      </c>
      <c r="BJ128" s="960">
        <f>+'Quarterly Financial Model '!BJ241</f>
        <v>11569.761983410202</v>
      </c>
    </row>
    <row r="129" spans="1:62">
      <c r="A129" s="939"/>
      <c r="B129" s="956"/>
      <c r="C129" s="946"/>
      <c r="D129" s="946"/>
      <c r="E129" s="946"/>
      <c r="F129" s="946"/>
      <c r="G129" s="957"/>
      <c r="H129" s="946"/>
      <c r="I129" s="946"/>
      <c r="J129" s="946"/>
      <c r="K129" s="946"/>
      <c r="L129" s="957"/>
      <c r="M129" s="946"/>
      <c r="N129" s="946"/>
      <c r="O129" s="946"/>
      <c r="P129" s="946"/>
      <c r="Q129" s="957"/>
      <c r="R129" s="946"/>
      <c r="S129" s="946"/>
      <c r="T129" s="946"/>
      <c r="U129" s="946"/>
      <c r="V129" s="957"/>
      <c r="W129" s="946"/>
      <c r="X129" s="946"/>
      <c r="Y129" s="946"/>
      <c r="Z129" s="946"/>
      <c r="AA129" s="957"/>
      <c r="AB129" s="946"/>
      <c r="AC129" s="946"/>
      <c r="AD129" s="946"/>
      <c r="AE129" s="946"/>
      <c r="AF129" s="957"/>
      <c r="AG129" s="946"/>
      <c r="AH129" s="946"/>
      <c r="AI129" s="946"/>
      <c r="AJ129" s="946"/>
      <c r="AK129" s="957"/>
      <c r="AL129" s="946"/>
      <c r="AM129" s="946"/>
      <c r="AN129" s="946"/>
      <c r="AO129" s="946"/>
      <c r="AP129" s="957"/>
      <c r="AQ129" s="946"/>
      <c r="AR129" s="946"/>
      <c r="AS129" s="946"/>
      <c r="AT129" s="946"/>
      <c r="AU129" s="957"/>
      <c r="AV129" s="946"/>
      <c r="AW129" s="946"/>
      <c r="AX129" s="946"/>
      <c r="AY129" s="946"/>
      <c r="AZ129" s="957"/>
      <c r="BA129" s="946"/>
      <c r="BB129" s="946"/>
      <c r="BC129" s="946"/>
      <c r="BD129" s="946"/>
      <c r="BE129" s="957"/>
      <c r="BF129" s="946"/>
      <c r="BG129" s="946"/>
      <c r="BH129" s="946"/>
      <c r="BI129" s="946"/>
      <c r="BJ129" s="957"/>
    </row>
    <row r="130" spans="1:62">
      <c r="A130" s="939"/>
      <c r="B130" s="956" t="s">
        <v>239</v>
      </c>
      <c r="C130" s="946"/>
      <c r="D130" s="946"/>
      <c r="E130" s="946"/>
      <c r="F130" s="946"/>
      <c r="G130" s="957">
        <f>+'Quarterly Financial Model '!G245</f>
        <v>5.0000000000000001E-3</v>
      </c>
      <c r="H130" s="946"/>
      <c r="I130" s="946"/>
      <c r="J130" s="946"/>
      <c r="K130" s="946"/>
      <c r="L130" s="957">
        <f>+'Quarterly Financial Model '!L245</f>
        <v>5.0000000000000001E-3</v>
      </c>
      <c r="M130" s="946">
        <f>+'Quarterly Financial Model '!M245</f>
        <v>0</v>
      </c>
      <c r="N130" s="946">
        <f>+'Quarterly Financial Model '!N245</f>
        <v>5.0000000000000001E-3</v>
      </c>
      <c r="O130" s="946">
        <f>+'Quarterly Financial Model '!O245</f>
        <v>5.0000000000000001E-3</v>
      </c>
      <c r="P130" s="946">
        <f>+'Quarterly Financial Model '!P245</f>
        <v>1E-3</v>
      </c>
      <c r="Q130" s="957">
        <f>+'Quarterly Financial Model '!Q245</f>
        <v>1E-3</v>
      </c>
      <c r="R130" s="946">
        <f>+'Quarterly Financial Model '!R245</f>
        <v>1E-3</v>
      </c>
      <c r="S130" s="946">
        <f>+'Quarterly Financial Model '!S245</f>
        <v>1E-3</v>
      </c>
      <c r="T130" s="946">
        <f>+'Quarterly Financial Model '!T245</f>
        <v>1E-3</v>
      </c>
      <c r="U130" s="946">
        <f>+'Quarterly Financial Model '!U245</f>
        <v>1E-3</v>
      </c>
      <c r="V130" s="957">
        <f>+'Quarterly Financial Model '!V245</f>
        <v>1E-3</v>
      </c>
      <c r="W130" s="946">
        <f>+'Quarterly Financial Model '!W245</f>
        <v>1E-3</v>
      </c>
      <c r="X130" s="946">
        <f>+'Quarterly Financial Model '!X245</f>
        <v>1E-3</v>
      </c>
      <c r="Y130" s="946">
        <f>+'Quarterly Financial Model '!Y245</f>
        <v>1E-3</v>
      </c>
      <c r="Z130" s="946">
        <f>+'Quarterly Financial Model '!Z245</f>
        <v>1E-3</v>
      </c>
      <c r="AA130" s="957">
        <f>+'Quarterly Financial Model '!AA245</f>
        <v>1E-3</v>
      </c>
      <c r="AB130" s="946">
        <f>+'Quarterly Financial Model '!AB245</f>
        <v>1E-3</v>
      </c>
      <c r="AC130" s="946">
        <f>+'Quarterly Financial Model '!AC245</f>
        <v>1E-3</v>
      </c>
      <c r="AD130" s="946">
        <f>+'Quarterly Financial Model '!AD245</f>
        <v>1E-3</v>
      </c>
      <c r="AE130" s="946">
        <f>+'Quarterly Financial Model '!AE245</f>
        <v>1E-3</v>
      </c>
      <c r="AF130" s="957">
        <f>+'Quarterly Financial Model '!AF245</f>
        <v>1E-3</v>
      </c>
      <c r="AG130" s="946">
        <f>+'Quarterly Financial Model '!AG245</f>
        <v>1E-3</v>
      </c>
      <c r="AH130" s="946">
        <f>+'Quarterly Financial Model '!AH245</f>
        <v>1E-3</v>
      </c>
      <c r="AI130" s="946">
        <f>+'Quarterly Financial Model '!AI245</f>
        <v>1E-3</v>
      </c>
      <c r="AJ130" s="946">
        <f>+'Quarterly Financial Model '!AJ245</f>
        <v>1E-3</v>
      </c>
      <c r="AK130" s="957">
        <f>+'Quarterly Financial Model '!AK245</f>
        <v>1E-3</v>
      </c>
      <c r="AL130" s="946">
        <f>+'Quarterly Financial Model '!AL245</f>
        <v>1E-3</v>
      </c>
      <c r="AM130" s="946">
        <f>+'Quarterly Financial Model '!AM245</f>
        <v>1E-3</v>
      </c>
      <c r="AN130" s="946">
        <f>+'Quarterly Financial Model '!AN245</f>
        <v>1E-3</v>
      </c>
      <c r="AO130" s="946">
        <f>+'Quarterly Financial Model '!AO245</f>
        <v>1E-3</v>
      </c>
      <c r="AP130" s="957">
        <f>+'Quarterly Financial Model '!AP245</f>
        <v>1E-3</v>
      </c>
      <c r="AQ130" s="946">
        <f>+'Quarterly Financial Model '!AQ245</f>
        <v>1E-3</v>
      </c>
      <c r="AR130" s="946">
        <f>+'Quarterly Financial Model '!AR245</f>
        <v>1E-3</v>
      </c>
      <c r="AS130" s="946">
        <f>+'Quarterly Financial Model '!AS245</f>
        <v>1E-3</v>
      </c>
      <c r="AT130" s="946">
        <f>+'Quarterly Financial Model '!AT245</f>
        <v>1E-3</v>
      </c>
      <c r="AU130" s="957">
        <f>+'Quarterly Financial Model '!AU245</f>
        <v>1E-3</v>
      </c>
      <c r="AV130" s="946">
        <f>+'Quarterly Financial Model '!AV245</f>
        <v>1E-3</v>
      </c>
      <c r="AW130" s="946">
        <f>+'Quarterly Financial Model '!AW245</f>
        <v>1E-3</v>
      </c>
      <c r="AX130" s="946">
        <f>+'Quarterly Financial Model '!AX245</f>
        <v>1E-3</v>
      </c>
      <c r="AY130" s="946">
        <f>+'Quarterly Financial Model '!AY245</f>
        <v>1E-3</v>
      </c>
      <c r="AZ130" s="957">
        <f>+'Quarterly Financial Model '!AZ245</f>
        <v>1E-3</v>
      </c>
      <c r="BA130" s="946">
        <f>+'Quarterly Financial Model '!BA245</f>
        <v>1E-3</v>
      </c>
      <c r="BB130" s="946">
        <f>+'Quarterly Financial Model '!BB245</f>
        <v>1E-3</v>
      </c>
      <c r="BC130" s="946">
        <f>+'Quarterly Financial Model '!BC245</f>
        <v>1E-3</v>
      </c>
      <c r="BD130" s="946">
        <f>+'Quarterly Financial Model '!BD245</f>
        <v>1E-3</v>
      </c>
      <c r="BE130" s="957">
        <f>+'Quarterly Financial Model '!BE245</f>
        <v>1E-3</v>
      </c>
      <c r="BF130" s="946">
        <f>+'Quarterly Financial Model '!BF245</f>
        <v>1E-3</v>
      </c>
      <c r="BG130" s="946">
        <f>+'Quarterly Financial Model '!BG245</f>
        <v>1E-3</v>
      </c>
      <c r="BH130" s="946">
        <f>+'Quarterly Financial Model '!BH245</f>
        <v>1E-3</v>
      </c>
      <c r="BI130" s="946">
        <f>+'Quarterly Financial Model '!BI245</f>
        <v>1E-3</v>
      </c>
      <c r="BJ130" s="957">
        <f>+'Quarterly Financial Model '!BJ245</f>
        <v>1E-3</v>
      </c>
    </row>
    <row r="131" spans="1:62">
      <c r="A131" s="939"/>
      <c r="B131" s="956" t="s">
        <v>240</v>
      </c>
      <c r="C131" s="946"/>
      <c r="D131" s="946"/>
      <c r="E131" s="946"/>
      <c r="F131" s="946"/>
      <c r="G131" s="957">
        <f>+'Quarterly Financial Model '!G246</f>
        <v>573.86300000000006</v>
      </c>
      <c r="H131" s="946"/>
      <c r="I131" s="946"/>
      <c r="J131" s="946"/>
      <c r="K131" s="946"/>
      <c r="L131" s="957">
        <f>+'Quarterly Financial Model '!L246</f>
        <v>579.72199999999998</v>
      </c>
      <c r="M131" s="946">
        <f>+'Quarterly Financial Model '!M246</f>
        <v>580.1</v>
      </c>
      <c r="N131" s="946">
        <f>+'Quarterly Financial Model '!N246</f>
        <v>576.30899999999997</v>
      </c>
      <c r="O131" s="946">
        <f>+'Quarterly Financial Model '!O246</f>
        <v>580.84299999999996</v>
      </c>
      <c r="P131" s="946">
        <f>+'Quarterly Financial Model '!P246</f>
        <v>581.24099999999999</v>
      </c>
      <c r="Q131" s="957">
        <f>+'Quarterly Financial Model '!Q246</f>
        <v>581.24099999999999</v>
      </c>
      <c r="R131" s="946">
        <f>+'Quarterly Financial Model '!R246</f>
        <v>664.98599999999999</v>
      </c>
      <c r="S131" s="946">
        <f>+'Quarterly Financial Model '!S246</f>
        <v>669.00800000000004</v>
      </c>
      <c r="T131" s="946">
        <f>+'Quarterly Financial Model '!T246</f>
        <v>676.23199999999997</v>
      </c>
      <c r="U131" s="946">
        <f>+'Quarterly Financial Model '!U246</f>
        <v>766.33699999999999</v>
      </c>
      <c r="V131" s="957">
        <f>+'Quarterly Financial Model '!V246</f>
        <v>766.33699999999999</v>
      </c>
      <c r="W131" s="946">
        <f>+'Quarterly Financial Model '!W246</f>
        <v>774.44899999999996</v>
      </c>
      <c r="X131" s="946">
        <f>+'Quarterly Financial Model '!X246</f>
        <v>510.06400000000002</v>
      </c>
      <c r="Y131" s="946">
        <f>+'Quarterly Financial Model '!Y246</f>
        <v>535.27099999999996</v>
      </c>
      <c r="Z131" s="946">
        <f>+'Quarterly Financial Model '!Z246</f>
        <v>597.73</v>
      </c>
      <c r="AA131" s="957">
        <f>+'Quarterly Financial Model '!AA246</f>
        <v>597.73</v>
      </c>
      <c r="AB131" s="946">
        <f>+'Quarterly Financial Model '!AB246</f>
        <v>587.62300000000005</v>
      </c>
      <c r="AC131" s="946">
        <f>+'Quarterly Financial Model '!AC246</f>
        <v>623.43499999999995</v>
      </c>
      <c r="AD131" s="946">
        <f>+'Quarterly Financial Model '!AD246</f>
        <v>636.74099999999999</v>
      </c>
      <c r="AE131" s="946">
        <f>+'Quarterly Financial Model '!AE246</f>
        <v>629.35299999999995</v>
      </c>
      <c r="AF131" s="957">
        <f>+'Quarterly Financial Model '!AF246</f>
        <v>629.35299999999995</v>
      </c>
      <c r="AG131" s="946">
        <f>+'Quarterly Financial Model '!AG246</f>
        <v>658.68399999999997</v>
      </c>
      <c r="AH131" s="946">
        <f>+'Quarterly Financial Model '!AH246</f>
        <v>668.37800000000004</v>
      </c>
      <c r="AI131" s="946">
        <f>+'Quarterly Financial Model '!AI246</f>
        <v>548.98599999999999</v>
      </c>
      <c r="AJ131" s="946">
        <f>+'Quarterly Financial Model '!AJ246</f>
        <v>553.14499999999998</v>
      </c>
      <c r="AK131" s="957">
        <f>+'Quarterly Financial Model '!AK246</f>
        <v>553.14499999999998</v>
      </c>
      <c r="AL131" s="946">
        <f>+'Quarterly Financial Model '!AL246</f>
        <v>570.68899999999996</v>
      </c>
      <c r="AM131" s="946">
        <f>+'Quarterly Financial Model '!AM246</f>
        <v>583.04600000000005</v>
      </c>
      <c r="AN131" s="946">
        <f>+'Quarterly Financial Model '!AN246</f>
        <v>709.84699999999998</v>
      </c>
      <c r="AO131" s="946">
        <f>+'Quarterly Financial Model '!AO246</f>
        <v>706.05499999999995</v>
      </c>
      <c r="AP131" s="957">
        <f>+'Quarterly Financial Model '!AP246</f>
        <v>706.05499999999995</v>
      </c>
      <c r="AQ131" s="946">
        <f>+'Quarterly Financial Model '!AQ246</f>
        <v>737.81299999999999</v>
      </c>
      <c r="AR131" s="946">
        <f>+'Quarterly Financial Model '!AR246</f>
        <v>765.64400000000001</v>
      </c>
      <c r="AS131" s="946">
        <f>+'Quarterly Financial Model '!AS246</f>
        <v>25.047999999999998</v>
      </c>
      <c r="AT131" s="946">
        <f>+'Quarterly Financial Model '!AT246</f>
        <v>782.15000000000009</v>
      </c>
      <c r="AU131" s="957">
        <f>+'Quarterly Financial Model '!AU246</f>
        <v>782.15000000000009</v>
      </c>
      <c r="AV131" s="946">
        <f>+'Quarterly Financial Model '!AV246</f>
        <v>797.16530646321337</v>
      </c>
      <c r="AW131" s="946">
        <f>+'Quarterly Financial Model '!AW246</f>
        <v>814.69804012112945</v>
      </c>
      <c r="AX131" s="946">
        <f>+'Quarterly Financial Model '!AX246</f>
        <v>833.05218546023798</v>
      </c>
      <c r="AY131" s="946">
        <f>+'Quarterly Financial Model '!AY246</f>
        <v>851.96962106627666</v>
      </c>
      <c r="AZ131" s="957">
        <f>+'Quarterly Financial Model '!AZ246</f>
        <v>851.96962106627666</v>
      </c>
      <c r="BA131" s="946">
        <f>+'Quarterly Financial Model '!BA246</f>
        <v>869.72268606069247</v>
      </c>
      <c r="BB131" s="946">
        <f>+'Quarterly Financial Model '!BB246</f>
        <v>888.84874569856856</v>
      </c>
      <c r="BC131" s="946">
        <f>+'Quarterly Financial Model '!BC246</f>
        <v>908.85745490974932</v>
      </c>
      <c r="BD131" s="946">
        <f>+'Quarterly Financial Model '!BD246</f>
        <v>929.49558414630962</v>
      </c>
      <c r="BE131" s="957">
        <f>+'Quarterly Financial Model '!BE246</f>
        <v>929.49558414630962</v>
      </c>
      <c r="BF131" s="946">
        <f>+'Quarterly Financial Model '!BF246</f>
        <v>948.90558831043484</v>
      </c>
      <c r="BG131" s="946">
        <f>+'Quarterly Financial Model '!BG246</f>
        <v>969.80195215023502</v>
      </c>
      <c r="BH131" s="946">
        <f>+'Quarterly Financial Model '!BH246</f>
        <v>991.63965953484001</v>
      </c>
      <c r="BI131" s="946">
        <f>+'Quarterly Financial Model '!BI246</f>
        <v>1014.182867466666</v>
      </c>
      <c r="BJ131" s="957">
        <f>+'Quarterly Financial Model '!BJ246</f>
        <v>1014.182867466666</v>
      </c>
    </row>
    <row r="132" spans="1:62">
      <c r="A132" s="939"/>
      <c r="B132" s="956" t="s">
        <v>241</v>
      </c>
      <c r="C132" s="946"/>
      <c r="D132" s="946"/>
      <c r="E132" s="946"/>
      <c r="F132" s="946"/>
      <c r="G132" s="957">
        <f>+'Quarterly Financial Model '!G247</f>
        <v>-2.141</v>
      </c>
      <c r="H132" s="946"/>
      <c r="I132" s="946"/>
      <c r="J132" s="946"/>
      <c r="K132" s="946"/>
      <c r="L132" s="957">
        <f>+'Quarterly Financial Model '!L247</f>
        <v>15.73</v>
      </c>
      <c r="M132" s="946">
        <f>+'Quarterly Financial Model '!M247</f>
        <v>17.8</v>
      </c>
      <c r="N132" s="946">
        <f>+'Quarterly Financial Model '!N247</f>
        <v>28.731000000000002</v>
      </c>
      <c r="O132" s="946">
        <f>+'Quarterly Financial Model '!O247</f>
        <v>36.256999999999998</v>
      </c>
      <c r="P132" s="946">
        <f>+'Quarterly Financial Model '!P247</f>
        <v>51.97</v>
      </c>
      <c r="Q132" s="957">
        <f>+'Quarterly Financial Model '!Q247</f>
        <v>51.97</v>
      </c>
      <c r="R132" s="946">
        <f>+'Quarterly Financial Model '!R247</f>
        <v>-6.48</v>
      </c>
      <c r="S132" s="946">
        <f>+'Quarterly Financial Model '!S247</f>
        <v>16.475999999999999</v>
      </c>
      <c r="T132" s="946">
        <f>+'Quarterly Financial Model '!T247</f>
        <v>40.74</v>
      </c>
      <c r="U132" s="946">
        <f>+'Quarterly Financial Model '!U247</f>
        <v>69.494</v>
      </c>
      <c r="V132" s="957">
        <f>+'Quarterly Financial Model '!V247</f>
        <v>69.494</v>
      </c>
      <c r="W132" s="946">
        <f>+'Quarterly Financial Model '!W247</f>
        <v>95.613</v>
      </c>
      <c r="X132" s="946">
        <f>+'Quarterly Financial Model '!X247</f>
        <v>124.521</v>
      </c>
      <c r="Y132" s="946">
        <f>+'Quarterly Financial Model '!Y247</f>
        <v>160.232</v>
      </c>
      <c r="Z132" s="946">
        <f>+'Quarterly Financial Model '!Z247</f>
        <v>203.066</v>
      </c>
      <c r="AA132" s="957">
        <f>+'Quarterly Financial Model '!AA247</f>
        <v>203.066</v>
      </c>
      <c r="AB132" s="946">
        <f>+'Quarterly Financial Model '!AB247</f>
        <v>231.202</v>
      </c>
      <c r="AC132" s="946">
        <f>+'Quarterly Financial Model '!AC247</f>
        <v>229.79300000000001</v>
      </c>
      <c r="AD132" s="946">
        <f>+'Quarterly Financial Model '!AD247</f>
        <v>259.779</v>
      </c>
      <c r="AE132" s="946">
        <f>+'Quarterly Financial Model '!AE247</f>
        <v>328.358</v>
      </c>
      <c r="AF132" s="957">
        <f>+'Quarterly Financial Model '!AF247</f>
        <v>328.358</v>
      </c>
      <c r="AG132" s="946">
        <f>+'Quarterly Financial Model '!AG247</f>
        <v>347.34699999999998</v>
      </c>
      <c r="AH132" s="946">
        <f>+'Quarterly Financial Model '!AH247</f>
        <v>383.88299999999998</v>
      </c>
      <c r="AI132" s="946">
        <f>+'Quarterly Financial Model '!AI247</f>
        <v>425.375</v>
      </c>
      <c r="AJ132" s="946">
        <f>+'Quarterly Financial Model '!AJ247</f>
        <v>476.30399999999997</v>
      </c>
      <c r="AK132" s="957">
        <f>+'Quarterly Financial Model '!AK247</f>
        <v>476.30399999999997</v>
      </c>
      <c r="AL132" s="946">
        <f>+'Quarterly Financial Model '!AL247</f>
        <v>516.04200000000003</v>
      </c>
      <c r="AM132" s="946">
        <f>+'Quarterly Financial Model '!AM247</f>
        <v>575.36900000000003</v>
      </c>
      <c r="AN132" s="946">
        <f>+'Quarterly Financial Model '!AN247</f>
        <v>641.66499999999996</v>
      </c>
      <c r="AO132" s="946">
        <f>+'Quarterly Financial Model '!AO247</f>
        <v>689.51199999999994</v>
      </c>
      <c r="AP132" s="957">
        <f>+'Quarterly Financial Model '!AP247</f>
        <v>689.51199999999994</v>
      </c>
      <c r="AQ132" s="946">
        <f>+'Quarterly Financial Model '!AQ247</f>
        <v>717.58900000000006</v>
      </c>
      <c r="AR132" s="946">
        <f>+'Quarterly Financial Model '!AR247</f>
        <v>786.36599999999999</v>
      </c>
      <c r="AS132" s="946">
        <f>+'Quarterly Financial Model '!AS247</f>
        <v>617.68299999999999</v>
      </c>
      <c r="AT132" s="946">
        <f>+'Quarterly Financial Model '!AT247</f>
        <v>-144.92100000000011</v>
      </c>
      <c r="AU132" s="957">
        <f>+'Quarterly Financial Model '!AU247</f>
        <v>-144.92100000000011</v>
      </c>
      <c r="AV132" s="946">
        <f>+'Quarterly Financial Model '!AV247</f>
        <v>-22.576333298130095</v>
      </c>
      <c r="AW132" s="946">
        <f>+'Quarterly Financial Model '!AW247</f>
        <v>134.46446578895402</v>
      </c>
      <c r="AX132" s="946">
        <f>+'Quarterly Financial Model '!AX247</f>
        <v>306.02996103861778</v>
      </c>
      <c r="AY132" s="946">
        <f>+'Quarterly Financial Model '!AY247</f>
        <v>489.19298986994352</v>
      </c>
      <c r="AZ132" s="957">
        <f>+'Quarterly Financial Model '!AZ247</f>
        <v>489.19298986994352</v>
      </c>
      <c r="BA132" s="946">
        <f>+'Quarterly Financial Model '!BA247</f>
        <v>658.20678011762232</v>
      </c>
      <c r="BB132" s="946">
        <f>+'Quarterly Financial Model '!BB247</f>
        <v>850.77172923236571</v>
      </c>
      <c r="BC132" s="946">
        <f>+'Quarterly Financial Model '!BC247</f>
        <v>1061.1832806308237</v>
      </c>
      <c r="BD132" s="946">
        <f>+'Quarterly Financial Model '!BD247</f>
        <v>1286.4134073713171</v>
      </c>
      <c r="BE132" s="957">
        <f>+'Quarterly Financial Model '!BE247</f>
        <v>1286.4134073713171</v>
      </c>
      <c r="BF132" s="946">
        <f>+'Quarterly Financial Model '!BF247</f>
        <v>1491.7949611971687</v>
      </c>
      <c r="BG132" s="946">
        <f>+'Quarterly Financial Model '!BG247</f>
        <v>1723.0635564910394</v>
      </c>
      <c r="BH132" s="946">
        <f>+'Quarterly Financial Model '!BH247</f>
        <v>1973.4899235801568</v>
      </c>
      <c r="BI132" s="946">
        <f>+'Quarterly Financial Model '!BI247</f>
        <v>2240.1622660552175</v>
      </c>
      <c r="BJ132" s="957">
        <f>+'Quarterly Financial Model '!BJ247</f>
        <v>2240.1622660552175</v>
      </c>
    </row>
    <row r="133" spans="1:62">
      <c r="A133" s="939"/>
      <c r="B133" s="956" t="s">
        <v>242</v>
      </c>
      <c r="C133" s="946"/>
      <c r="D133" s="946"/>
      <c r="E133" s="946"/>
      <c r="F133" s="946"/>
      <c r="G133" s="957">
        <f>+'Quarterly Financial Model '!G248</f>
        <v>0</v>
      </c>
      <c r="H133" s="946"/>
      <c r="I133" s="946"/>
      <c r="J133" s="946"/>
      <c r="K133" s="946"/>
      <c r="L133" s="957">
        <f>+'Quarterly Financial Model '!L248</f>
        <v>0</v>
      </c>
      <c r="M133" s="946">
        <f>+'Quarterly Financial Model '!M248</f>
        <v>0.5</v>
      </c>
      <c r="N133" s="946">
        <f>+'Quarterly Financial Model '!N248</f>
        <v>-2.4860000000000002</v>
      </c>
      <c r="O133" s="946">
        <f>+'Quarterly Financial Model '!O248</f>
        <v>-6.6440000000000001</v>
      </c>
      <c r="P133" s="946">
        <f>+'Quarterly Financial Model '!P248</f>
        <v>-9.5139999999999993</v>
      </c>
      <c r="Q133" s="957">
        <f>+'Quarterly Financial Model '!Q248</f>
        <v>-9.5139999999999993</v>
      </c>
      <c r="R133" s="946">
        <f>+'Quarterly Financial Model '!R248</f>
        <v>0</v>
      </c>
      <c r="S133" s="946">
        <f>+'Quarterly Financial Model '!S248</f>
        <v>0</v>
      </c>
      <c r="T133" s="946">
        <f>+'Quarterly Financial Model '!T248</f>
        <v>0</v>
      </c>
      <c r="U133" s="946">
        <f>+'Quarterly Financial Model '!U248</f>
        <v>0</v>
      </c>
      <c r="V133" s="957">
        <f>+'Quarterly Financial Model '!V248</f>
        <v>0</v>
      </c>
      <c r="W133" s="946">
        <f>+'Quarterly Financial Model '!W248</f>
        <v>0</v>
      </c>
      <c r="X133" s="946">
        <f>+'Quarterly Financial Model '!X248</f>
        <v>3.915</v>
      </c>
      <c r="Y133" s="946">
        <f>+'Quarterly Financial Model '!Y248</f>
        <v>0.26500000000000001</v>
      </c>
      <c r="Z133" s="946">
        <f>+'Quarterly Financial Model '!Z248</f>
        <v>0.26400000000000001</v>
      </c>
      <c r="AA133" s="957">
        <f>+'Quarterly Financial Model '!AA248</f>
        <v>0.26400000000000001</v>
      </c>
      <c r="AB133" s="946">
        <f>+'Quarterly Financial Model '!AB248</f>
        <v>-0.81299999999999994</v>
      </c>
      <c r="AC133" s="946">
        <f>+'Quarterly Financial Model '!AC248</f>
        <v>-3.4580000000000002</v>
      </c>
      <c r="AD133" s="946">
        <f>+'Quarterly Financial Model '!AD248</f>
        <v>-1.552</v>
      </c>
      <c r="AE133" s="946">
        <f>+'Quarterly Financial Model '!AE248</f>
        <v>-3.7679999999999998</v>
      </c>
      <c r="AF133" s="957">
        <f>+'Quarterly Financial Model '!AF248</f>
        <v>-3.7679999999999998</v>
      </c>
      <c r="AG133" s="946">
        <f>+'Quarterly Financial Model '!AG248</f>
        <v>-8.7629999999999999</v>
      </c>
      <c r="AH133" s="946">
        <f>+'Quarterly Financial Model '!AH248</f>
        <v>-8.9870000000000001</v>
      </c>
      <c r="AI133" s="946">
        <f>+'Quarterly Financial Model '!AI248</f>
        <v>-12.478999999999999</v>
      </c>
      <c r="AJ133" s="946">
        <f>+'Quarterly Financial Model '!AJ248</f>
        <v>-9.2040000000000006</v>
      </c>
      <c r="AK133" s="957">
        <f>+'Quarterly Financial Model '!AK248</f>
        <v>-9.2040000000000006</v>
      </c>
      <c r="AL133" s="946">
        <f>+'Quarterly Financial Model '!AL248</f>
        <v>-15.164</v>
      </c>
      <c r="AM133" s="946">
        <f>+'Quarterly Financial Model '!AM248</f>
        <v>-18.923999999999999</v>
      </c>
      <c r="AN133" s="946">
        <f>+'Quarterly Financial Model '!AN248</f>
        <v>-16.297999999999998</v>
      </c>
      <c r="AO133" s="946">
        <f>+'Quarterly Financial Model '!AO248</f>
        <v>-6.1970000000000001</v>
      </c>
      <c r="AP133" s="957">
        <f>+'Quarterly Financial Model '!AP248</f>
        <v>-6.1970000000000001</v>
      </c>
      <c r="AQ133" s="946">
        <f>+'Quarterly Financial Model '!AQ248</f>
        <v>-2.6309999999999998</v>
      </c>
      <c r="AR133" s="946">
        <f>+'Quarterly Financial Model '!AR248</f>
        <v>-2.5760000000000001</v>
      </c>
      <c r="AS133" s="946">
        <f>+'Quarterly Financial Model '!AS248</f>
        <v>-1.671</v>
      </c>
      <c r="AT133" s="946">
        <f>+'Quarterly Financial Model '!AT248</f>
        <v>-1.671</v>
      </c>
      <c r="AU133" s="957">
        <f>+'Quarterly Financial Model '!AU248</f>
        <v>-1.671</v>
      </c>
      <c r="AV133" s="946">
        <f>+'Quarterly Financial Model '!AV248</f>
        <v>-1.671</v>
      </c>
      <c r="AW133" s="946">
        <f>+'Quarterly Financial Model '!AW248</f>
        <v>-1.671</v>
      </c>
      <c r="AX133" s="946">
        <f>+'Quarterly Financial Model '!AX248</f>
        <v>-1.671</v>
      </c>
      <c r="AY133" s="946">
        <f>+'Quarterly Financial Model '!AY248</f>
        <v>-1.671</v>
      </c>
      <c r="AZ133" s="957">
        <f>+'Quarterly Financial Model '!AZ248</f>
        <v>-1.671</v>
      </c>
      <c r="BA133" s="946">
        <f>+'Quarterly Financial Model '!BA248</f>
        <v>-1.671</v>
      </c>
      <c r="BB133" s="946">
        <f>+'Quarterly Financial Model '!BB248</f>
        <v>-1.671</v>
      </c>
      <c r="BC133" s="946">
        <f>+'Quarterly Financial Model '!BC248</f>
        <v>-1.671</v>
      </c>
      <c r="BD133" s="946">
        <f>+'Quarterly Financial Model '!BD248</f>
        <v>-1.671</v>
      </c>
      <c r="BE133" s="957">
        <f>+'Quarterly Financial Model '!BE248</f>
        <v>-1.671</v>
      </c>
      <c r="BF133" s="946">
        <f>+'Quarterly Financial Model '!BF248</f>
        <v>-1.671</v>
      </c>
      <c r="BG133" s="946">
        <f>+'Quarterly Financial Model '!BG248</f>
        <v>-1.671</v>
      </c>
      <c r="BH133" s="946">
        <f>+'Quarterly Financial Model '!BH248</f>
        <v>-1.671</v>
      </c>
      <c r="BI133" s="946">
        <f>+'Quarterly Financial Model '!BI248</f>
        <v>-1.671</v>
      </c>
      <c r="BJ133" s="957">
        <f>+'Quarterly Financial Model '!BJ248</f>
        <v>-1.671</v>
      </c>
    </row>
    <row r="134" spans="1:62">
      <c r="A134" s="939"/>
      <c r="B134" s="956" t="s">
        <v>243</v>
      </c>
      <c r="C134" s="946"/>
      <c r="D134" s="946"/>
      <c r="E134" s="946"/>
      <c r="F134" s="946"/>
      <c r="G134" s="957">
        <f>+'Quarterly Financial Model '!G249</f>
        <v>0</v>
      </c>
      <c r="H134" s="946"/>
      <c r="I134" s="946"/>
      <c r="J134" s="946"/>
      <c r="K134" s="946"/>
      <c r="L134" s="957">
        <f>+'Quarterly Financial Model '!L249</f>
        <v>0</v>
      </c>
      <c r="M134" s="946">
        <f>+'Quarterly Financial Model '!M249</f>
        <v>0</v>
      </c>
      <c r="N134" s="946">
        <f>+'Quarterly Financial Model '!N249</f>
        <v>0</v>
      </c>
      <c r="O134" s="946">
        <f>+'Quarterly Financial Model '!O249</f>
        <v>0</v>
      </c>
      <c r="P134" s="946">
        <f>+'Quarterly Financial Model '!P249</f>
        <v>0</v>
      </c>
      <c r="Q134" s="957">
        <f>+'Quarterly Financial Model '!Q249</f>
        <v>0</v>
      </c>
      <c r="R134" s="946">
        <f>+'Quarterly Financial Model '!R249</f>
        <v>-11.929</v>
      </c>
      <c r="S134" s="946">
        <f>+'Quarterly Financial Model '!S249</f>
        <v>-14.045</v>
      </c>
      <c r="T134" s="946">
        <f>+'Quarterly Financial Model '!T249</f>
        <v>-16.126000000000001</v>
      </c>
      <c r="U134" s="946">
        <f>+'Quarterly Financial Model '!U249</f>
        <v>-17.905999999999999</v>
      </c>
      <c r="V134" s="957">
        <f>+'Quarterly Financial Model '!V249</f>
        <v>-17.905999999999999</v>
      </c>
      <c r="W134" s="946">
        <f>+'Quarterly Financial Model '!W249</f>
        <v>-27.308</v>
      </c>
      <c r="X134" s="946">
        <f>+'Quarterly Financial Model '!X249</f>
        <v>-29.027999999999999</v>
      </c>
      <c r="Y134" s="946">
        <f>+'Quarterly Financial Model '!Y249</f>
        <v>-30.645</v>
      </c>
      <c r="Z134" s="946">
        <f>+'Quarterly Financial Model '!Z249</f>
        <v>-33.130000000000003</v>
      </c>
      <c r="AA134" s="957">
        <f>+'Quarterly Financial Model '!AA249</f>
        <v>-33.130000000000003</v>
      </c>
      <c r="AB134" s="946">
        <f>+'Quarterly Financial Model '!AB249</f>
        <v>-46.418999999999997</v>
      </c>
      <c r="AC134" s="946">
        <f>+'Quarterly Financial Model '!AC249</f>
        <v>-48.107999999999997</v>
      </c>
      <c r="AD134" s="946">
        <f>+'Quarterly Financial Model '!AD249</f>
        <v>-49.829000000000001</v>
      </c>
      <c r="AE134" s="946">
        <f>+'Quarterly Financial Model '!AE249</f>
        <v>-50.930999999999997</v>
      </c>
      <c r="AF134" s="957">
        <f>+'Quarterly Financial Model '!AF249</f>
        <v>-50.930999999999997</v>
      </c>
      <c r="AG134" s="946">
        <f>+'Quarterly Financial Model '!AG249</f>
        <v>-66.549000000000007</v>
      </c>
      <c r="AH134" s="946">
        <f>+'Quarterly Financial Model '!AH249</f>
        <v>-66.798000000000002</v>
      </c>
      <c r="AI134" s="946">
        <f>+'Quarterly Financial Model '!AI249</f>
        <v>-67.05</v>
      </c>
      <c r="AJ134" s="946">
        <f>+'Quarterly Financial Model '!AJ249</f>
        <v>-67.457999999999998</v>
      </c>
      <c r="AK134" s="957">
        <f>+'Quarterly Financial Model '!AK249</f>
        <v>-67.457999999999998</v>
      </c>
      <c r="AL134" s="946">
        <f>+'Quarterly Financial Model '!AL249</f>
        <v>-73.063000000000002</v>
      </c>
      <c r="AM134" s="946">
        <f>+'Quarterly Financial Model '!AM249</f>
        <v>-73.242000000000004</v>
      </c>
      <c r="AN134" s="946">
        <f>+'Quarterly Financial Model '!AN249</f>
        <v>-73.494</v>
      </c>
      <c r="AO134" s="946">
        <f>+'Quarterly Financial Model '!AO249</f>
        <v>-73.706000000000003</v>
      </c>
      <c r="AP134" s="957">
        <f>+'Quarterly Financial Model '!AP249</f>
        <v>-73.706000000000003</v>
      </c>
      <c r="AQ134" s="946">
        <f>+'Quarterly Financial Model '!AQ249</f>
        <v>-79.382999999999996</v>
      </c>
      <c r="AR134" s="946">
        <f>+'Quarterly Financial Model '!AR249</f>
        <v>-79.397000000000006</v>
      </c>
      <c r="AS134" s="946">
        <f>+'Quarterly Financial Model '!AS249</f>
        <v>-82.893000000000001</v>
      </c>
      <c r="AT134" s="946">
        <f>+'Quarterly Financial Model '!AT249</f>
        <v>-83.798000000000002</v>
      </c>
      <c r="AU134" s="957">
        <f>+'Quarterly Financial Model '!AU249</f>
        <v>-83.798000000000002</v>
      </c>
      <c r="AV134" s="946">
        <f>+'Quarterly Financial Model '!AV249</f>
        <v>-83.798000000000002</v>
      </c>
      <c r="AW134" s="946">
        <f>+'Quarterly Financial Model '!AW249</f>
        <v>-83.798000000000002</v>
      </c>
      <c r="AX134" s="946">
        <f>+'Quarterly Financial Model '!AX249</f>
        <v>-83.798000000000002</v>
      </c>
      <c r="AY134" s="946">
        <f>+'Quarterly Financial Model '!AY249</f>
        <v>-83.798000000000002</v>
      </c>
      <c r="AZ134" s="957">
        <f>+'Quarterly Financial Model '!AZ249</f>
        <v>-83.798000000000002</v>
      </c>
      <c r="BA134" s="946">
        <f>+'Quarterly Financial Model '!BA249</f>
        <v>-83.798000000000002</v>
      </c>
      <c r="BB134" s="946">
        <f>+'Quarterly Financial Model '!BB249</f>
        <v>-83.798000000000002</v>
      </c>
      <c r="BC134" s="946">
        <f>+'Quarterly Financial Model '!BC249</f>
        <v>-83.798000000000002</v>
      </c>
      <c r="BD134" s="946">
        <f>+'Quarterly Financial Model '!BD249</f>
        <v>-83.798000000000002</v>
      </c>
      <c r="BE134" s="957">
        <f>+'Quarterly Financial Model '!BE249</f>
        <v>-83.798000000000002</v>
      </c>
      <c r="BF134" s="946">
        <f>+'Quarterly Financial Model '!BF249</f>
        <v>-83.798000000000002</v>
      </c>
      <c r="BG134" s="946">
        <f>+'Quarterly Financial Model '!BG249</f>
        <v>-83.798000000000002</v>
      </c>
      <c r="BH134" s="946">
        <f>+'Quarterly Financial Model '!BH249</f>
        <v>-83.798000000000002</v>
      </c>
      <c r="BI134" s="946">
        <f>+'Quarterly Financial Model '!BI249</f>
        <v>-83.798000000000002</v>
      </c>
      <c r="BJ134" s="957">
        <f>+'Quarterly Financial Model '!BJ249</f>
        <v>-83.798000000000002</v>
      </c>
    </row>
    <row r="135" spans="1:62">
      <c r="A135" s="939"/>
      <c r="B135" s="956" t="s">
        <v>238</v>
      </c>
      <c r="C135" s="946"/>
      <c r="D135" s="946"/>
      <c r="E135" s="946"/>
      <c r="F135" s="946"/>
      <c r="G135" s="957">
        <f>+'Quarterly Financial Model '!G243</f>
        <v>590.91499999999996</v>
      </c>
      <c r="H135" s="946"/>
      <c r="I135" s="946"/>
      <c r="J135" s="946"/>
      <c r="K135" s="946"/>
      <c r="L135" s="957">
        <f>+'Quarterly Financial Model '!L243</f>
        <v>599.25599999999997</v>
      </c>
      <c r="M135" s="946">
        <f>+'Quarterly Financial Model '!M243</f>
        <v>603.29999999999995</v>
      </c>
      <c r="N135" s="946">
        <f>+'Quarterly Financial Model '!N243</f>
        <v>599.21299999999997</v>
      </c>
      <c r="O135" s="946">
        <f>+'Quarterly Financial Model '!O243</f>
        <v>607.59199999999998</v>
      </c>
      <c r="P135" s="946">
        <f>+'Quarterly Financial Model '!P243</f>
        <v>632.02200000000005</v>
      </c>
      <c r="Q135" s="957">
        <f>+'Quarterly Financial Model '!Q243</f>
        <v>632.02200000000005</v>
      </c>
      <c r="R135" s="946">
        <f>+'Quarterly Financial Model '!R243</f>
        <v>670.71900000000005</v>
      </c>
      <c r="S135" s="946">
        <f>+'Quarterly Financial Model '!S243</f>
        <v>698.495</v>
      </c>
      <c r="T135" s="946">
        <f>+'Quarterly Financial Model '!T243</f>
        <v>716.33600000000001</v>
      </c>
      <c r="U135" s="946">
        <f>+'Quarterly Financial Model '!U243</f>
        <v>626.30899999999997</v>
      </c>
      <c r="V135" s="957">
        <f>+'Quarterly Financial Model '!V243</f>
        <v>626.30899999999997</v>
      </c>
      <c r="W135" s="946">
        <f>+'Quarterly Financial Model '!W243</f>
        <v>640.09400000000005</v>
      </c>
      <c r="X135" s="946">
        <f>+'Quarterly Financial Model '!X243</f>
        <v>445.02</v>
      </c>
      <c r="Y135" s="946">
        <f>+'Quarterly Financial Model '!Y243</f>
        <v>417.57299999999998</v>
      </c>
      <c r="Z135" s="946">
        <f>+'Quarterly Financial Model '!Z243</f>
        <v>408.39100000000002</v>
      </c>
      <c r="AA135" s="957">
        <f>+'Quarterly Financial Model '!AA243</f>
        <v>408.39100000000002</v>
      </c>
      <c r="AB135" s="946">
        <f>+'Quarterly Financial Model '!AB243</f>
        <v>413.53100000000001</v>
      </c>
      <c r="AC135" s="946">
        <f>+'Quarterly Financial Model '!AC243</f>
        <v>389.53300000000002</v>
      </c>
      <c r="AD135" s="946">
        <f>+'Quarterly Financial Model '!AD243</f>
        <v>398.084</v>
      </c>
      <c r="AE135" s="946">
        <f>+'Quarterly Financial Model '!AE243</f>
        <v>397.57299999999998</v>
      </c>
      <c r="AF135" s="957">
        <f>+'Quarterly Financial Model '!AF243</f>
        <v>397.57299999999998</v>
      </c>
      <c r="AG135" s="946">
        <f>+'Quarterly Financial Model '!AG243</f>
        <v>400.59300000000002</v>
      </c>
      <c r="AH135" s="946">
        <f>+'Quarterly Financial Model '!AH243</f>
        <v>417.2</v>
      </c>
      <c r="AI135" s="946">
        <f>+'Quarterly Financial Model '!AI243</f>
        <v>394.09800000000001</v>
      </c>
      <c r="AJ135" s="946">
        <f>+'Quarterly Financial Model '!AJ243</f>
        <v>272.27800000000002</v>
      </c>
      <c r="AK135" s="957">
        <f>+'Quarterly Financial Model '!AK243</f>
        <v>272.27800000000002</v>
      </c>
      <c r="AL135" s="946">
        <f>+'Quarterly Financial Model '!AL243</f>
        <v>280.14800000000002</v>
      </c>
      <c r="AM135" s="946">
        <f>+'Quarterly Financial Model '!AM243</f>
        <v>299.38</v>
      </c>
      <c r="AN135" s="946">
        <f>+'Quarterly Financial Model '!AN243</f>
        <v>310.49299999999999</v>
      </c>
      <c r="AO135" s="946">
        <f>+'Quarterly Financial Model '!AO243</f>
        <v>291.62400000000002</v>
      </c>
      <c r="AP135" s="957">
        <f>+'Quarterly Financial Model '!AP243</f>
        <v>291.62400000000002</v>
      </c>
      <c r="AQ135" s="946">
        <f>+'Quarterly Financial Model '!AQ243</f>
        <v>295.38299999999998</v>
      </c>
      <c r="AR135" s="946">
        <f>+'Quarterly Financial Model '!AR243</f>
        <v>310.46499999999997</v>
      </c>
      <c r="AS135" s="946">
        <f>+'Quarterly Financial Model '!AS243</f>
        <v>58.936999999999998</v>
      </c>
      <c r="AT135" s="946">
        <f>+'Quarterly Financial Model '!AT243</f>
        <v>48.893000000000001</v>
      </c>
      <c r="AU135" s="957">
        <f>+'Quarterly Financial Model '!AU243</f>
        <v>48.893000000000001</v>
      </c>
      <c r="AV135" s="946">
        <f>+'Quarterly Financial Model '!AV243</f>
        <v>48.893000000000001</v>
      </c>
      <c r="AW135" s="946">
        <f>+'Quarterly Financial Model '!AW243</f>
        <v>48.893000000000001</v>
      </c>
      <c r="AX135" s="946">
        <f>+'Quarterly Financial Model '!AX243</f>
        <v>48.893000000000001</v>
      </c>
      <c r="AY135" s="946">
        <f>+'Quarterly Financial Model '!AY243</f>
        <v>48.893000000000001</v>
      </c>
      <c r="AZ135" s="957">
        <f>+'Quarterly Financial Model '!AZ243</f>
        <v>48.893000000000001</v>
      </c>
      <c r="BA135" s="946">
        <f>+'Quarterly Financial Model '!BA243</f>
        <v>48.893000000000001</v>
      </c>
      <c r="BB135" s="946">
        <f>+'Quarterly Financial Model '!BB243</f>
        <v>48.893000000000001</v>
      </c>
      <c r="BC135" s="946">
        <f>+'Quarterly Financial Model '!BC243</f>
        <v>48.893000000000001</v>
      </c>
      <c r="BD135" s="946">
        <f>+'Quarterly Financial Model '!BD243</f>
        <v>48.893000000000001</v>
      </c>
      <c r="BE135" s="957">
        <f>+'Quarterly Financial Model '!BE243</f>
        <v>48.893000000000001</v>
      </c>
      <c r="BF135" s="946">
        <f>+'Quarterly Financial Model '!BF243</f>
        <v>48.893000000000001</v>
      </c>
      <c r="BG135" s="946">
        <f>+'Quarterly Financial Model '!BG243</f>
        <v>48.893000000000001</v>
      </c>
      <c r="BH135" s="946">
        <f>+'Quarterly Financial Model '!BH243</f>
        <v>48.893000000000001</v>
      </c>
      <c r="BI135" s="946">
        <f>+'Quarterly Financial Model '!BI243</f>
        <v>48.893000000000001</v>
      </c>
      <c r="BJ135" s="957">
        <f>+'Quarterly Financial Model '!BJ243</f>
        <v>48.893000000000001</v>
      </c>
    </row>
    <row r="136" spans="1:62">
      <c r="A136" s="939"/>
      <c r="B136" s="964" t="s">
        <v>244</v>
      </c>
      <c r="C136" s="965"/>
      <c r="D136" s="965"/>
      <c r="E136" s="965"/>
      <c r="F136" s="965"/>
      <c r="G136" s="966">
        <f>+'Quarterly Financial Model '!G250</f>
        <v>571.72700000000009</v>
      </c>
      <c r="H136" s="965"/>
      <c r="I136" s="965"/>
      <c r="J136" s="965"/>
      <c r="K136" s="965"/>
      <c r="L136" s="966">
        <f>+'Quarterly Financial Model '!L250</f>
        <v>595.45699999999999</v>
      </c>
      <c r="M136" s="965">
        <f>+'Quarterly Financial Model '!M250</f>
        <v>598.4</v>
      </c>
      <c r="N136" s="965">
        <f>+'Quarterly Financial Model '!N250</f>
        <v>602.55899999999997</v>
      </c>
      <c r="O136" s="965">
        <f>+'Quarterly Financial Model '!O250</f>
        <v>610.4609999999999</v>
      </c>
      <c r="P136" s="965">
        <f>+'Quarterly Financial Model '!P250</f>
        <v>623.69799999999998</v>
      </c>
      <c r="Q136" s="966">
        <f>+'Quarterly Financial Model '!Q250</f>
        <v>623.69799999999998</v>
      </c>
      <c r="R136" s="965">
        <f>+'Quarterly Financial Model '!R250</f>
        <v>646.57799999999997</v>
      </c>
      <c r="S136" s="965">
        <f>+'Quarterly Financial Model '!S250</f>
        <v>671.44</v>
      </c>
      <c r="T136" s="965">
        <f>+'Quarterly Financial Model '!T250</f>
        <v>700.84699999999998</v>
      </c>
      <c r="U136" s="965">
        <f>+'Quarterly Financial Model '!U250</f>
        <v>817.92600000000004</v>
      </c>
      <c r="V136" s="966">
        <f>+'Quarterly Financial Model '!V250</f>
        <v>817.92600000000004</v>
      </c>
      <c r="W136" s="965">
        <f>+'Quarterly Financial Model '!W250</f>
        <v>842.75499999999988</v>
      </c>
      <c r="X136" s="965">
        <f>+'Quarterly Financial Model '!X250</f>
        <v>609.47299999999996</v>
      </c>
      <c r="Y136" s="965">
        <f>+'Quarterly Financial Model '!Y250</f>
        <v>665.12399999999991</v>
      </c>
      <c r="Z136" s="965">
        <f>+'Quarterly Financial Model '!Z250</f>
        <v>767.93100000000004</v>
      </c>
      <c r="AA136" s="966">
        <f>+'Quarterly Financial Model '!AA250</f>
        <v>767.93100000000004</v>
      </c>
      <c r="AB136" s="965">
        <f>+'Quarterly Financial Model '!AB250</f>
        <v>771.59400000000005</v>
      </c>
      <c r="AC136" s="965">
        <f>+'Quarterly Financial Model '!AC250</f>
        <v>801.66300000000001</v>
      </c>
      <c r="AD136" s="965">
        <f>+'Quarterly Financial Model '!AD250</f>
        <v>845.14</v>
      </c>
      <c r="AE136" s="965">
        <f>+'Quarterly Financial Model '!AE250</f>
        <v>903.01299999999992</v>
      </c>
      <c r="AF136" s="966">
        <f>+'Quarterly Financial Model '!AF250</f>
        <v>903.01299999999992</v>
      </c>
      <c r="AG136" s="965">
        <f>+'Quarterly Financial Model '!AG250</f>
        <v>930.71999999999991</v>
      </c>
      <c r="AH136" s="965">
        <f>+'Quarterly Financial Model '!AH250</f>
        <v>976.47699999999986</v>
      </c>
      <c r="AI136" s="965">
        <f>+'Quarterly Financial Model '!AI250</f>
        <v>894.83299999999997</v>
      </c>
      <c r="AJ136" s="965">
        <f>+'Quarterly Financial Model '!AJ250</f>
        <v>952.7879999999999</v>
      </c>
      <c r="AK136" s="966">
        <f>+'Quarterly Financial Model '!AK250</f>
        <v>952.7879999999999</v>
      </c>
      <c r="AL136" s="965">
        <f>+'Quarterly Financial Model '!AL250</f>
        <v>998.505</v>
      </c>
      <c r="AM136" s="965">
        <f>+'Quarterly Financial Model '!AM250</f>
        <v>1066.2500000000002</v>
      </c>
      <c r="AN136" s="965">
        <f>+'Quarterly Financial Model '!AN250</f>
        <v>1261.721</v>
      </c>
      <c r="AO136" s="965">
        <f>+'Quarterly Financial Model '!AO250</f>
        <v>1315.665</v>
      </c>
      <c r="AP136" s="966">
        <f>+'Quarterly Financial Model '!AP250</f>
        <v>1315.665</v>
      </c>
      <c r="AQ136" s="965">
        <f>+'Quarterly Financial Model '!AQ250</f>
        <v>1373.3889999999999</v>
      </c>
      <c r="AR136" s="965">
        <f>+'Quarterly Financial Model '!AR250</f>
        <v>1470.038</v>
      </c>
      <c r="AS136" s="965">
        <f>+'Quarterly Financial Model '!AS250</f>
        <v>558.16799999999989</v>
      </c>
      <c r="AT136" s="965">
        <f>+'Quarterly Financial Model '!AT250</f>
        <v>551.76099999999997</v>
      </c>
      <c r="AU136" s="966">
        <f>+'Quarterly Financial Model '!AU250</f>
        <v>551.76099999999997</v>
      </c>
      <c r="AV136" s="965">
        <f>+'Quarterly Financial Model '!AV250</f>
        <v>689.12097316508323</v>
      </c>
      <c r="AW136" s="965">
        <f>+'Quarterly Financial Model '!AW250</f>
        <v>863.69450591008342</v>
      </c>
      <c r="AX136" s="965">
        <f>+'Quarterly Financial Model '!AX250</f>
        <v>1053.6141464988557</v>
      </c>
      <c r="AY136" s="965">
        <f>+'Quarterly Financial Model '!AY250</f>
        <v>1255.6946109362202</v>
      </c>
      <c r="AZ136" s="966">
        <f>+'Quarterly Financial Model '!AZ250</f>
        <v>1255.6946109362202</v>
      </c>
      <c r="BA136" s="965">
        <f>+'Quarterly Financial Model '!BA250</f>
        <v>1442.4614661783148</v>
      </c>
      <c r="BB136" s="965">
        <f>+'Quarterly Financial Model '!BB250</f>
        <v>1654.1524749309342</v>
      </c>
      <c r="BC136" s="965">
        <f>+'Quarterly Financial Model '!BC250</f>
        <v>1884.5727355405729</v>
      </c>
      <c r="BD136" s="965">
        <f>+'Quarterly Financial Model '!BD250</f>
        <v>2130.4409915176266</v>
      </c>
      <c r="BE136" s="966">
        <f>+'Quarterly Financial Model '!BE250</f>
        <v>2130.4409915176266</v>
      </c>
      <c r="BF136" s="965">
        <f>+'Quarterly Financial Model '!BF250</f>
        <v>2355.2325495076038</v>
      </c>
      <c r="BG136" s="965">
        <f>+'Quarterly Financial Model '!BG250</f>
        <v>2607.3975086412747</v>
      </c>
      <c r="BH136" s="965">
        <f>+'Quarterly Financial Model '!BH250</f>
        <v>2879.6615831149966</v>
      </c>
      <c r="BI136" s="965">
        <f>+'Quarterly Financial Model '!BI250</f>
        <v>3168.8771335218835</v>
      </c>
      <c r="BJ136" s="966">
        <f>+'Quarterly Financial Model '!BJ250</f>
        <v>3168.8771335218835</v>
      </c>
    </row>
    <row r="137" spans="1:62" ht="13.5" thickBot="1">
      <c r="A137" s="939"/>
      <c r="B137" s="961" t="s">
        <v>245</v>
      </c>
      <c r="C137" s="962"/>
      <c r="D137" s="962"/>
      <c r="E137" s="962"/>
      <c r="F137" s="962"/>
      <c r="G137" s="963">
        <f>+'Quarterly Financial Model '!G252</f>
        <v>2661.9970000000003</v>
      </c>
      <c r="H137" s="962"/>
      <c r="I137" s="962"/>
      <c r="J137" s="962"/>
      <c r="K137" s="962"/>
      <c r="L137" s="963">
        <f>+'Quarterly Financial Model '!L252</f>
        <v>3370.5169999999998</v>
      </c>
      <c r="M137" s="962">
        <f>+'Quarterly Financial Model '!M252</f>
        <v>3325.2</v>
      </c>
      <c r="N137" s="962">
        <f>+'Quarterly Financial Model '!N252</f>
        <v>3335.8819999999996</v>
      </c>
      <c r="O137" s="962">
        <f>+'Quarterly Financial Model '!O252</f>
        <v>3428.4489999999996</v>
      </c>
      <c r="P137" s="962">
        <f>+'Quarterly Financial Model '!P252</f>
        <v>3489.7099999999996</v>
      </c>
      <c r="Q137" s="963">
        <f>+'Quarterly Financial Model '!Q252</f>
        <v>3489.7099999999996</v>
      </c>
      <c r="R137" s="962">
        <f>+'Quarterly Financial Model '!R252</f>
        <v>3283.76</v>
      </c>
      <c r="S137" s="962">
        <f>+'Quarterly Financial Model '!S252</f>
        <v>3445.6320000000001</v>
      </c>
      <c r="T137" s="962">
        <f>+'Quarterly Financial Model '!T252</f>
        <v>3479.2969999999996</v>
      </c>
      <c r="U137" s="962">
        <f>+'Quarterly Financial Model '!U252</f>
        <v>3979.5289999999995</v>
      </c>
      <c r="V137" s="963">
        <f>+'Quarterly Financial Model '!V252</f>
        <v>3979.5289999999995</v>
      </c>
      <c r="W137" s="962">
        <f>+'Quarterly Financial Model '!W252</f>
        <v>3738.6959999999999</v>
      </c>
      <c r="X137" s="962">
        <f>+'Quarterly Financial Model '!X252</f>
        <v>4211.4649999999992</v>
      </c>
      <c r="Y137" s="962">
        <f>+'Quarterly Financial Model '!Y252</f>
        <v>4600.8080000000009</v>
      </c>
      <c r="Z137" s="962">
        <f>+'Quarterly Financial Model '!Z252</f>
        <v>4189.5529999999999</v>
      </c>
      <c r="AA137" s="963">
        <f>+'Quarterly Financial Model '!AA252</f>
        <v>4189.5529999999999</v>
      </c>
      <c r="AB137" s="962">
        <f>+'Quarterly Financial Model '!AB252</f>
        <v>4534.924</v>
      </c>
      <c r="AC137" s="962">
        <f>+'Quarterly Financial Model '!AC252</f>
        <v>6554.7670000000007</v>
      </c>
      <c r="AD137" s="962">
        <f>+'Quarterly Financial Model '!AD252</f>
        <v>6273.3280000000004</v>
      </c>
      <c r="AE137" s="962">
        <f>+'Quarterly Financial Model '!AE252</f>
        <v>6336.0830000000005</v>
      </c>
      <c r="AF137" s="963">
        <f>+'Quarterly Financial Model '!AF252</f>
        <v>6336.0830000000005</v>
      </c>
      <c r="AG137" s="962">
        <f>+'Quarterly Financial Model '!AG252</f>
        <v>6084.4229999999998</v>
      </c>
      <c r="AH137" s="962">
        <f>+'Quarterly Financial Model '!AH252</f>
        <v>6300.1299999999992</v>
      </c>
      <c r="AI137" s="962">
        <f>+'Quarterly Financial Model '!AI252</f>
        <v>6110.16</v>
      </c>
      <c r="AJ137" s="962">
        <f>+'Quarterly Financial Model '!AJ252</f>
        <v>6465.4260000000004</v>
      </c>
      <c r="AK137" s="963">
        <f>+'Quarterly Financial Model '!AK252</f>
        <v>6465.4260000000004</v>
      </c>
      <c r="AL137" s="962">
        <f>+'Quarterly Financial Model '!AL252</f>
        <v>6355.7390000000014</v>
      </c>
      <c r="AM137" s="962">
        <f>+'Quarterly Financial Model '!AM252</f>
        <v>6443.3279999999986</v>
      </c>
      <c r="AN137" s="962">
        <f>+'Quarterly Financial Model '!AN252</f>
        <v>6349.1850000000013</v>
      </c>
      <c r="AO137" s="962">
        <f>+'Quarterly Financial Model '!AO252</f>
        <v>7044.0069999999996</v>
      </c>
      <c r="AP137" s="963">
        <f>+'Quarterly Financial Model '!AP252</f>
        <v>7044.0069999999996</v>
      </c>
      <c r="AQ137" s="962">
        <f>+'Quarterly Financial Model '!AQ252</f>
        <v>6944.0820000000003</v>
      </c>
      <c r="AR137" s="962">
        <f>+'Quarterly Financial Model '!AR252</f>
        <v>7444.8590000000004</v>
      </c>
      <c r="AS137" s="962">
        <f>+'Quarterly Financial Model '!AS252</f>
        <v>8089.9339999999993</v>
      </c>
      <c r="AT137" s="962">
        <f>+'Quarterly Financial Model '!AT252</f>
        <v>8666.973</v>
      </c>
      <c r="AU137" s="963">
        <f>+'Quarterly Financial Model '!AU252</f>
        <v>8666.973</v>
      </c>
      <c r="AV137" s="962">
        <f>+'Quarterly Financial Model '!AV252</f>
        <v>12123.723898883116</v>
      </c>
      <c r="AW137" s="962">
        <f>+'Quarterly Financial Model '!AW252</f>
        <v>12551.422517535124</v>
      </c>
      <c r="AX137" s="962">
        <f>+'Quarterly Financial Model '!AX252</f>
        <v>12664.425179302718</v>
      </c>
      <c r="AY137" s="962">
        <f>+'Quarterly Financial Model '!AY252</f>
        <v>12943.521132192103</v>
      </c>
      <c r="AZ137" s="963">
        <f>+'Quarterly Financial Model '!AZ252</f>
        <v>12943.521132192103</v>
      </c>
      <c r="BA137" s="962">
        <f>+'Quarterly Financial Model '!BA252</f>
        <v>13070.249476095127</v>
      </c>
      <c r="BB137" s="962">
        <f>+'Quarterly Financial Model '!BB252</f>
        <v>13302.904042664893</v>
      </c>
      <c r="BC137" s="962">
        <f>+'Quarterly Financial Model '!BC252</f>
        <v>13370.96179237353</v>
      </c>
      <c r="BD137" s="962">
        <f>+'Quarterly Financial Model '!BD252</f>
        <v>13602.153875994656</v>
      </c>
      <c r="BE137" s="963">
        <f>+'Quarterly Financial Model '!BE252</f>
        <v>13602.153875994656</v>
      </c>
      <c r="BF137" s="962">
        <f>+'Quarterly Financial Model '!BF252</f>
        <v>13828.601778034925</v>
      </c>
      <c r="BG137" s="962">
        <f>+'Quarterly Financial Model '!BG252</f>
        <v>14206.637729043072</v>
      </c>
      <c r="BH137" s="962">
        <f>+'Quarterly Financial Model '!BH252</f>
        <v>14405.263015947359</v>
      </c>
      <c r="BI137" s="962">
        <f>+'Quarterly Financial Model '!BI252</f>
        <v>14787.532116932085</v>
      </c>
      <c r="BJ137" s="963">
        <f>+'Quarterly Financial Model '!BJ252</f>
        <v>14787.532116932085</v>
      </c>
    </row>
    <row r="138" spans="1:62" ht="13.5" thickTop="1"/>
  </sheetData>
  <mergeCells count="3">
    <mergeCell ref="B4:B5"/>
    <mergeCell ref="B49:B50"/>
    <mergeCell ref="B96:B97"/>
  </mergeCells>
  <pageMargins left="0" right="0" top="0" bottom="0" header="0" footer="0"/>
  <pageSetup paperSize="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pageSetUpPr fitToPage="1"/>
  </sheetPr>
  <dimension ref="A1:Z97"/>
  <sheetViews>
    <sheetView showGridLines="0" zoomScale="85" workbookViewId="0">
      <selection activeCell="B6" sqref="B6:Q72"/>
    </sheetView>
  </sheetViews>
  <sheetFormatPr defaultRowHeight="12.75"/>
  <cols>
    <col min="1" max="1" width="4.42578125" customWidth="1"/>
    <col min="2" max="2" width="34.5703125" customWidth="1"/>
    <col min="3" max="3" width="9.28515625" customWidth="1"/>
    <col min="4" max="15" width="10.140625" customWidth="1"/>
    <col min="16" max="17" width="12.28515625" customWidth="1"/>
    <col min="18" max="19" width="11.42578125" customWidth="1"/>
    <col min="20" max="23" width="8.85546875" customWidth="1"/>
  </cols>
  <sheetData>
    <row r="1" spans="1:21" ht="18">
      <c r="A1" s="453"/>
      <c r="B1" s="122" t="s">
        <v>310</v>
      </c>
      <c r="C1" s="453"/>
      <c r="D1" s="453"/>
      <c r="E1" s="453"/>
      <c r="F1" s="453"/>
      <c r="G1" s="453"/>
      <c r="H1" s="967"/>
      <c r="I1" s="968"/>
      <c r="J1" s="453"/>
      <c r="K1" s="453"/>
      <c r="L1" s="120"/>
      <c r="M1" s="725"/>
      <c r="N1" s="453"/>
      <c r="O1" s="967"/>
      <c r="P1" s="453"/>
      <c r="Q1" s="453"/>
      <c r="R1" s="453"/>
      <c r="S1" s="453"/>
      <c r="T1" s="453"/>
      <c r="U1" s="453"/>
    </row>
    <row r="2" spans="1:21">
      <c r="A2" s="969"/>
      <c r="B2" s="127" t="s">
        <v>311</v>
      </c>
      <c r="C2" s="453"/>
      <c r="D2" s="453"/>
      <c r="E2" s="453"/>
      <c r="F2" s="453"/>
      <c r="G2" s="453"/>
      <c r="H2" s="967"/>
      <c r="I2" s="968"/>
      <c r="J2" s="453"/>
      <c r="K2" s="1228"/>
      <c r="L2" s="1229"/>
      <c r="M2" s="1230"/>
      <c r="N2" s="453"/>
      <c r="O2" s="967"/>
      <c r="P2" s="453"/>
      <c r="Q2" s="453"/>
      <c r="R2" s="453"/>
      <c r="S2" s="453"/>
      <c r="T2" s="453"/>
      <c r="U2" s="453"/>
    </row>
    <row r="3" spans="1:21">
      <c r="A3" s="969"/>
      <c r="B3" s="114" t="s">
        <v>4</v>
      </c>
      <c r="C3" s="453"/>
      <c r="D3" s="453"/>
      <c r="E3" s="453"/>
      <c r="F3" s="453"/>
      <c r="G3" s="453"/>
      <c r="H3" s="453"/>
      <c r="I3" s="453"/>
      <c r="J3" s="1295"/>
      <c r="K3" s="1295"/>
      <c r="L3" s="1295"/>
      <c r="M3" s="1295"/>
      <c r="N3" s="1295"/>
      <c r="O3" s="1295"/>
      <c r="P3" s="1295"/>
      <c r="Q3" s="1295"/>
      <c r="R3" s="453"/>
      <c r="S3" s="453"/>
      <c r="T3" s="453"/>
      <c r="U3" s="453"/>
    </row>
    <row r="4" spans="1:21" ht="15" customHeight="1">
      <c r="A4" s="108"/>
      <c r="B4" s="108"/>
      <c r="C4" s="111" t="str">
        <f t="shared" ref="C4:Q4" si="0">IF(C5&lt;$R$7,"",IF(C5=$R$7,0.25*(4-$R$8)/2,MAX(0,C5-$R$7+0.5-0.25*$R$8)))</f>
        <v/>
      </c>
      <c r="D4" s="111" t="str">
        <f t="shared" si="0"/>
        <v/>
      </c>
      <c r="E4" s="111" t="str">
        <f t="shared" si="0"/>
        <v/>
      </c>
      <c r="F4" s="111" t="str">
        <f t="shared" si="0"/>
        <v/>
      </c>
      <c r="G4" s="111" t="str">
        <f t="shared" si="0"/>
        <v/>
      </c>
      <c r="H4" s="970" t="str">
        <f t="shared" si="0"/>
        <v/>
      </c>
      <c r="I4" s="970" t="str">
        <f t="shared" si="0"/>
        <v/>
      </c>
      <c r="J4" s="970">
        <f t="shared" si="0"/>
        <v>0.125</v>
      </c>
      <c r="K4" s="970">
        <f t="shared" si="0"/>
        <v>0.75</v>
      </c>
      <c r="L4" s="970">
        <f t="shared" si="0"/>
        <v>1.75</v>
      </c>
      <c r="M4" s="970">
        <f t="shared" si="0"/>
        <v>2.75</v>
      </c>
      <c r="N4" s="970">
        <f t="shared" si="0"/>
        <v>3.75</v>
      </c>
      <c r="O4" s="970">
        <f t="shared" si="0"/>
        <v>4.75</v>
      </c>
      <c r="P4" s="970">
        <f t="shared" si="0"/>
        <v>5.75</v>
      </c>
      <c r="Q4" s="970">
        <f t="shared" si="0"/>
        <v>6.75</v>
      </c>
      <c r="R4" s="970">
        <f>IF(R5&lt;$R$7,"",IF(R5=$R$7,0.25*(4-$R$8)/2,MAX(0,R5-$R$7+0.5-0.25*$R$8)))</f>
        <v>7.75</v>
      </c>
      <c r="S4" s="970">
        <f>IF(S5&lt;$R$7,"",IF(S5=$R$7,0.25*(4-$R$8)/2,MAX(0,S5-$R$7+0.5-0.25*$R$8)))</f>
        <v>8.75</v>
      </c>
      <c r="T4" s="108"/>
      <c r="U4" s="108"/>
    </row>
    <row r="5" spans="1:21" ht="18">
      <c r="A5" s="971"/>
      <c r="B5" s="122"/>
      <c r="C5" s="102">
        <v>2011</v>
      </c>
      <c r="D5" s="102">
        <f t="shared" ref="D5:S5" si="1">+C5+1</f>
        <v>2012</v>
      </c>
      <c r="E5" s="102">
        <f t="shared" si="1"/>
        <v>2013</v>
      </c>
      <c r="F5" s="102">
        <f t="shared" si="1"/>
        <v>2014</v>
      </c>
      <c r="G5" s="102">
        <f t="shared" si="1"/>
        <v>2015</v>
      </c>
      <c r="H5" s="102">
        <f t="shared" si="1"/>
        <v>2016</v>
      </c>
      <c r="I5" s="102">
        <f t="shared" si="1"/>
        <v>2017</v>
      </c>
      <c r="J5" s="971">
        <f t="shared" si="1"/>
        <v>2018</v>
      </c>
      <c r="K5" s="971">
        <f t="shared" si="1"/>
        <v>2019</v>
      </c>
      <c r="L5" s="971">
        <f t="shared" si="1"/>
        <v>2020</v>
      </c>
      <c r="M5" s="971">
        <f t="shared" si="1"/>
        <v>2021</v>
      </c>
      <c r="N5" s="971">
        <f t="shared" si="1"/>
        <v>2022</v>
      </c>
      <c r="O5" s="971">
        <f t="shared" si="1"/>
        <v>2023</v>
      </c>
      <c r="P5" s="971">
        <f t="shared" si="1"/>
        <v>2024</v>
      </c>
      <c r="Q5" s="971">
        <f t="shared" si="1"/>
        <v>2025</v>
      </c>
      <c r="R5" s="102">
        <f t="shared" si="1"/>
        <v>2026</v>
      </c>
      <c r="S5" s="102">
        <f t="shared" si="1"/>
        <v>2027</v>
      </c>
      <c r="T5" s="102"/>
      <c r="U5" s="102"/>
    </row>
    <row r="6" spans="1:21" ht="13.5" customHeight="1">
      <c r="A6" s="972" t="s">
        <v>312</v>
      </c>
      <c r="B6" s="973">
        <f>IF(A6="1=Bull",1,IF(A6="2=Base",2,3))</f>
        <v>2</v>
      </c>
      <c r="C6" s="121" t="str">
        <f>+'Quarterly Financial Model '!Q3</f>
        <v>2011A</v>
      </c>
      <c r="D6" s="121" t="str">
        <f>+'Quarterly Financial Model '!V3</f>
        <v>2012A</v>
      </c>
      <c r="E6" s="121" t="str">
        <f>+'Quarterly Financial Model '!AA3</f>
        <v>2013A</v>
      </c>
      <c r="F6" s="121" t="str">
        <f>+'Quarterly Financial Model '!AF3</f>
        <v>2014A</v>
      </c>
      <c r="G6" s="121" t="str">
        <f>+'Quarterly Financial Model '!AK3</f>
        <v>2015A</v>
      </c>
      <c r="H6" s="121" t="str">
        <f>+'Quarterly Financial Model '!AP3</f>
        <v>2016A</v>
      </c>
      <c r="I6" s="121" t="str">
        <f>+'Quarterly Financial Model '!AU3</f>
        <v>2017A</v>
      </c>
      <c r="J6" s="121" t="str">
        <f>+J5&amp;"E"</f>
        <v>2018E</v>
      </c>
      <c r="K6" s="121" t="str">
        <f t="shared" ref="K6:Q6" si="2">+K5&amp;"E"</f>
        <v>2019E</v>
      </c>
      <c r="L6" s="121" t="str">
        <f t="shared" si="2"/>
        <v>2020E</v>
      </c>
      <c r="M6" s="121" t="str">
        <f t="shared" si="2"/>
        <v>2021E</v>
      </c>
      <c r="N6" s="121" t="str">
        <f t="shared" si="2"/>
        <v>2022E</v>
      </c>
      <c r="O6" s="121" t="str">
        <f t="shared" si="2"/>
        <v>2023E</v>
      </c>
      <c r="P6" s="121" t="str">
        <f t="shared" si="2"/>
        <v>2024E</v>
      </c>
      <c r="Q6" s="121" t="str">
        <f t="shared" si="2"/>
        <v>2025E</v>
      </c>
      <c r="R6" s="974" t="s">
        <v>313</v>
      </c>
      <c r="S6" s="108"/>
    </row>
    <row r="7" spans="1:21">
      <c r="A7" s="975" t="s">
        <v>314</v>
      </c>
      <c r="B7" s="976" t="s">
        <v>315</v>
      </c>
      <c r="C7" s="977">
        <f>+'Quarterly Financial Model '!Q15</f>
        <v>865.66800000000001</v>
      </c>
      <c r="D7" s="977">
        <f>+'Quarterly Financial Model '!V15</f>
        <v>1022.6420000000001</v>
      </c>
      <c r="E7" s="977">
        <f>+'Quarterly Financial Model '!AA15</f>
        <v>1172.636</v>
      </c>
      <c r="F7" s="977">
        <f>+'Quarterly Financial Model '!AF15</f>
        <v>1402.538</v>
      </c>
      <c r="G7" s="977">
        <f>+'Quarterly Financial Model '!AK15</f>
        <v>1681.7359999999999</v>
      </c>
      <c r="H7" s="977">
        <f>+'Quarterly Financial Model '!AP15</f>
        <v>1904.761</v>
      </c>
      <c r="I7" s="977">
        <f>+'Quarterly Financial Model '!AU15</f>
        <v>2123.3119999999999</v>
      </c>
      <c r="J7" s="977">
        <f>+'Quarterly Financial Model '!AZ15</f>
        <v>3878.8678370153666</v>
      </c>
      <c r="K7" s="977">
        <f>+'Quarterly Financial Model '!BE15</f>
        <v>4306.9979488907184</v>
      </c>
      <c r="L7" s="977">
        <f>+'Quarterly Financial Model '!BJ15</f>
        <v>4704.8490733531335</v>
      </c>
      <c r="M7" s="978">
        <f t="shared" ref="M7:Q7" si="3">(1+M8)*L7</f>
        <v>5080.7596882344851</v>
      </c>
      <c r="N7" s="978">
        <f t="shared" si="3"/>
        <v>5423.3243816086324</v>
      </c>
      <c r="O7" s="978">
        <f t="shared" si="3"/>
        <v>5721.3321221345323</v>
      </c>
      <c r="P7" s="978">
        <f t="shared" si="3"/>
        <v>5964.3436288085359</v>
      </c>
      <c r="Q7" s="978">
        <f t="shared" si="3"/>
        <v>6143.2739376727923</v>
      </c>
      <c r="R7" s="979">
        <v>2018</v>
      </c>
      <c r="S7" s="453" t="s">
        <v>415</v>
      </c>
    </row>
    <row r="8" spans="1:21">
      <c r="A8" s="980" t="s">
        <v>312</v>
      </c>
      <c r="B8" s="981" t="s">
        <v>16</v>
      </c>
      <c r="C8" s="199"/>
      <c r="D8" s="199">
        <f>D7/C7-1</f>
        <v>0.18133279733107854</v>
      </c>
      <c r="E8" s="199">
        <f t="shared" ref="E8:J8" si="4">E7/D7-1</f>
        <v>0.14667302927124037</v>
      </c>
      <c r="F8" s="199">
        <f t="shared" si="4"/>
        <v>0.1960557240268932</v>
      </c>
      <c r="G8" s="199">
        <f t="shared" si="4"/>
        <v>0.19906626415826167</v>
      </c>
      <c r="H8" s="199">
        <f t="shared" si="4"/>
        <v>0.13261593971943286</v>
      </c>
      <c r="I8" s="199">
        <f t="shared" si="4"/>
        <v>0.11473932950118138</v>
      </c>
      <c r="J8" s="199">
        <f t="shared" si="4"/>
        <v>0.8268006948650819</v>
      </c>
      <c r="K8" s="199">
        <f t="shared" ref="K8" si="5">K7/J7-1</f>
        <v>0.11037501917177472</v>
      </c>
      <c r="L8" s="199">
        <f t="shared" ref="L8" si="6">L7/K7-1</f>
        <v>9.2373186424405729E-2</v>
      </c>
      <c r="M8" s="982">
        <f>L8-($L8-$Q8)/5</f>
        <v>7.9898549139524586E-2</v>
      </c>
      <c r="N8" s="982">
        <f t="shared" ref="N8:P8" si="7">M8-($L8-$Q8)/5</f>
        <v>6.7423911854643442E-2</v>
      </c>
      <c r="O8" s="982">
        <f t="shared" si="7"/>
        <v>5.4949274569762299E-2</v>
      </c>
      <c r="P8" s="982">
        <f t="shared" si="7"/>
        <v>4.2474637284881156E-2</v>
      </c>
      <c r="Q8" s="199">
        <f>$C$68</f>
        <v>0.03</v>
      </c>
      <c r="R8" s="979">
        <v>3</v>
      </c>
      <c r="S8" s="983" t="s">
        <v>316</v>
      </c>
    </row>
    <row r="9" spans="1:21" ht="7.5" customHeight="1">
      <c r="A9" s="984" t="s">
        <v>317</v>
      </c>
      <c r="B9" s="985"/>
      <c r="C9" s="982"/>
      <c r="D9" s="982"/>
      <c r="E9" s="982"/>
      <c r="F9" s="982"/>
      <c r="G9" s="982"/>
      <c r="H9" s="986"/>
      <c r="I9" s="986"/>
      <c r="J9" s="986"/>
      <c r="K9" s="986"/>
      <c r="L9" s="986"/>
      <c r="M9" s="986"/>
      <c r="N9" s="986"/>
      <c r="O9" s="986"/>
      <c r="P9" s="986"/>
      <c r="Q9" s="986"/>
      <c r="R9" s="128"/>
      <c r="S9" s="128"/>
    </row>
    <row r="10" spans="1:21">
      <c r="A10" s="987"/>
      <c r="B10" s="988" t="s">
        <v>92</v>
      </c>
      <c r="C10" s="989">
        <f>+'Quarterly Financial Model '!Q19</f>
        <v>236.1</v>
      </c>
      <c r="D10" s="989">
        <f>+'Quarterly Financial Model '!V19</f>
        <v>280.64400000000001</v>
      </c>
      <c r="E10" s="989">
        <f>+'Quarterly Financial Model '!AA19</f>
        <v>312.04400000000004</v>
      </c>
      <c r="F10" s="989">
        <f>+'Quarterly Financial Model '!AF19</f>
        <v>396.35300000000001</v>
      </c>
      <c r="G10" s="989">
        <f>+'Quarterly Financial Model '!AK19</f>
        <v>503.94900000000001</v>
      </c>
      <c r="H10" s="989">
        <f>+'Quarterly Financial Model '!AP19</f>
        <v>582.25099999999998</v>
      </c>
      <c r="I10" s="989">
        <f>+'Quarterly Financial Model '!AU19</f>
        <v>669.50599999999997</v>
      </c>
      <c r="J10" s="989">
        <f>+'Quarterly Financial Model '!AZ19</f>
        <v>1073.7504020138308</v>
      </c>
      <c r="K10" s="989">
        <f>+'Quarterly Financial Model '!BE19</f>
        <v>1181.7410568427388</v>
      </c>
      <c r="L10" s="989">
        <f>+'Quarterly Financial Model '!BJ19</f>
        <v>1290.9065731438848</v>
      </c>
      <c r="M10" s="990">
        <f t="shared" ref="M10:Q10" si="8">+M7*M11</f>
        <v>1394.0481354127564</v>
      </c>
      <c r="N10" s="990">
        <f t="shared" si="8"/>
        <v>1488.0403140159563</v>
      </c>
      <c r="O10" s="990">
        <f t="shared" si="8"/>
        <v>1569.8070498016943</v>
      </c>
      <c r="P10" s="990">
        <f t="shared" si="8"/>
        <v>1636.4840348492708</v>
      </c>
      <c r="Q10" s="990">
        <f t="shared" si="8"/>
        <v>1685.5785558947489</v>
      </c>
      <c r="R10" s="128"/>
      <c r="S10" s="128"/>
    </row>
    <row r="11" spans="1:21">
      <c r="A11" s="987"/>
      <c r="B11" s="991" t="s">
        <v>318</v>
      </c>
      <c r="C11" s="137">
        <f t="shared" ref="C11:J11" si="9">+C10/C7</f>
        <v>0.27273735427438695</v>
      </c>
      <c r="D11" s="137">
        <f t="shared" si="9"/>
        <v>0.2744303480592426</v>
      </c>
      <c r="E11" s="137">
        <f t="shared" si="9"/>
        <v>0.266104741795408</v>
      </c>
      <c r="F11" s="137">
        <f t="shared" si="9"/>
        <v>0.2825969777645953</v>
      </c>
      <c r="G11" s="137">
        <f t="shared" si="9"/>
        <v>0.29965999419647321</v>
      </c>
      <c r="H11" s="137">
        <f t="shared" si="9"/>
        <v>0.3056819201989121</v>
      </c>
      <c r="I11" s="137">
        <f t="shared" si="9"/>
        <v>0.31531211616568833</v>
      </c>
      <c r="J11" s="137">
        <f t="shared" si="9"/>
        <v>0.27682056907616598</v>
      </c>
      <c r="K11" s="137">
        <f t="shared" ref="K11:L11" si="10">+K10/K7</f>
        <v>0.27437697228230629</v>
      </c>
      <c r="L11" s="137">
        <f t="shared" si="10"/>
        <v>0.274377892471662</v>
      </c>
      <c r="M11" s="992">
        <f>+L11</f>
        <v>0.274377892471662</v>
      </c>
      <c r="N11" s="992">
        <f t="shared" ref="N11:P11" si="11">+M11</f>
        <v>0.274377892471662</v>
      </c>
      <c r="O11" s="992">
        <f t="shared" si="11"/>
        <v>0.274377892471662</v>
      </c>
      <c r="P11" s="992">
        <f t="shared" si="11"/>
        <v>0.274377892471662</v>
      </c>
      <c r="Q11" s="992">
        <f>+P11</f>
        <v>0.274377892471662</v>
      </c>
      <c r="R11" s="128"/>
      <c r="S11" s="128"/>
    </row>
    <row r="12" spans="1:21" ht="6.75" customHeight="1">
      <c r="A12" s="128"/>
      <c r="B12" s="985"/>
      <c r="C12" s="982"/>
      <c r="D12" s="982"/>
      <c r="E12" s="982"/>
      <c r="F12" s="982"/>
      <c r="G12" s="982"/>
      <c r="H12" s="993"/>
      <c r="I12" s="993"/>
      <c r="J12" s="993"/>
      <c r="K12" s="993"/>
      <c r="L12" s="993"/>
      <c r="M12" s="986"/>
      <c r="N12" s="986"/>
      <c r="O12" s="986"/>
      <c r="P12" s="986"/>
      <c r="Q12" s="986"/>
      <c r="R12" s="128"/>
      <c r="S12" s="128"/>
    </row>
    <row r="13" spans="1:21">
      <c r="A13" s="128"/>
      <c r="B13" s="988" t="s">
        <v>96</v>
      </c>
      <c r="C13" s="989">
        <f>+'Quarterly Financial Model '!Q25</f>
        <v>128.19999999999999</v>
      </c>
      <c r="D13" s="989">
        <f>+'Quarterly Financial Model '!V25</f>
        <v>155.82400000000001</v>
      </c>
      <c r="E13" s="989">
        <f>+'Quarterly Financial Model '!AA25</f>
        <v>190.87899999999999</v>
      </c>
      <c r="F13" s="989">
        <f>+'Quarterly Financial Model '!AF25</f>
        <v>225.74299999999999</v>
      </c>
      <c r="G13" s="989">
        <f>+'Quarterly Financial Model '!AK25</f>
        <v>256.26099999999997</v>
      </c>
      <c r="H13" s="989">
        <f>+'Quarterly Financial Model '!AP25</f>
        <v>285.36500000000001</v>
      </c>
      <c r="I13" s="989">
        <f>+'Quarterly Financial Model '!AU25</f>
        <v>303.79900000000004</v>
      </c>
      <c r="J13" s="989">
        <f>+'Quarterly Financial Model '!AZ25</f>
        <v>630.41575442496844</v>
      </c>
      <c r="K13" s="989">
        <f>+'Quarterly Financial Model '!BE25</f>
        <v>657.23158653335304</v>
      </c>
      <c r="L13" s="989">
        <f>+'Quarterly Financial Model '!BJ25</f>
        <v>661.48938521001537</v>
      </c>
      <c r="M13" s="990">
        <f t="shared" ref="M13:Q13" si="12">+M7*M14</f>
        <v>701.63952813890546</v>
      </c>
      <c r="N13" s="990">
        <f t="shared" si="12"/>
        <v>735.38849888385505</v>
      </c>
      <c r="O13" s="990">
        <f t="shared" si="12"/>
        <v>761.49423311913301</v>
      </c>
      <c r="P13" s="990">
        <f t="shared" si="12"/>
        <v>778.92756539337563</v>
      </c>
      <c r="Q13" s="990">
        <f t="shared" si="12"/>
        <v>786.93720751099499</v>
      </c>
      <c r="R13" s="128"/>
      <c r="S13" s="128"/>
    </row>
    <row r="14" spans="1:21">
      <c r="A14" s="128"/>
      <c r="B14" s="991" t="s">
        <v>318</v>
      </c>
      <c r="C14" s="137">
        <f t="shared" ref="C14:J14" si="13">+C13/C7</f>
        <v>0.14809372646326305</v>
      </c>
      <c r="D14" s="137">
        <f t="shared" si="13"/>
        <v>0.15237394904570711</v>
      </c>
      <c r="E14" s="137">
        <f t="shared" si="13"/>
        <v>0.16277770766034813</v>
      </c>
      <c r="F14" s="137">
        <f t="shared" si="13"/>
        <v>0.16095321481485705</v>
      </c>
      <c r="G14" s="137">
        <f t="shared" si="13"/>
        <v>0.15237885137738622</v>
      </c>
      <c r="H14" s="137">
        <f t="shared" si="13"/>
        <v>0.1498166961629307</v>
      </c>
      <c r="I14" s="137">
        <f t="shared" si="13"/>
        <v>0.14307788963656781</v>
      </c>
      <c r="J14" s="137">
        <f t="shared" si="13"/>
        <v>0.16252571134520741</v>
      </c>
      <c r="K14" s="137">
        <f t="shared" ref="K14:L14" si="14">+K13/K7</f>
        <v>0.1525962153528829</v>
      </c>
      <c r="L14" s="137">
        <f t="shared" si="14"/>
        <v>0.1405973655895775</v>
      </c>
      <c r="M14" s="982">
        <f>+L14-0.0025</f>
        <v>0.1380973655895775</v>
      </c>
      <c r="N14" s="982">
        <f t="shared" ref="N14:Q14" si="15">+M14-0.0025</f>
        <v>0.1355973655895775</v>
      </c>
      <c r="O14" s="982">
        <f t="shared" si="15"/>
        <v>0.13309736558957749</v>
      </c>
      <c r="P14" s="982">
        <f t="shared" si="15"/>
        <v>0.13059736558957749</v>
      </c>
      <c r="Q14" s="982">
        <f t="shared" si="15"/>
        <v>0.12809736558957749</v>
      </c>
      <c r="R14" s="128"/>
      <c r="S14" s="128"/>
    </row>
    <row r="15" spans="1:21" ht="7.5" customHeight="1">
      <c r="A15" s="128"/>
      <c r="B15" s="991"/>
      <c r="C15" s="137"/>
      <c r="D15" s="137"/>
      <c r="E15" s="137"/>
      <c r="F15" s="137"/>
      <c r="G15" s="137"/>
      <c r="H15" s="986"/>
      <c r="I15" s="986"/>
      <c r="J15" s="986"/>
      <c r="K15" s="986"/>
      <c r="L15" s="986"/>
      <c r="M15" s="986"/>
      <c r="N15" s="986"/>
      <c r="O15" s="986"/>
      <c r="P15" s="986"/>
      <c r="Q15" s="986"/>
      <c r="R15" s="128"/>
      <c r="S15" s="128"/>
    </row>
    <row r="16" spans="1:21">
      <c r="A16" s="128"/>
      <c r="B16" s="988" t="s">
        <v>97</v>
      </c>
      <c r="C16" s="989">
        <f>+'Quarterly Financial Model '!Q31</f>
        <v>62.5</v>
      </c>
      <c r="D16" s="989">
        <f>+'Quarterly Financial Model '!V31</f>
        <v>76.329000000000008</v>
      </c>
      <c r="E16" s="989">
        <f>+'Quarterly Financial Model '!AA31</f>
        <v>86.653999999999996</v>
      </c>
      <c r="F16" s="989">
        <f>+'Quarterly Financial Model '!AF31</f>
        <v>110.029</v>
      </c>
      <c r="G16" s="989">
        <f>+'Quarterly Financial Model '!AK31</f>
        <v>117.09899999999999</v>
      </c>
      <c r="H16" s="989">
        <f>+'Quarterly Financial Model '!AP31</f>
        <v>125.148</v>
      </c>
      <c r="I16" s="989">
        <f>+'Quarterly Financial Model '!AU31</f>
        <v>131.96600000000001</v>
      </c>
      <c r="J16" s="989">
        <f>+'Quarterly Financial Model '!AZ31</f>
        <v>297.74652568503126</v>
      </c>
      <c r="K16" s="989">
        <f>+'Quarterly Financial Model '!BE31</f>
        <v>298.59347276907175</v>
      </c>
      <c r="L16" s="989">
        <f>+'Quarterly Financial Model '!BJ31</f>
        <v>302.65638575110472</v>
      </c>
      <c r="M16" s="990">
        <f t="shared" ref="M16:Q16" si="16">+M7*M17</f>
        <v>314.13629263984404</v>
      </c>
      <c r="N16" s="990">
        <f t="shared" si="16"/>
        <v>321.75827939111576</v>
      </c>
      <c r="O16" s="990">
        <f t="shared" si="16"/>
        <v>325.13533312513619</v>
      </c>
      <c r="P16" s="990">
        <f t="shared" si="16"/>
        <v>324.03447939610396</v>
      </c>
      <c r="Q16" s="990">
        <f t="shared" si="16"/>
        <v>318.39732893380511</v>
      </c>
      <c r="R16" s="128"/>
      <c r="S16" s="128"/>
    </row>
    <row r="17" spans="1:19">
      <c r="A17" s="128"/>
      <c r="B17" s="991" t="s">
        <v>318</v>
      </c>
      <c r="C17" s="137">
        <f t="shared" ref="C17:J17" si="17">+C16/C7</f>
        <v>7.2198579594024495E-2</v>
      </c>
      <c r="D17" s="137">
        <f t="shared" si="17"/>
        <v>7.4639023235892915E-2</v>
      </c>
      <c r="E17" s="137">
        <f t="shared" si="17"/>
        <v>7.3896759096599457E-2</v>
      </c>
      <c r="F17" s="137">
        <f t="shared" si="17"/>
        <v>7.8449924351425768E-2</v>
      </c>
      <c r="G17" s="137">
        <f t="shared" si="17"/>
        <v>6.9629834884904651E-2</v>
      </c>
      <c r="H17" s="137">
        <f t="shared" si="17"/>
        <v>6.5702731208797327E-2</v>
      </c>
      <c r="I17" s="137">
        <f t="shared" si="17"/>
        <v>6.2151016901896665E-2</v>
      </c>
      <c r="J17" s="137">
        <f t="shared" si="17"/>
        <v>7.6761193780228221E-2</v>
      </c>
      <c r="K17" s="137">
        <f t="shared" ref="K17:L17" si="18">+K16/K7</f>
        <v>6.932751682548989E-2</v>
      </c>
      <c r="L17" s="137">
        <f t="shared" si="18"/>
        <v>6.4328606727314705E-2</v>
      </c>
      <c r="M17" s="982">
        <f>+L17-0.0025</f>
        <v>6.1828606727314703E-2</v>
      </c>
      <c r="N17" s="982">
        <f t="shared" ref="N17:Q17" si="19">+M17-0.0025</f>
        <v>5.9328606727314701E-2</v>
      </c>
      <c r="O17" s="982">
        <f t="shared" si="19"/>
        <v>5.6828606727314698E-2</v>
      </c>
      <c r="P17" s="982">
        <f t="shared" si="19"/>
        <v>5.4328606727314696E-2</v>
      </c>
      <c r="Q17" s="982">
        <f t="shared" si="19"/>
        <v>5.1828606727314694E-2</v>
      </c>
      <c r="R17" s="128"/>
      <c r="S17" s="128"/>
    </row>
    <row r="18" spans="1:19" ht="4.5" customHeight="1">
      <c r="A18" s="128"/>
      <c r="B18" s="991"/>
      <c r="C18" s="137"/>
      <c r="D18" s="137"/>
      <c r="E18" s="137"/>
      <c r="F18" s="137"/>
      <c r="G18" s="137"/>
      <c r="H18" s="137"/>
      <c r="I18" s="137"/>
      <c r="J18" s="137"/>
      <c r="K18" s="137"/>
      <c r="L18" s="137"/>
      <c r="M18" s="982"/>
      <c r="N18" s="982"/>
      <c r="O18" s="982"/>
      <c r="P18" s="982"/>
      <c r="Q18" s="982"/>
      <c r="R18" s="128"/>
      <c r="S18" s="128"/>
    </row>
    <row r="19" spans="1:19" ht="7.5" customHeight="1">
      <c r="A19" s="128"/>
      <c r="B19" s="991"/>
      <c r="C19" s="982"/>
      <c r="D19" s="982"/>
      <c r="E19" s="982"/>
      <c r="F19" s="982"/>
      <c r="G19" s="982"/>
      <c r="H19" s="986"/>
      <c r="I19" s="986"/>
      <c r="J19" s="986"/>
      <c r="K19" s="986"/>
      <c r="L19" s="986"/>
      <c r="M19" s="986"/>
      <c r="N19" s="986"/>
      <c r="O19" s="986"/>
      <c r="P19" s="986"/>
      <c r="Q19" s="986"/>
      <c r="R19" s="128"/>
      <c r="S19" s="128"/>
    </row>
    <row r="20" spans="1:19">
      <c r="A20" s="128"/>
      <c r="B20" s="994" t="s">
        <v>319</v>
      </c>
      <c r="C20" s="995">
        <f>+C7-C10-C13-C16</f>
        <v>438.86799999999999</v>
      </c>
      <c r="D20" s="995">
        <f>+D7-D10-D13-D16</f>
        <v>509.84499999999997</v>
      </c>
      <c r="E20" s="995">
        <f>+E7-E10-E13-E16</f>
        <v>583.05899999999986</v>
      </c>
      <c r="F20" s="995">
        <f t="shared" ref="F20:O20" si="20">+F7-F10-F13-F16</f>
        <v>670.41300000000001</v>
      </c>
      <c r="G20" s="995">
        <f t="shared" si="20"/>
        <v>804.42699999999991</v>
      </c>
      <c r="H20" s="995">
        <f t="shared" si="20"/>
        <v>911.99699999999996</v>
      </c>
      <c r="I20" s="995">
        <f>+I7-I10-I13-I16</f>
        <v>1018.0410000000001</v>
      </c>
      <c r="J20" s="995">
        <f>+J7-J10-J13-J16</f>
        <v>1876.9551548915363</v>
      </c>
      <c r="K20" s="995">
        <f t="shared" ref="K20:L20" si="21">+K7-K10-K13-K16</f>
        <v>2169.4318327455549</v>
      </c>
      <c r="L20" s="995">
        <f t="shared" si="21"/>
        <v>2449.7967292481285</v>
      </c>
      <c r="M20" s="995">
        <f t="shared" si="20"/>
        <v>2670.935732042979</v>
      </c>
      <c r="N20" s="995">
        <f t="shared" si="20"/>
        <v>2878.1372893177058</v>
      </c>
      <c r="O20" s="995">
        <f t="shared" si="20"/>
        <v>3064.8955060885687</v>
      </c>
      <c r="P20" s="995">
        <f>+P7-P10-P13-P16</f>
        <v>3224.8975491697856</v>
      </c>
      <c r="Q20" s="996">
        <f>+Q7-Q10-Q13-Q16</f>
        <v>3352.3608453332431</v>
      </c>
      <c r="R20" s="128"/>
      <c r="S20" s="128"/>
    </row>
    <row r="21" spans="1:19">
      <c r="A21" s="128"/>
      <c r="B21" s="981" t="s">
        <v>160</v>
      </c>
      <c r="C21" s="997">
        <f t="shared" ref="C21:P21" si="22">+C20/C7</f>
        <v>0.5069703396683255</v>
      </c>
      <c r="D21" s="997">
        <f t="shared" si="22"/>
        <v>0.49855667965915729</v>
      </c>
      <c r="E21" s="997">
        <f t="shared" si="22"/>
        <v>0.49722079144764436</v>
      </c>
      <c r="F21" s="997">
        <f t="shared" si="22"/>
        <v>0.47799988306912183</v>
      </c>
      <c r="G21" s="997">
        <f t="shared" si="22"/>
        <v>0.47833131954123592</v>
      </c>
      <c r="H21" s="997">
        <f t="shared" si="22"/>
        <v>0.47879865242935987</v>
      </c>
      <c r="I21" s="997">
        <f>+I20/I7</f>
        <v>0.4794589772958473</v>
      </c>
      <c r="J21" s="997">
        <f>+J20/J7</f>
        <v>0.48389252579839842</v>
      </c>
      <c r="K21" s="997">
        <f t="shared" ref="K21:L21" si="23">+K20/K7</f>
        <v>0.50369929553932091</v>
      </c>
      <c r="L21" s="997">
        <f t="shared" si="23"/>
        <v>0.52069613521144575</v>
      </c>
      <c r="M21" s="997">
        <f t="shared" si="22"/>
        <v>0.52569613521144576</v>
      </c>
      <c r="N21" s="997">
        <f t="shared" si="22"/>
        <v>0.53069613521144587</v>
      </c>
      <c r="O21" s="997">
        <f t="shared" si="22"/>
        <v>0.53569613521144588</v>
      </c>
      <c r="P21" s="997">
        <f t="shared" si="22"/>
        <v>0.54069613521144588</v>
      </c>
      <c r="Q21" s="998">
        <f>+Q20/Q7</f>
        <v>0.54569613521144578</v>
      </c>
      <c r="R21" s="128"/>
      <c r="S21" s="128"/>
    </row>
    <row r="22" spans="1:19">
      <c r="A22" s="128"/>
      <c r="B22" s="999" t="s">
        <v>99</v>
      </c>
      <c r="C22" s="1000"/>
      <c r="D22" s="1000">
        <f>(D21-C21)*10000</f>
        <v>-84.136600091682112</v>
      </c>
      <c r="E22" s="1000">
        <f t="shared" ref="E22:Q22" si="24">(E21-D21)*10000</f>
        <v>-13.358882115129255</v>
      </c>
      <c r="F22" s="1000">
        <f t="shared" si="24"/>
        <v>-192.20908378522529</v>
      </c>
      <c r="G22" s="1000">
        <f t="shared" si="24"/>
        <v>3.3143647211408833</v>
      </c>
      <c r="H22" s="1001">
        <f t="shared" si="24"/>
        <v>4.6733288812395024</v>
      </c>
      <c r="I22" s="1001">
        <f t="shared" si="24"/>
        <v>6.6032486648742728</v>
      </c>
      <c r="J22" s="1001">
        <f t="shared" si="24"/>
        <v>44.335485025511211</v>
      </c>
      <c r="K22" s="1001">
        <f t="shared" ref="K22" si="25">(K21-J21)*10000</f>
        <v>198.06769740922491</v>
      </c>
      <c r="L22" s="1001">
        <f t="shared" ref="L22" si="26">(L21-K21)*10000</f>
        <v>169.96839672124841</v>
      </c>
      <c r="M22" s="1001">
        <f t="shared" si="24"/>
        <v>50.000000000000043</v>
      </c>
      <c r="N22" s="1001">
        <f t="shared" si="24"/>
        <v>50.000000000001151</v>
      </c>
      <c r="O22" s="1001">
        <f t="shared" si="24"/>
        <v>50.000000000000043</v>
      </c>
      <c r="P22" s="1001">
        <f t="shared" si="24"/>
        <v>50.000000000000043</v>
      </c>
      <c r="Q22" s="1002">
        <f t="shared" si="24"/>
        <v>49.999999999998934</v>
      </c>
      <c r="R22" s="128"/>
      <c r="S22" s="128"/>
    </row>
    <row r="23" spans="1:19" ht="7.5" customHeight="1">
      <c r="A23" s="128"/>
      <c r="B23" s="981"/>
      <c r="C23" s="1003"/>
      <c r="D23" s="1003"/>
      <c r="E23" s="1003"/>
      <c r="F23" s="1003"/>
      <c r="G23" s="1003"/>
      <c r="H23" s="1003"/>
      <c r="I23" s="1003"/>
      <c r="J23" s="1003"/>
      <c r="K23" s="1003"/>
      <c r="L23" s="1003"/>
      <c r="M23" s="1003"/>
      <c r="N23" s="1003"/>
      <c r="O23" s="1003"/>
      <c r="P23" s="1003"/>
      <c r="Q23" s="1003"/>
      <c r="R23" s="128"/>
      <c r="S23" s="128"/>
    </row>
    <row r="24" spans="1:19">
      <c r="A24" s="128"/>
      <c r="B24" s="1004" t="s">
        <v>320</v>
      </c>
      <c r="C24" s="989">
        <f>+'Quarterly Financial Model '!Q131</f>
        <v>33.799999999999997</v>
      </c>
      <c r="D24" s="989">
        <f>+'Quarterly Financial Model '!V131</f>
        <v>43.103000000000002</v>
      </c>
      <c r="E24" s="989">
        <f>+'Quarterly Financial Model '!AA131</f>
        <v>60.492000000000004</v>
      </c>
      <c r="F24" s="989">
        <f>+'Quarterly Financial Model '!AF131</f>
        <v>76.506</v>
      </c>
      <c r="G24" s="989">
        <f>+'Quarterly Financial Model '!AK131</f>
        <v>85.501000000000005</v>
      </c>
      <c r="H24" s="989">
        <f>+'Quarterly Financial Model '!AP131</f>
        <v>79.231999999999999</v>
      </c>
      <c r="I24" s="989">
        <f>+'Quarterly Financial Model '!AU131</f>
        <v>100.64400000000001</v>
      </c>
      <c r="J24" s="989">
        <f>+'Quarterly Financial Model '!AZ131</f>
        <v>164.85188307315309</v>
      </c>
      <c r="K24" s="989">
        <f>+'Quarterly Financial Model '!BE131</f>
        <v>204.58240257230906</v>
      </c>
      <c r="L24" s="989">
        <f>+'Quarterly Financial Model '!BJ131</f>
        <v>223.48033098427385</v>
      </c>
      <c r="M24" s="990">
        <f t="shared" ref="M24:P24" si="27">+M25*M7</f>
        <v>238.7957053470208</v>
      </c>
      <c r="N24" s="990">
        <f t="shared" si="27"/>
        <v>256.83314750046594</v>
      </c>
      <c r="O24" s="1005">
        <f t="shared" si="27"/>
        <v>272.98927554184763</v>
      </c>
      <c r="P24" s="1005">
        <f t="shared" si="27"/>
        <v>286.71451872772457</v>
      </c>
      <c r="Q24" s="1005">
        <f>+Q25*Q7</f>
        <v>276.44732719527565</v>
      </c>
      <c r="R24" s="128"/>
      <c r="S24" s="128"/>
    </row>
    <row r="25" spans="1:19">
      <c r="A25" s="128"/>
      <c r="B25" s="991" t="s">
        <v>318</v>
      </c>
      <c r="C25" s="997">
        <f t="shared" ref="C25:H25" si="28">+C24/C7</f>
        <v>3.9044991844448443E-2</v>
      </c>
      <c r="D25" s="997">
        <f t="shared" si="28"/>
        <v>4.2148669817981266E-2</v>
      </c>
      <c r="E25" s="997">
        <f t="shared" si="28"/>
        <v>5.1586340518285305E-2</v>
      </c>
      <c r="F25" s="997">
        <f t="shared" si="28"/>
        <v>5.4548254664044754E-2</v>
      </c>
      <c r="G25" s="997">
        <f t="shared" si="28"/>
        <v>5.0840916766959864E-2</v>
      </c>
      <c r="H25" s="997">
        <f t="shared" si="28"/>
        <v>4.1596819758489383E-2</v>
      </c>
      <c r="I25" s="997">
        <f>+I24/I7</f>
        <v>4.7399534312432656E-2</v>
      </c>
      <c r="J25" s="997">
        <f>+J24/J7</f>
        <v>4.2500000000000003E-2</v>
      </c>
      <c r="K25" s="997">
        <f t="shared" ref="K25:L25" si="29">+K24/K7</f>
        <v>4.7499999999999987E-2</v>
      </c>
      <c r="L25" s="997">
        <f t="shared" si="29"/>
        <v>4.7500000000000001E-2</v>
      </c>
      <c r="M25" s="982">
        <f>L25-($L25-$Q25)/5</f>
        <v>4.7E-2</v>
      </c>
      <c r="N25" s="982">
        <f t="shared" ref="N25:P25" si="30">M25-($J25-$Q25)/7</f>
        <v>4.7357142857142855E-2</v>
      </c>
      <c r="O25" s="982">
        <f t="shared" si="30"/>
        <v>4.7714285714285709E-2</v>
      </c>
      <c r="P25" s="982">
        <f t="shared" si="30"/>
        <v>4.8071428571428564E-2</v>
      </c>
      <c r="Q25" s="1003">
        <v>4.4999999999999998E-2</v>
      </c>
      <c r="R25" s="128"/>
      <c r="S25" s="128"/>
    </row>
    <row r="26" spans="1:19" ht="7.5" customHeight="1">
      <c r="A26" s="128"/>
      <c r="B26" s="991"/>
      <c r="C26" s="1003"/>
      <c r="D26" s="1003"/>
      <c r="E26" s="1003"/>
      <c r="F26" s="1003"/>
      <c r="G26" s="1003"/>
      <c r="H26" s="1006"/>
      <c r="I26" s="1006"/>
      <c r="J26" s="1006"/>
      <c r="K26" s="1006"/>
      <c r="L26" s="1006"/>
      <c r="M26" s="1006"/>
      <c r="N26" s="1006"/>
      <c r="O26" s="1006"/>
      <c r="P26" s="1006"/>
      <c r="Q26" s="1006"/>
      <c r="R26" s="128"/>
      <c r="S26" s="128"/>
    </row>
    <row r="27" spans="1:19">
      <c r="A27" s="128"/>
      <c r="B27" s="1007" t="s">
        <v>321</v>
      </c>
      <c r="C27" s="1008">
        <f t="shared" ref="C27:N27" si="31">+C20-C24</f>
        <v>405.06799999999998</v>
      </c>
      <c r="D27" s="1008">
        <f t="shared" si="31"/>
        <v>466.74199999999996</v>
      </c>
      <c r="E27" s="1008">
        <f>+E20-E24</f>
        <v>522.56699999999989</v>
      </c>
      <c r="F27" s="1008">
        <f t="shared" si="31"/>
        <v>593.90700000000004</v>
      </c>
      <c r="G27" s="1008">
        <f>+G20-G24</f>
        <v>718.92599999999993</v>
      </c>
      <c r="H27" s="1008">
        <f t="shared" si="31"/>
        <v>832.76499999999999</v>
      </c>
      <c r="I27" s="1008">
        <f>+I20-I24</f>
        <v>917.39700000000005</v>
      </c>
      <c r="J27" s="1008">
        <f>+J20-J24</f>
        <v>1712.1032718183833</v>
      </c>
      <c r="K27" s="1008">
        <f t="shared" ref="K27:L27" si="32">+K20-K24</f>
        <v>1964.8494301732458</v>
      </c>
      <c r="L27" s="1008">
        <f t="shared" si="32"/>
        <v>2226.3163982638548</v>
      </c>
      <c r="M27" s="1008">
        <f>+M20-M24</f>
        <v>2432.1400266959581</v>
      </c>
      <c r="N27" s="1008">
        <f t="shared" si="31"/>
        <v>2621.3041418172397</v>
      </c>
      <c r="O27" s="1008">
        <f>+O20-O24</f>
        <v>2791.906230546721</v>
      </c>
      <c r="P27" s="1008">
        <f>+P20-P24</f>
        <v>2938.183030442061</v>
      </c>
      <c r="Q27" s="1009">
        <f>+Q20-Q24</f>
        <v>3075.9135181379675</v>
      </c>
      <c r="R27" s="128"/>
      <c r="S27" s="128"/>
    </row>
    <row r="28" spans="1:19">
      <c r="A28" s="128"/>
      <c r="B28" s="981" t="s">
        <v>322</v>
      </c>
      <c r="C28" s="1010">
        <f t="shared" ref="C28:P28" si="33">C27/C7</f>
        <v>0.46792534782387701</v>
      </c>
      <c r="D28" s="1010">
        <f t="shared" si="33"/>
        <v>0.45640800984117602</v>
      </c>
      <c r="E28" s="1010">
        <f t="shared" si="33"/>
        <v>0.44563445092935905</v>
      </c>
      <c r="F28" s="1010">
        <f t="shared" si="33"/>
        <v>0.42345162840507711</v>
      </c>
      <c r="G28" s="1010">
        <f t="shared" si="33"/>
        <v>0.42749040277427608</v>
      </c>
      <c r="H28" s="1010">
        <f t="shared" si="33"/>
        <v>0.43720183267087054</v>
      </c>
      <c r="I28" s="1010">
        <f>I27/I7</f>
        <v>0.43205944298341464</v>
      </c>
      <c r="J28" s="1010">
        <f>J27/J7</f>
        <v>0.44139252579839849</v>
      </c>
      <c r="K28" s="1010">
        <f t="shared" ref="K28:L28" si="34">K27/K7</f>
        <v>0.45619929553932093</v>
      </c>
      <c r="L28" s="1010">
        <f t="shared" si="34"/>
        <v>0.47319613521144582</v>
      </c>
      <c r="M28" s="1010">
        <f t="shared" si="33"/>
        <v>0.47869613521144577</v>
      </c>
      <c r="N28" s="1010">
        <f t="shared" si="33"/>
        <v>0.483338992354303</v>
      </c>
      <c r="O28" s="1010">
        <f t="shared" si="33"/>
        <v>0.48798184949716011</v>
      </c>
      <c r="P28" s="1010">
        <f t="shared" si="33"/>
        <v>0.49262470664001723</v>
      </c>
      <c r="Q28" s="1011">
        <f>Q27/Q7</f>
        <v>0.50069613521144585</v>
      </c>
      <c r="R28" s="128"/>
      <c r="S28" s="128"/>
    </row>
    <row r="29" spans="1:19">
      <c r="A29" s="128"/>
      <c r="B29" s="999" t="s">
        <v>99</v>
      </c>
      <c r="C29" s="1000"/>
      <c r="D29" s="1000">
        <f>(D28-C28)*10000</f>
        <v>-115.17337982700992</v>
      </c>
      <c r="E29" s="1000">
        <f t="shared" ref="E29:Q29" si="35">(E28-D28)*10000</f>
        <v>-107.73558911816971</v>
      </c>
      <c r="F29" s="1000">
        <f t="shared" si="35"/>
        <v>-221.82822524281943</v>
      </c>
      <c r="G29" s="1000">
        <f t="shared" si="35"/>
        <v>40.387743691989719</v>
      </c>
      <c r="H29" s="1001">
        <f t="shared" si="35"/>
        <v>97.114298965944585</v>
      </c>
      <c r="I29" s="1001">
        <f t="shared" si="35"/>
        <v>-51.423896874558949</v>
      </c>
      <c r="J29" s="1001">
        <f t="shared" si="35"/>
        <v>93.33082814983851</v>
      </c>
      <c r="K29" s="1001">
        <f t="shared" ref="K29" si="36">(K28-J28)*10000</f>
        <v>148.06769740922431</v>
      </c>
      <c r="L29" s="1001">
        <f t="shared" ref="L29" si="37">(L28-K28)*10000</f>
        <v>169.96839672124898</v>
      </c>
      <c r="M29" s="1001">
        <f t="shared" si="35"/>
        <v>54.999999999999496</v>
      </c>
      <c r="N29" s="1001">
        <f t="shared" si="35"/>
        <v>46.428571428572262</v>
      </c>
      <c r="O29" s="1001">
        <f t="shared" si="35"/>
        <v>46.428571428571153</v>
      </c>
      <c r="P29" s="1001">
        <f t="shared" si="35"/>
        <v>46.428571428571153</v>
      </c>
      <c r="Q29" s="1002">
        <f t="shared" si="35"/>
        <v>80.714285714286177</v>
      </c>
      <c r="R29" s="128"/>
      <c r="S29" s="128"/>
    </row>
    <row r="30" spans="1:19" ht="7.5" customHeight="1">
      <c r="A30" s="128"/>
      <c r="B30" s="1012"/>
      <c r="C30" s="1013"/>
      <c r="D30" s="1013"/>
      <c r="E30" s="1013"/>
      <c r="F30" s="1013"/>
      <c r="G30" s="1013"/>
      <c r="H30" s="128"/>
      <c r="I30" s="128"/>
      <c r="J30" s="128"/>
      <c r="K30" s="128"/>
      <c r="L30" s="128"/>
      <c r="M30" s="128"/>
      <c r="N30" s="128"/>
      <c r="O30" s="128"/>
      <c r="P30" s="128"/>
      <c r="Q30" s="128"/>
      <c r="R30" s="128"/>
      <c r="S30" s="128"/>
    </row>
    <row r="31" spans="1:19">
      <c r="A31" s="128"/>
      <c r="B31" s="1014" t="s">
        <v>323</v>
      </c>
      <c r="C31" s="989">
        <f>-'Quarterly Financial Model '!Q132</f>
        <v>-111.56</v>
      </c>
      <c r="D31" s="989">
        <f>-'Quarterly Financial Model '!V132</f>
        <v>-54.571999999999996</v>
      </c>
      <c r="E31" s="989">
        <f>-'Quarterly Financial Model '!AA132</f>
        <v>-60.902000000000008</v>
      </c>
      <c r="F31" s="989">
        <f>-'Quarterly Financial Model '!AF132</f>
        <v>-107.357</v>
      </c>
      <c r="G31" s="989">
        <f>-'Quarterly Financial Model '!AK132</f>
        <v>-105.73599999999999</v>
      </c>
      <c r="H31" s="989">
        <f>-'Quarterly Financial Model '!AP132</f>
        <v>-109.53399999999999</v>
      </c>
      <c r="I31" s="989">
        <f>-'Quarterly Financial Model '!AU132</f>
        <v>-140.661</v>
      </c>
      <c r="J31" s="989">
        <f>-'Quarterly Financial Model '!AZ132</f>
        <v>-358.2670675</v>
      </c>
      <c r="K31" s="989">
        <f>-'Quarterly Financial Model '!BE132</f>
        <v>-351.11587600000001</v>
      </c>
      <c r="L31" s="989">
        <f>-'Quarterly Financial Model '!BJ132</f>
        <v>-346.01587599999999</v>
      </c>
      <c r="M31" s="990">
        <f t="shared" ref="M31:P31" si="38">M32*M7</f>
        <v>-322.8544455892968</v>
      </c>
      <c r="N31" s="990">
        <f t="shared" si="38"/>
        <v>-290.38931145450294</v>
      </c>
      <c r="O31" s="990">
        <f t="shared" si="38"/>
        <v>-277.73933285106807</v>
      </c>
      <c r="P31" s="990">
        <f t="shared" si="38"/>
        <v>-259.71449212961937</v>
      </c>
      <c r="Q31" s="990">
        <f>Q32*Q7</f>
        <v>-236.78955720514401</v>
      </c>
      <c r="R31" s="128"/>
      <c r="S31" s="128"/>
    </row>
    <row r="32" spans="1:19">
      <c r="A32" s="128"/>
      <c r="B32" s="1015" t="s">
        <v>318</v>
      </c>
      <c r="C32" s="1016">
        <f t="shared" ref="C32:H32" si="39">C31/C7</f>
        <v>-0.12887157663214996</v>
      </c>
      <c r="D32" s="1016">
        <f t="shared" si="39"/>
        <v>-5.336373823879715E-2</v>
      </c>
      <c r="E32" s="1016">
        <f t="shared" si="39"/>
        <v>-5.193598013364762E-2</v>
      </c>
      <c r="F32" s="1016">
        <f t="shared" si="39"/>
        <v>-7.6544806629125203E-2</v>
      </c>
      <c r="G32" s="1016">
        <f t="shared" si="39"/>
        <v>-6.2873126340876329E-2</v>
      </c>
      <c r="H32" s="1016">
        <f t="shared" si="39"/>
        <v>-5.7505377315054222E-2</v>
      </c>
      <c r="I32" s="1016">
        <f>I31/I7</f>
        <v>-6.6246034497049897E-2</v>
      </c>
      <c r="J32" s="1016">
        <f>J31/J7</f>
        <v>-9.23638243306769E-2</v>
      </c>
      <c r="K32" s="1016">
        <f t="shared" ref="K32:L32" si="40">K31/K7</f>
        <v>-8.1522183239123913E-2</v>
      </c>
      <c r="L32" s="1016">
        <f t="shared" si="40"/>
        <v>-7.3544521961337941E-2</v>
      </c>
      <c r="M32" s="1017">
        <f>+L32+0.01</f>
        <v>-6.3544521961337946E-2</v>
      </c>
      <c r="N32" s="1017">
        <f>+M32+0.01</f>
        <v>-5.3544521961337944E-2</v>
      </c>
      <c r="O32" s="1017">
        <f t="shared" ref="O32:Q32" si="41">+N32+0.005</f>
        <v>-4.8544521961337947E-2</v>
      </c>
      <c r="P32" s="1017">
        <f>+O32+0.005</f>
        <v>-4.3544521961337949E-2</v>
      </c>
      <c r="Q32" s="1017">
        <f t="shared" si="41"/>
        <v>-3.8544521961337952E-2</v>
      </c>
      <c r="R32" s="128"/>
      <c r="S32" s="128"/>
    </row>
    <row r="33" spans="1:19">
      <c r="A33" s="128"/>
      <c r="B33" s="1014" t="s">
        <v>324</v>
      </c>
      <c r="C33" s="990">
        <f t="shared" ref="C33:N33" si="42">C27+C31</f>
        <v>293.50799999999998</v>
      </c>
      <c r="D33" s="990">
        <f t="shared" si="42"/>
        <v>412.16999999999996</v>
      </c>
      <c r="E33" s="990">
        <f t="shared" si="42"/>
        <v>461.66499999999991</v>
      </c>
      <c r="F33" s="990">
        <f t="shared" si="42"/>
        <v>486.55000000000007</v>
      </c>
      <c r="G33" s="990">
        <f>G27+G31</f>
        <v>613.18999999999994</v>
      </c>
      <c r="H33" s="990">
        <f t="shared" si="42"/>
        <v>723.23099999999999</v>
      </c>
      <c r="I33" s="990">
        <f>I27+I31</f>
        <v>776.7360000000001</v>
      </c>
      <c r="J33" s="990">
        <f>J27+J31</f>
        <v>1353.8362043183834</v>
      </c>
      <c r="K33" s="990">
        <f t="shared" ref="K33:L33" si="43">K27+K31</f>
        <v>1613.7335541732457</v>
      </c>
      <c r="L33" s="990">
        <f t="shared" si="43"/>
        <v>1880.3005222638549</v>
      </c>
      <c r="M33" s="990">
        <f>M27+M31</f>
        <v>2109.2855811066611</v>
      </c>
      <c r="N33" s="990">
        <f t="shared" si="42"/>
        <v>2330.9148303627367</v>
      </c>
      <c r="O33" s="990">
        <f>O27+O31</f>
        <v>2514.166897695653</v>
      </c>
      <c r="P33" s="990">
        <f>P27+P31</f>
        <v>2678.4685383124415</v>
      </c>
      <c r="Q33" s="990">
        <f>Q27+Q31</f>
        <v>2839.1239609328236</v>
      </c>
      <c r="R33" s="128"/>
      <c r="S33" s="128"/>
    </row>
    <row r="34" spans="1:19" ht="4.5" customHeight="1">
      <c r="A34" s="128"/>
      <c r="B34" s="1014"/>
      <c r="C34" s="1018"/>
      <c r="D34" s="1018"/>
      <c r="E34" s="1018"/>
      <c r="F34" s="1018"/>
      <c r="G34" s="1018"/>
      <c r="H34" s="1019"/>
      <c r="I34" s="1019"/>
      <c r="J34" s="1019"/>
      <c r="K34" s="1019"/>
      <c r="L34" s="1019"/>
      <c r="M34" s="1019"/>
      <c r="N34" s="1019"/>
      <c r="O34" s="1019"/>
      <c r="P34" s="1019"/>
      <c r="Q34" s="1019"/>
      <c r="R34" s="128"/>
      <c r="S34" s="128"/>
    </row>
    <row r="35" spans="1:19">
      <c r="A35" s="128"/>
      <c r="B35" s="1012" t="s">
        <v>325</v>
      </c>
      <c r="C35" s="989">
        <f>+'Quarterly Financial Model '!Q133</f>
        <v>111.85636000000005</v>
      </c>
      <c r="D35" s="989">
        <f>+'Quarterly Financial Model '!V67</f>
        <v>152.161</v>
      </c>
      <c r="E35" s="989">
        <f>+'Quarterly Financial Model '!AA67</f>
        <v>161.14699999999999</v>
      </c>
      <c r="F35" s="989">
        <f>+'Quarterly Financial Model '!AF67</f>
        <v>141.22300000000001</v>
      </c>
      <c r="G35" s="989">
        <f>+'Quarterly Financial Model '!AK67</f>
        <v>162.56200000000001</v>
      </c>
      <c r="H35" s="989">
        <f>+'Quarterly Financial Model '!AP67</f>
        <v>184.203</v>
      </c>
      <c r="I35" s="989">
        <f>+'Quarterly Financial Model '!AU67</f>
        <v>133.804</v>
      </c>
      <c r="J35" s="989">
        <f>+'Quarterly Financial Model '!AZ67</f>
        <v>173.22887882049281</v>
      </c>
      <c r="K35" s="989">
        <f>+'Quarterly Financial Model '!BE67</f>
        <v>210.50637363661718</v>
      </c>
      <c r="L35" s="989">
        <f>+'Quarterly Financial Model '!BJ67</f>
        <v>254.45409400749386</v>
      </c>
      <c r="M35" s="990">
        <f t="shared" ref="M35:Q35" si="44">M33*M36</f>
        <v>285.44179251589361</v>
      </c>
      <c r="N35" s="990">
        <f t="shared" si="44"/>
        <v>327.08863075383198</v>
      </c>
      <c r="O35" s="990">
        <f t="shared" si="44"/>
        <v>365.37454800979378</v>
      </c>
      <c r="P35" s="990">
        <f t="shared" si="44"/>
        <v>402.64423859446862</v>
      </c>
      <c r="Q35" s="990">
        <f t="shared" si="44"/>
        <v>440.99059207092415</v>
      </c>
      <c r="R35" s="128"/>
      <c r="S35" s="128"/>
    </row>
    <row r="36" spans="1:19">
      <c r="A36" s="128"/>
      <c r="B36" s="1020" t="s">
        <v>161</v>
      </c>
      <c r="C36" s="1021">
        <f t="shared" ref="C36:H36" si="45">+C35/C33</f>
        <v>0.38110157133706768</v>
      </c>
      <c r="D36" s="1021">
        <f t="shared" si="45"/>
        <v>0.36917048790547591</v>
      </c>
      <c r="E36" s="1021">
        <f t="shared" si="45"/>
        <v>0.34905613377665629</v>
      </c>
      <c r="F36" s="1021">
        <f t="shared" si="45"/>
        <v>0.29025382797245913</v>
      </c>
      <c r="G36" s="1021">
        <f t="shared" si="45"/>
        <v>0.265108693879548</v>
      </c>
      <c r="H36" s="1021">
        <f t="shared" si="45"/>
        <v>0.25469455817021119</v>
      </c>
      <c r="I36" s="1021">
        <f>+I35/I33</f>
        <v>0.17226445021216988</v>
      </c>
      <c r="J36" s="1021">
        <f>+J35/J33</f>
        <v>0.12795408947399842</v>
      </c>
      <c r="K36" s="1021">
        <f t="shared" ref="K36:L36" si="46">+K35/K33</f>
        <v>0.13044679717555024</v>
      </c>
      <c r="L36" s="1021">
        <f t="shared" si="46"/>
        <v>0.13532629013001324</v>
      </c>
      <c r="M36" s="1022">
        <f>+L36</f>
        <v>0.13532629013001324</v>
      </c>
      <c r="N36" s="1022">
        <f t="shared" ref="N36:Q36" si="47">+M36+0.5%</f>
        <v>0.14032629013001324</v>
      </c>
      <c r="O36" s="1022">
        <f t="shared" si="47"/>
        <v>0.14532629013001325</v>
      </c>
      <c r="P36" s="1022">
        <f t="shared" si="47"/>
        <v>0.15032629013001325</v>
      </c>
      <c r="Q36" s="1022">
        <f t="shared" si="47"/>
        <v>0.15532629013001326</v>
      </c>
      <c r="R36" s="128"/>
      <c r="S36" s="128"/>
    </row>
    <row r="37" spans="1:19">
      <c r="A37" s="128"/>
      <c r="B37" s="1023" t="s">
        <v>326</v>
      </c>
      <c r="C37" s="978">
        <f>C33-C35</f>
        <v>181.65163999999993</v>
      </c>
      <c r="D37" s="978">
        <f>D33-D35</f>
        <v>260.00899999999996</v>
      </c>
      <c r="E37" s="978">
        <f>E33-E35</f>
        <v>300.51799999999992</v>
      </c>
      <c r="F37" s="978">
        <f>F33-F35</f>
        <v>345.32700000000006</v>
      </c>
      <c r="G37" s="978">
        <f>G33-G35</f>
        <v>450.62799999999993</v>
      </c>
      <c r="H37" s="978">
        <f t="shared" ref="H37:N37" si="48">H33-H35</f>
        <v>539.02800000000002</v>
      </c>
      <c r="I37" s="978">
        <f t="shared" si="48"/>
        <v>642.93200000000013</v>
      </c>
      <c r="J37" s="978">
        <f>J33-J35</f>
        <v>1180.6073254978905</v>
      </c>
      <c r="K37" s="978">
        <f t="shared" ref="K37:L37" si="49">K33-K35</f>
        <v>1403.2271805366286</v>
      </c>
      <c r="L37" s="978">
        <f t="shared" si="49"/>
        <v>1625.8464282563609</v>
      </c>
      <c r="M37" s="978">
        <f>M33-M35</f>
        <v>1823.8437885907674</v>
      </c>
      <c r="N37" s="978">
        <f t="shared" si="48"/>
        <v>2003.8261996089047</v>
      </c>
      <c r="O37" s="978">
        <f>O33-O35</f>
        <v>2148.7923496858593</v>
      </c>
      <c r="P37" s="978">
        <f>P33-P35</f>
        <v>2275.8242997179727</v>
      </c>
      <c r="Q37" s="978">
        <f>Q33-Q35</f>
        <v>2398.1333688618993</v>
      </c>
      <c r="R37" s="128"/>
      <c r="S37" s="128"/>
    </row>
    <row r="38" spans="1:19">
      <c r="A38" s="128"/>
      <c r="B38" s="1012"/>
      <c r="C38" s="1024"/>
      <c r="D38" s="1024"/>
      <c r="E38" s="1024"/>
      <c r="F38" s="1024"/>
      <c r="G38" s="1024"/>
      <c r="H38" s="1024"/>
      <c r="I38" s="1024"/>
      <c r="J38" s="1024"/>
      <c r="K38" s="1024"/>
      <c r="L38" s="1024"/>
      <c r="M38" s="1024"/>
      <c r="N38" s="1024"/>
      <c r="O38" s="1024"/>
      <c r="P38" s="1024"/>
      <c r="Q38" s="1024"/>
      <c r="R38" s="128"/>
      <c r="S38" s="128"/>
    </row>
    <row r="39" spans="1:19">
      <c r="A39" s="144"/>
      <c r="B39" s="1025" t="s">
        <v>327</v>
      </c>
      <c r="C39" s="1026">
        <f>ROUND(C37-'Quarterly Financial Model '!Q135-'Quarterly Financial Model '!Q125,3)</f>
        <v>0</v>
      </c>
      <c r="D39" s="1026">
        <f>ROUND(D37-'Quarterly Financial Model '!V135-'Quarterly Financial Model '!V125,3)</f>
        <v>-6.351</v>
      </c>
      <c r="E39" s="1026">
        <f>ROUND(E37-'Quarterly Financial Model '!AA135-'Quarterly Financial Model '!AA125,3)</f>
        <v>-16.934999999999999</v>
      </c>
      <c r="F39" s="1026">
        <f>ROUND(F37-'Quarterly Financial Model '!AF135-'Quarterly Financial Model '!AF125,3)</f>
        <v>24.716000000000001</v>
      </c>
      <c r="G39" s="1026">
        <f>ROUND(G37-'Quarterly Financial Model '!AK135-'Quarterly Financial Model '!AK125,3)</f>
        <v>47.351999999999997</v>
      </c>
      <c r="H39" s="1027"/>
      <c r="I39" s="1027"/>
      <c r="J39" s="1027"/>
      <c r="K39" s="1027"/>
      <c r="L39" s="1027"/>
      <c r="M39" s="1027"/>
      <c r="N39" s="1027"/>
      <c r="O39" s="1027"/>
      <c r="P39" s="1027"/>
      <c r="Q39" s="1027"/>
      <c r="R39" s="144"/>
      <c r="S39" s="144"/>
    </row>
    <row r="40" spans="1:19" ht="7.5" customHeight="1">
      <c r="A40" s="128"/>
      <c r="B40" s="1012"/>
      <c r="C40" s="1024"/>
      <c r="D40" s="1024"/>
      <c r="E40" s="1024"/>
      <c r="F40" s="1024"/>
      <c r="G40" s="1024"/>
      <c r="H40" s="1024"/>
      <c r="I40" s="1024"/>
      <c r="J40" s="1024"/>
      <c r="K40" s="1024"/>
      <c r="L40" s="1024"/>
      <c r="M40" s="1024"/>
      <c r="N40" s="1024"/>
      <c r="O40" s="1024"/>
      <c r="P40" s="1024"/>
      <c r="Q40" s="1024"/>
      <c r="R40" s="128"/>
      <c r="S40" s="128"/>
    </row>
    <row r="41" spans="1:19">
      <c r="A41" s="128"/>
      <c r="B41" s="1028" t="s">
        <v>328</v>
      </c>
      <c r="C41" s="1013"/>
      <c r="D41" s="1013"/>
      <c r="E41" s="1013"/>
      <c r="F41" s="1013"/>
      <c r="G41" s="1013"/>
      <c r="H41" s="1013"/>
      <c r="I41" s="1013"/>
      <c r="J41" s="1013"/>
      <c r="K41" s="1013"/>
      <c r="L41" s="1013"/>
      <c r="M41" s="1013"/>
      <c r="N41" s="1013"/>
      <c r="O41" s="1013"/>
      <c r="P41" s="1013"/>
      <c r="Q41" s="1013"/>
      <c r="R41" s="128"/>
      <c r="S41" s="128"/>
    </row>
    <row r="42" spans="1:19">
      <c r="A42" s="128"/>
      <c r="B42" s="1029" t="s">
        <v>320</v>
      </c>
      <c r="C42" s="989">
        <f t="shared" ref="C42:O43" si="50">+C24</f>
        <v>33.799999999999997</v>
      </c>
      <c r="D42" s="989">
        <f t="shared" si="50"/>
        <v>43.103000000000002</v>
      </c>
      <c r="E42" s="989">
        <f t="shared" si="50"/>
        <v>60.492000000000004</v>
      </c>
      <c r="F42" s="989">
        <f t="shared" si="50"/>
        <v>76.506</v>
      </c>
      <c r="G42" s="989">
        <f>+G24</f>
        <v>85.501000000000005</v>
      </c>
      <c r="H42" s="989">
        <f>+H24</f>
        <v>79.231999999999999</v>
      </c>
      <c r="I42" s="989">
        <f>+I24</f>
        <v>100.64400000000001</v>
      </c>
      <c r="J42" s="989">
        <f t="shared" ref="J42:K42" si="51">+J24</f>
        <v>164.85188307315309</v>
      </c>
      <c r="K42" s="989">
        <f t="shared" si="51"/>
        <v>204.58240257230906</v>
      </c>
      <c r="L42" s="989">
        <f t="shared" ref="L42" si="52">+L24</f>
        <v>223.48033098427385</v>
      </c>
      <c r="M42" s="990">
        <f t="shared" si="50"/>
        <v>238.7957053470208</v>
      </c>
      <c r="N42" s="990">
        <f t="shared" si="50"/>
        <v>256.83314750046594</v>
      </c>
      <c r="O42" s="990">
        <f t="shared" si="50"/>
        <v>272.98927554184763</v>
      </c>
      <c r="P42" s="990">
        <f>+P24</f>
        <v>286.71451872772457</v>
      </c>
      <c r="Q42" s="990">
        <f>+Q24</f>
        <v>276.44732719527565</v>
      </c>
      <c r="R42" s="128"/>
      <c r="S42" s="128"/>
    </row>
    <row r="43" spans="1:19">
      <c r="A43" s="128"/>
      <c r="B43" s="1030" t="s">
        <v>318</v>
      </c>
      <c r="C43" s="137">
        <f t="shared" si="50"/>
        <v>3.9044991844448443E-2</v>
      </c>
      <c r="D43" s="137">
        <f t="shared" si="50"/>
        <v>4.2148669817981266E-2</v>
      </c>
      <c r="E43" s="137">
        <f t="shared" si="50"/>
        <v>5.1586340518285305E-2</v>
      </c>
      <c r="F43" s="137">
        <f t="shared" si="50"/>
        <v>5.4548254664044754E-2</v>
      </c>
      <c r="G43" s="137">
        <f>+G25</f>
        <v>5.0840916766959864E-2</v>
      </c>
      <c r="H43" s="137">
        <f t="shared" si="50"/>
        <v>4.1596819758489383E-2</v>
      </c>
      <c r="I43" s="137">
        <f>+I25</f>
        <v>4.7399534312432656E-2</v>
      </c>
      <c r="J43" s="137">
        <f t="shared" ref="J43:K43" si="53">+J25</f>
        <v>4.2500000000000003E-2</v>
      </c>
      <c r="K43" s="137">
        <f t="shared" si="53"/>
        <v>4.7499999999999987E-2</v>
      </c>
      <c r="L43" s="137">
        <f t="shared" ref="L43" si="54">+L25</f>
        <v>4.7500000000000001E-2</v>
      </c>
      <c r="M43" s="137">
        <f t="shared" si="50"/>
        <v>4.7E-2</v>
      </c>
      <c r="N43" s="137">
        <f t="shared" si="50"/>
        <v>4.7357142857142855E-2</v>
      </c>
      <c r="O43" s="137">
        <f>+O25</f>
        <v>4.7714285714285709E-2</v>
      </c>
      <c r="P43" s="137">
        <f>+P25</f>
        <v>4.8071428571428564E-2</v>
      </c>
      <c r="Q43" s="137">
        <f>+Q25</f>
        <v>4.4999999999999998E-2</v>
      </c>
      <c r="R43" s="128"/>
      <c r="S43" s="128"/>
    </row>
    <row r="44" spans="1:19">
      <c r="A44" s="128"/>
      <c r="B44" s="1029" t="s">
        <v>329</v>
      </c>
      <c r="C44" s="989">
        <f>+'Quarterly Financial Model '!Q168</f>
        <v>-62.713999999999999</v>
      </c>
      <c r="D44" s="989">
        <f>+'Quarterly Financial Model '!V168</f>
        <v>-51.435000000000002</v>
      </c>
      <c r="E44" s="989">
        <f>+'Quarterly Financial Model '!AA168</f>
        <v>-61.578000000000003</v>
      </c>
      <c r="F44" s="989">
        <f>+'Quarterly Financial Model '!AF168</f>
        <v>-103.179</v>
      </c>
      <c r="G44" s="989">
        <f>+'Quarterly Financial Model '!AK168</f>
        <v>-84.73</v>
      </c>
      <c r="H44" s="989">
        <f>+'Quarterly Financial Model '!AP168</f>
        <v>-118.194</v>
      </c>
      <c r="I44" s="989">
        <f>+'Quarterly Financial Model '!AU168</f>
        <v>-110.80500000000001</v>
      </c>
      <c r="J44" s="989">
        <f>+'Quarterly Financial Model '!AZ168</f>
        <v>-213.33773103584517</v>
      </c>
      <c r="K44" s="989">
        <f>+'Quarterly Financial Model '!BE168</f>
        <v>-236.88488718898947</v>
      </c>
      <c r="L44" s="989">
        <f>+'Quarterly Financial Model '!BJ168</f>
        <v>-258.76669903442234</v>
      </c>
      <c r="M44" s="990">
        <f t="shared" ref="M44:P44" si="55">M45*M7</f>
        <v>-269.28026347642771</v>
      </c>
      <c r="N44" s="990">
        <f t="shared" si="55"/>
        <v>-273.87788127123594</v>
      </c>
      <c r="O44" s="990">
        <f t="shared" si="55"/>
        <v>-274.62394186245751</v>
      </c>
      <c r="P44" s="990">
        <f t="shared" si="55"/>
        <v>-271.37763511078833</v>
      </c>
      <c r="Q44" s="990">
        <f>Q45*Q7</f>
        <v>-264.16077931992999</v>
      </c>
      <c r="R44" s="128"/>
      <c r="S44" s="128"/>
    </row>
    <row r="45" spans="1:19">
      <c r="A45" s="128"/>
      <c r="B45" s="1030" t="s">
        <v>330</v>
      </c>
      <c r="C45" s="137">
        <f t="shared" ref="C45:H45" si="56">C44/C7</f>
        <v>-7.2445787530554431E-2</v>
      </c>
      <c r="D45" s="137">
        <f t="shared" si="56"/>
        <v>-5.0296193584851788E-2</v>
      </c>
      <c r="E45" s="137">
        <f t="shared" si="56"/>
        <v>-5.2512459109220595E-2</v>
      </c>
      <c r="F45" s="137">
        <f t="shared" si="56"/>
        <v>-7.3565921208551932E-2</v>
      </c>
      <c r="G45" s="137">
        <f t="shared" si="56"/>
        <v>-5.0382461932193881E-2</v>
      </c>
      <c r="H45" s="137">
        <f t="shared" si="56"/>
        <v>-6.2051879474642753E-2</v>
      </c>
      <c r="I45" s="137">
        <f>I44/I7</f>
        <v>-5.2184982706262671E-2</v>
      </c>
      <c r="J45" s="137">
        <f t="shared" ref="J45:L45" si="57">J44/J7</f>
        <v>-5.5E-2</v>
      </c>
      <c r="K45" s="137">
        <f t="shared" si="57"/>
        <v>-5.4999999999999993E-2</v>
      </c>
      <c r="L45" s="137">
        <f t="shared" si="57"/>
        <v>-5.5E-2</v>
      </c>
      <c r="M45" s="982">
        <f>L45+0.2%</f>
        <v>-5.2999999999999999E-2</v>
      </c>
      <c r="N45" s="982">
        <f t="shared" ref="N45:Q45" si="58">M45+0.25%</f>
        <v>-5.0499999999999996E-2</v>
      </c>
      <c r="O45" s="982">
        <f t="shared" si="58"/>
        <v>-4.7999999999999994E-2</v>
      </c>
      <c r="P45" s="982">
        <f t="shared" si="58"/>
        <v>-4.5499999999999992E-2</v>
      </c>
      <c r="Q45" s="982">
        <f t="shared" si="58"/>
        <v>-4.299999999999999E-2</v>
      </c>
      <c r="R45" s="128"/>
      <c r="S45" s="128"/>
    </row>
    <row r="46" spans="1:19">
      <c r="A46" s="128"/>
      <c r="B46" s="1029" t="s">
        <v>331</v>
      </c>
      <c r="C46" s="989">
        <f>SUM('Quarterly Financial Model '!Q158:Q164)</f>
        <v>-64.947000000000003</v>
      </c>
      <c r="D46" s="989">
        <f>SUM('Quarterly Financial Model '!V158:V164)</f>
        <v>-78.965000000000003</v>
      </c>
      <c r="E46" s="989">
        <f>SUM('Quarterly Financial Model '!AA158:AA164)</f>
        <v>-9.0970000000000066</v>
      </c>
      <c r="F46" s="989">
        <f>SUM('Quarterly Financial Model '!AF158:AF164)</f>
        <v>69.475999999999999</v>
      </c>
      <c r="G46" s="989">
        <f>SUM('Quarterly Financial Model '!AK158:AK164)</f>
        <v>148.78399999999999</v>
      </c>
      <c r="H46" s="989">
        <f>SUM('Quarterly Financial Model '!AP158:AP164)</f>
        <v>-54.103000000000037</v>
      </c>
      <c r="I46" s="989">
        <f>SUM('Quarterly Financial Model '!AU158:AU164)</f>
        <v>59.438000000000002</v>
      </c>
      <c r="J46" s="989">
        <f>SUM('Quarterly Financial Model '!AZ158:AZ164)</f>
        <v>-298.17836257676606</v>
      </c>
      <c r="K46" s="989">
        <f>SUM('Quarterly Financial Model '!BE158:BE164)</f>
        <v>-26.554876678878742</v>
      </c>
      <c r="L46" s="989">
        <f>SUM('Quarterly Financial Model '!BJ158:BJ164)</f>
        <v>-86.493541814650712</v>
      </c>
      <c r="M46" s="990">
        <f t="shared" ref="M46:P46" si="59">+M47*M7</f>
        <v>50.807596882344853</v>
      </c>
      <c r="N46" s="990">
        <f t="shared" si="59"/>
        <v>54.233243816086322</v>
      </c>
      <c r="O46" s="990">
        <f t="shared" si="59"/>
        <v>57.213321221345325</v>
      </c>
      <c r="P46" s="990">
        <f t="shared" si="59"/>
        <v>59.643436288085361</v>
      </c>
      <c r="Q46" s="990">
        <f>+Q47*Q7</f>
        <v>61.432739376727923</v>
      </c>
      <c r="R46" s="128"/>
      <c r="S46" s="128"/>
    </row>
    <row r="47" spans="1:19">
      <c r="A47" s="128"/>
      <c r="B47" s="1030" t="s">
        <v>332</v>
      </c>
      <c r="C47" s="997">
        <f t="shared" ref="C47:H47" si="60">+C46/C7</f>
        <v>-7.5025298382289746E-2</v>
      </c>
      <c r="D47" s="997">
        <f t="shared" si="60"/>
        <v>-7.7216660375771781E-2</v>
      </c>
      <c r="E47" s="997">
        <f t="shared" si="60"/>
        <v>-7.7577355632950096E-3</v>
      </c>
      <c r="F47" s="997">
        <f t="shared" si="60"/>
        <v>4.9535912752453053E-2</v>
      </c>
      <c r="G47" s="997">
        <f t="shared" si="60"/>
        <v>8.847048526046894E-2</v>
      </c>
      <c r="H47" s="997">
        <f t="shared" si="60"/>
        <v>-2.8404088491942054E-2</v>
      </c>
      <c r="I47" s="997">
        <f>+I46/I7</f>
        <v>2.7993059898874968E-2</v>
      </c>
      <c r="J47" s="997">
        <f t="shared" ref="J47:L47" si="61">+J46/J7</f>
        <v>-7.6872524433882844E-2</v>
      </c>
      <c r="K47" s="997">
        <f t="shared" si="61"/>
        <v>-6.1655187659697026E-3</v>
      </c>
      <c r="L47" s="997">
        <f t="shared" si="61"/>
        <v>-1.8383914226818544E-2</v>
      </c>
      <c r="M47" s="1003">
        <v>0.01</v>
      </c>
      <c r="N47" s="1003">
        <f t="shared" ref="N47:Q47" si="62">M47</f>
        <v>0.01</v>
      </c>
      <c r="O47" s="1003">
        <f t="shared" si="62"/>
        <v>0.01</v>
      </c>
      <c r="P47" s="1003">
        <f t="shared" si="62"/>
        <v>0.01</v>
      </c>
      <c r="Q47" s="1003">
        <f t="shared" si="62"/>
        <v>0.01</v>
      </c>
      <c r="R47" s="128"/>
      <c r="S47" s="128"/>
    </row>
    <row r="48" spans="1:19">
      <c r="A48" s="128"/>
      <c r="B48" s="1029" t="s">
        <v>176</v>
      </c>
      <c r="C48" s="989">
        <f>SUM('Quarterly Financial Model '!Q149:Q156)-'Quarterly Financial Model '!Q152</f>
        <v>55.290999999999997</v>
      </c>
      <c r="D48" s="989">
        <f>SUM('Quarterly Financial Model '!V149:V156)-'Quarterly Financial Model '!V152</f>
        <v>67.338999999999999</v>
      </c>
      <c r="E48" s="989">
        <f>SUM('Quarterly Financial Model '!AA149:AA156)-'Quarterly Financial Model '!AA152</f>
        <v>66.397000000000006</v>
      </c>
      <c r="F48" s="989">
        <f>SUM('Quarterly Financial Model '!AF149:AF156)-'Quarterly Financial Model '!AF152</f>
        <v>71.46599999999998</v>
      </c>
      <c r="G48" s="989">
        <f>SUM('Quarterly Financial Model '!AK149:AK156)-'Quarterly Financial Model '!AK152</f>
        <v>92.430999999999983</v>
      </c>
      <c r="H48" s="989">
        <f>SUM('Quarterly Financial Model '!AP149:AP156)-'Quarterly Financial Model '!AP152</f>
        <v>135.89700000000002</v>
      </c>
      <c r="I48" s="989">
        <f>SUM('Quarterly Financial Model '!AU149:AU156)-'Quarterly Financial Model '!AU152</f>
        <v>176.33300000000011</v>
      </c>
      <c r="J48" s="989">
        <f>SUM('Quarterly Financial Model '!AZ149:AZ156)-'Quarterly Financial Model '!AZ152</f>
        <v>0</v>
      </c>
      <c r="K48" s="989">
        <f>SUM('Quarterly Financial Model '!BE149:BE156)-'Quarterly Financial Model '!BE152</f>
        <v>0</v>
      </c>
      <c r="L48" s="989">
        <f>SUM('Quarterly Financial Model '!BJ149:BJ156)-'Quarterly Financial Model '!BJ152</f>
        <v>0</v>
      </c>
      <c r="M48" s="990">
        <f t="shared" ref="M48:P48" si="63">+M49*M7</f>
        <v>152.42279064703456</v>
      </c>
      <c r="N48" s="990">
        <f t="shared" si="63"/>
        <v>162.69973144825897</v>
      </c>
      <c r="O48" s="990">
        <f t="shared" si="63"/>
        <v>171.63996366403597</v>
      </c>
      <c r="P48" s="990">
        <f t="shared" si="63"/>
        <v>178.93030886425606</v>
      </c>
      <c r="Q48" s="990">
        <f>+Q49*Q7</f>
        <v>184.29821813018376</v>
      </c>
      <c r="R48" s="128"/>
      <c r="S48" s="128"/>
    </row>
    <row r="49" spans="1:26">
      <c r="A49" s="128"/>
      <c r="B49" s="1030" t="s">
        <v>437</v>
      </c>
      <c r="C49" s="997">
        <f t="shared" ref="C49:H49" si="64">+C48/C7</f>
        <v>6.3870906629331328E-2</v>
      </c>
      <c r="D49" s="997">
        <f t="shared" si="64"/>
        <v>6.5848068043362185E-2</v>
      </c>
      <c r="E49" s="997">
        <f t="shared" si="64"/>
        <v>5.6622003759052263E-2</v>
      </c>
      <c r="F49" s="997">
        <f t="shared" si="64"/>
        <v>5.0954769139944858E-2</v>
      </c>
      <c r="G49" s="997">
        <f t="shared" si="64"/>
        <v>5.4961658666996475E-2</v>
      </c>
      <c r="H49" s="997">
        <f t="shared" si="64"/>
        <v>7.1345958889330485E-2</v>
      </c>
      <c r="I49" s="997">
        <f>+I48/I7</f>
        <v>8.3046203289954615E-2</v>
      </c>
      <c r="J49" s="997">
        <f t="shared" ref="J49:L49" si="65">+J48/J7</f>
        <v>0</v>
      </c>
      <c r="K49" s="997">
        <f t="shared" si="65"/>
        <v>0</v>
      </c>
      <c r="L49" s="997">
        <f t="shared" si="65"/>
        <v>0</v>
      </c>
      <c r="M49" s="1003">
        <v>0.03</v>
      </c>
      <c r="N49" s="1003">
        <f t="shared" ref="N49:Q49" si="66">M49</f>
        <v>0.03</v>
      </c>
      <c r="O49" s="1003">
        <f t="shared" si="66"/>
        <v>0.03</v>
      </c>
      <c r="P49" s="1003">
        <f t="shared" si="66"/>
        <v>0.03</v>
      </c>
      <c r="Q49" s="1003">
        <f t="shared" si="66"/>
        <v>0.03</v>
      </c>
      <c r="R49" s="128"/>
      <c r="S49" s="128"/>
    </row>
    <row r="50" spans="1:26">
      <c r="A50" s="128"/>
      <c r="B50" s="1031" t="s">
        <v>333</v>
      </c>
      <c r="C50" s="1032"/>
      <c r="D50" s="1032"/>
      <c r="E50" s="1033">
        <f>-(E31*(1-E36))</f>
        <v>39.643783340734089</v>
      </c>
      <c r="F50" s="1033">
        <f>-(F31*(1-F36))</f>
        <v>76.196219790360701</v>
      </c>
      <c r="G50" s="1033">
        <f t="shared" ref="G50:N50" si="67">-(G31*(1-G36))</f>
        <v>77.704467143952115</v>
      </c>
      <c r="H50" s="1033">
        <f t="shared" si="67"/>
        <v>81.636286265384086</v>
      </c>
      <c r="I50" s="1033">
        <f>-(I31*(1-I36))</f>
        <v>116.43011016870598</v>
      </c>
      <c r="J50" s="1033">
        <f>-(J31*(1-J36))</f>
        <v>312.42533108951795</v>
      </c>
      <c r="K50" s="1033">
        <f t="shared" ref="K50" si="68">-(K31*(1-K36))</f>
        <v>305.31393453831237</v>
      </c>
      <c r="L50" s="1033">
        <f t="shared" ref="L50" si="69">-(L31*(1-L36))</f>
        <v>299.19083117483331</v>
      </c>
      <c r="M50" s="1033">
        <f t="shared" si="67"/>
        <v>279.16375121571508</v>
      </c>
      <c r="N50" s="1033">
        <f t="shared" si="67"/>
        <v>249.64005668468357</v>
      </c>
      <c r="O50" s="1033">
        <f>-(O31*(1-O36))</f>
        <v>237.37650598463745</v>
      </c>
      <c r="P50" s="1033">
        <f>-(P31*(1-P36))</f>
        <v>220.67257603477316</v>
      </c>
      <c r="Q50" s="1033">
        <f>-(Q31*(1-Q36))</f>
        <v>200.00991374294045</v>
      </c>
      <c r="R50" s="128"/>
      <c r="S50" s="128"/>
    </row>
    <row r="51" spans="1:26">
      <c r="A51" s="128"/>
      <c r="B51" s="1023" t="s">
        <v>334</v>
      </c>
      <c r="C51" s="978">
        <f t="shared" ref="C51:O51" si="70">+C37+C42+C44+C46+C48+C50</f>
        <v>143.08163999999994</v>
      </c>
      <c r="D51" s="978">
        <f t="shared" si="70"/>
        <v>240.05099999999996</v>
      </c>
      <c r="E51" s="978">
        <f t="shared" si="70"/>
        <v>396.37578334073402</v>
      </c>
      <c r="F51" s="978">
        <f t="shared" si="70"/>
        <v>535.79221979036083</v>
      </c>
      <c r="G51" s="978">
        <f t="shared" si="70"/>
        <v>770.31846714395192</v>
      </c>
      <c r="H51" s="978">
        <f t="shared" si="70"/>
        <v>663.49628626538413</v>
      </c>
      <c r="I51" s="978">
        <f t="shared" si="70"/>
        <v>984.97211016870619</v>
      </c>
      <c r="J51" s="978">
        <f t="shared" ref="J51:K51" si="71">+J37+J42+J44+J46+J48+J50</f>
        <v>1146.3684460479506</v>
      </c>
      <c r="K51" s="978">
        <f t="shared" si="71"/>
        <v>1649.6837537793817</v>
      </c>
      <c r="L51" s="978">
        <f t="shared" si="70"/>
        <v>1803.2573495663951</v>
      </c>
      <c r="M51" s="978">
        <f t="shared" si="70"/>
        <v>2275.7533692064549</v>
      </c>
      <c r="N51" s="978">
        <f t="shared" si="70"/>
        <v>2453.3544977871638</v>
      </c>
      <c r="O51" s="978">
        <f t="shared" si="70"/>
        <v>2613.3874742352682</v>
      </c>
      <c r="P51" s="978">
        <f>+P37+P42+P44+P46+P48+P50</f>
        <v>2750.4075045220234</v>
      </c>
      <c r="Q51" s="978">
        <f>+Q37+Q42+Q44+Q46+Q48+Q50</f>
        <v>2856.1607879870971</v>
      </c>
      <c r="R51" s="128"/>
      <c r="S51" s="128"/>
    </row>
    <row r="52" spans="1:26">
      <c r="A52" s="128"/>
      <c r="B52" s="981" t="s">
        <v>16</v>
      </c>
      <c r="C52" s="156"/>
      <c r="D52" s="156">
        <f>+D51/C51-1</f>
        <v>0.67772049579526805</v>
      </c>
      <c r="E52" s="156">
        <f t="shared" ref="E52:Q52" si="72">+E51/D51-1</f>
        <v>0.6512148807575644</v>
      </c>
      <c r="F52" s="156">
        <f t="shared" si="72"/>
        <v>0.35172793674375691</v>
      </c>
      <c r="G52" s="156">
        <f t="shared" si="72"/>
        <v>0.43771865042264713</v>
      </c>
      <c r="H52" s="156">
        <f t="shared" si="72"/>
        <v>-0.13867275086189201</v>
      </c>
      <c r="I52" s="156">
        <f t="shared" si="72"/>
        <v>0.48451789491213315</v>
      </c>
      <c r="J52" s="156">
        <f t="shared" ref="J52" si="73">+J51/I51-1</f>
        <v>0.16385878768851669</v>
      </c>
      <c r="K52" s="156">
        <f t="shared" ref="K52" si="74">+K51/J51-1</f>
        <v>0.4390519552998744</v>
      </c>
      <c r="L52" s="156">
        <f t="shared" si="72"/>
        <v>9.3092749101262751E-2</v>
      </c>
      <c r="M52" s="156">
        <f t="shared" si="72"/>
        <v>0.26202362061836304</v>
      </c>
      <c r="N52" s="156">
        <f t="shared" si="72"/>
        <v>7.8040586903596498E-2</v>
      </c>
      <c r="O52" s="156">
        <f t="shared" si="72"/>
        <v>6.5230270061847229E-2</v>
      </c>
      <c r="P52" s="156">
        <f t="shared" si="72"/>
        <v>5.2430047835463123E-2</v>
      </c>
      <c r="Q52" s="156">
        <f t="shared" si="72"/>
        <v>3.8450041781518562E-2</v>
      </c>
      <c r="R52" s="128"/>
      <c r="S52" s="128"/>
    </row>
    <row r="53" spans="1:26" ht="2.25" customHeight="1">
      <c r="A53" s="128"/>
      <c r="B53" s="1023"/>
      <c r="C53" s="1034"/>
      <c r="D53" s="1034"/>
      <c r="E53" s="1034"/>
      <c r="F53" s="1034"/>
      <c r="G53" s="1034"/>
      <c r="H53" s="1034"/>
      <c r="I53" s="1034"/>
      <c r="J53" s="1034"/>
      <c r="K53" s="1034"/>
      <c r="L53" s="1034"/>
      <c r="M53" s="1034"/>
      <c r="N53" s="1034"/>
      <c r="O53" s="1034"/>
      <c r="P53" s="1034"/>
      <c r="Q53" s="1034"/>
      <c r="R53" s="128"/>
      <c r="S53" s="128"/>
    </row>
    <row r="54" spans="1:26">
      <c r="A54" s="128"/>
      <c r="B54" s="1025" t="s">
        <v>327</v>
      </c>
      <c r="C54" s="1035"/>
      <c r="D54" s="1035"/>
      <c r="E54" s="202">
        <f>+E42+E46+E48-(SUM('Quarterly Financial Model '!AA149:AA164)-'Quarterly Financial Model '!AA152+('Quarterly Financial Model '!AA131))</f>
        <v>0</v>
      </c>
      <c r="F54" s="202">
        <f>+F42+F46+F48-(SUM('Quarterly Financial Model '!AF149:AF164)-'Quarterly Financial Model '!AF152+('Quarterly Financial Model '!AF131))</f>
        <v>0</v>
      </c>
      <c r="G54" s="202">
        <f>+G42+G46+G48-(SUM('Quarterly Financial Model '!AK149:AK164)-'Quarterly Financial Model '!AK152+('Quarterly Financial Model '!AK131))</f>
        <v>0</v>
      </c>
      <c r="H54" s="1035"/>
      <c r="I54" s="1035"/>
      <c r="J54" s="1035"/>
      <c r="K54" s="1035"/>
      <c r="L54" s="1035"/>
      <c r="M54" s="1035"/>
      <c r="N54" s="1035"/>
      <c r="O54" s="1035"/>
      <c r="P54" s="1035"/>
      <c r="Q54" s="1035"/>
      <c r="R54" s="128"/>
      <c r="S54" s="128"/>
    </row>
    <row r="55" spans="1:26" ht="7.5" customHeight="1">
      <c r="A55" s="128"/>
      <c r="B55" s="1023"/>
      <c r="C55" s="1034"/>
      <c r="D55" s="1034"/>
      <c r="E55" s="1034"/>
      <c r="F55" s="1034"/>
      <c r="G55" s="1034"/>
      <c r="H55" s="1034"/>
      <c r="I55" s="1034"/>
      <c r="J55" s="1034"/>
      <c r="K55" s="1034"/>
      <c r="L55" s="1034"/>
      <c r="M55" s="1034"/>
      <c r="N55" s="1034"/>
      <c r="O55" s="1034"/>
      <c r="P55" s="1034"/>
      <c r="Q55" s="1034"/>
      <c r="R55" s="1034"/>
      <c r="S55" s="1034"/>
    </row>
    <row r="56" spans="1:26">
      <c r="A56" s="128"/>
      <c r="B56" s="1029" t="s">
        <v>335</v>
      </c>
      <c r="C56" s="1036" t="str">
        <f>IF(E5&lt;$R$7,"",(1+$C$63)^E4)</f>
        <v/>
      </c>
      <c r="D56" s="1036" t="str">
        <f>IF(F5&lt;$R$7,"",(1+$C$63)^F4)</f>
        <v/>
      </c>
      <c r="E56" s="1036" t="str">
        <f>IF(G5&lt;$R$7,"",(1+$C$63)^G4)</f>
        <v/>
      </c>
      <c r="F56" s="1036" t="str">
        <f>IF(H5&lt;$R$7,"",(1+$C$63)^H4)</f>
        <v/>
      </c>
      <c r="G56" s="1036" t="str">
        <f>IF(I5&lt;$R$7,"",(1+$C$63)^I4)</f>
        <v/>
      </c>
      <c r="H56" s="1036"/>
      <c r="I56" s="1036"/>
      <c r="J56" s="1036">
        <f>IF(L5&lt;$R$7,"",(1+$C$63)^J4)</f>
        <v>1.0105984130343864</v>
      </c>
      <c r="K56" s="1036">
        <f t="shared" ref="K56:Q56" si="75">IF(M5&lt;$R$7,"",(1+$C$63)^K4)</f>
        <v>1.0652993732738592</v>
      </c>
      <c r="L56" s="1036">
        <f t="shared" si="75"/>
        <v>1.1590457181219589</v>
      </c>
      <c r="M56" s="1036">
        <f t="shared" si="75"/>
        <v>1.2610417413166914</v>
      </c>
      <c r="N56" s="1036">
        <f t="shared" si="75"/>
        <v>1.3720134145525604</v>
      </c>
      <c r="O56" s="1036">
        <f t="shared" si="75"/>
        <v>1.4927505950331859</v>
      </c>
      <c r="P56" s="1036">
        <f t="shared" si="75"/>
        <v>1.6241126473961063</v>
      </c>
      <c r="Q56" s="1036">
        <f t="shared" si="75"/>
        <v>1.7670345603669637</v>
      </c>
      <c r="R56" s="128"/>
      <c r="S56" s="128"/>
    </row>
    <row r="57" spans="1:26">
      <c r="A57" s="128"/>
      <c r="B57" s="1037" t="s">
        <v>336</v>
      </c>
      <c r="C57" s="1038" t="str">
        <f>IF(E5&lt;$R$7,"",IF(E5=$R$7,(4-$R$8)/4*C51/C56,C51/C56))</f>
        <v/>
      </c>
      <c r="D57" s="1038" t="str">
        <f>IF(F5&lt;$R$7,"",IF(F5=$R$7,(4-$R$8)/4*D51/D56,D51/D56))</f>
        <v/>
      </c>
      <c r="E57" s="1038" t="str">
        <f>IF(G5&lt;$R$7,"",IF(G5=$R$7,(4-$R$8)/4*E51/E56,E51/E56))</f>
        <v/>
      </c>
      <c r="F57" s="1038" t="str">
        <f>IF(H5&lt;$R$7,"",IF(H5=$R$7,(4-$R$8)/4*F51/F56,F51/F56))</f>
        <v/>
      </c>
      <c r="G57" s="1038" t="str">
        <f>IF(I5&lt;$R$7,"",IF(I5=$R$7,(4-$R$8)/4*G51/G56,G51/G56))</f>
        <v/>
      </c>
      <c r="H57" s="1038"/>
      <c r="I57" s="1038"/>
      <c r="J57" s="1038">
        <f t="shared" ref="J57:O57" si="76">IF(L5&lt;$R$7,"",IF(L5=$R$7,(4-$R$8)/4*J51/J56,J51/J56))</f>
        <v>1134.3461767428528</v>
      </c>
      <c r="K57" s="1038">
        <f t="shared" si="76"/>
        <v>1548.5635260533411</v>
      </c>
      <c r="L57" s="1038">
        <f t="shared" si="76"/>
        <v>1555.8120972900656</v>
      </c>
      <c r="M57" s="1038">
        <f t="shared" si="76"/>
        <v>1804.6614117866334</v>
      </c>
      <c r="N57" s="1038">
        <f t="shared" si="76"/>
        <v>1788.1417716219992</v>
      </c>
      <c r="O57" s="1038">
        <f t="shared" si="76"/>
        <v>1750.7194322553053</v>
      </c>
      <c r="P57" s="1038">
        <f>IF(R5&lt;$R$7,"",IF(R5=$R$7,(4-$R$8)/4*P51/P56,P51/P56))</f>
        <v>1693.4832130835714</v>
      </c>
      <c r="Q57" s="1038">
        <f>IF(S5&lt;$R$7,"",IF(S5=$R$7,(4-$R$8)/4*Q51/Q56,Q51/Q56))</f>
        <v>1616.3581924475502</v>
      </c>
      <c r="R57" s="128"/>
      <c r="S57" s="128"/>
    </row>
    <row r="58" spans="1:26" ht="6" customHeight="1">
      <c r="A58" s="128"/>
      <c r="B58" s="1029"/>
      <c r="C58" s="802"/>
      <c r="D58" s="128"/>
      <c r="E58" s="128"/>
      <c r="F58" s="128"/>
      <c r="G58" s="128"/>
      <c r="H58" s="128"/>
      <c r="I58" s="128"/>
      <c r="J58" s="128"/>
      <c r="K58" s="128"/>
      <c r="L58" s="128"/>
      <c r="M58" s="128"/>
      <c r="N58" s="128"/>
      <c r="O58" s="128"/>
      <c r="P58" s="128"/>
      <c r="Q58" s="128"/>
      <c r="R58" s="128"/>
      <c r="S58" s="128"/>
    </row>
    <row r="59" spans="1:26">
      <c r="A59" s="128"/>
      <c r="B59" s="1037" t="s">
        <v>337</v>
      </c>
      <c r="C59" s="1039"/>
      <c r="D59" s="770"/>
      <c r="E59" s="770"/>
      <c r="F59" s="1039"/>
      <c r="G59" s="1039"/>
      <c r="H59" s="1039"/>
      <c r="I59" s="1039"/>
      <c r="J59" s="1039"/>
      <c r="K59" s="770"/>
      <c r="L59" s="770"/>
      <c r="M59" s="770"/>
      <c r="N59" s="1040"/>
      <c r="O59" s="1040"/>
      <c r="P59" s="1040">
        <f>((P51*(1+$C$68))/($C$63-$C$68))/(1+$C$63)</f>
        <v>44892.870969473945</v>
      </c>
      <c r="Q59" s="1040">
        <f>((Q51*(1+$C$68))/($C$63-$C$68))/(1+$C$63)</f>
        <v>46619.00373394254</v>
      </c>
      <c r="R59" s="1041"/>
      <c r="S59" s="128"/>
    </row>
    <row r="60" spans="1:26">
      <c r="A60" s="128"/>
      <c r="B60" s="128"/>
      <c r="C60" s="128"/>
      <c r="D60" s="802"/>
      <c r="E60" s="802"/>
      <c r="F60" s="802"/>
      <c r="G60" s="802"/>
      <c r="H60" s="802"/>
      <c r="I60" s="802"/>
      <c r="J60" s="802"/>
      <c r="K60" s="128"/>
      <c r="L60" s="128"/>
      <c r="M60" s="128"/>
      <c r="N60" s="1042"/>
      <c r="O60" s="1042"/>
      <c r="P60" s="1042"/>
      <c r="Q60" s="1042"/>
      <c r="R60" s="1042"/>
      <c r="S60" s="1042"/>
      <c r="T60" s="128"/>
      <c r="U60" s="128"/>
    </row>
    <row r="61" spans="1:26">
      <c r="A61" s="128"/>
      <c r="B61" s="128"/>
      <c r="C61" s="128"/>
      <c r="D61" s="802"/>
      <c r="E61" s="802"/>
      <c r="F61" s="802"/>
      <c r="G61" s="802"/>
      <c r="H61" s="802"/>
      <c r="I61" s="802"/>
      <c r="J61" s="802"/>
      <c r="K61" s="128"/>
      <c r="L61" s="128"/>
      <c r="M61" s="128"/>
      <c r="N61" s="1042"/>
      <c r="O61" s="1042"/>
      <c r="P61" s="1042"/>
      <c r="Q61" s="1042"/>
      <c r="R61" s="1042"/>
      <c r="S61" s="1042"/>
      <c r="T61" s="128"/>
      <c r="U61" s="128"/>
    </row>
    <row r="62" spans="1:26">
      <c r="A62" s="128"/>
      <c r="B62" s="1043" t="s">
        <v>338</v>
      </c>
      <c r="C62" s="1044"/>
      <c r="D62" s="128"/>
      <c r="E62" s="1045" t="s">
        <v>339</v>
      </c>
      <c r="F62" s="1046"/>
      <c r="G62" s="1046"/>
      <c r="H62" s="1047"/>
      <c r="I62" s="128"/>
      <c r="J62" s="1043" t="s">
        <v>340</v>
      </c>
      <c r="K62" s="1048"/>
      <c r="L62" s="1049"/>
      <c r="M62" s="1049"/>
      <c r="N62" s="1049"/>
      <c r="O62" s="1049"/>
      <c r="P62" s="1049"/>
      <c r="Q62" s="1050"/>
      <c r="R62" s="128"/>
      <c r="S62" s="128"/>
      <c r="T62" s="128"/>
      <c r="U62" s="128"/>
    </row>
    <row r="63" spans="1:26">
      <c r="A63" s="128"/>
      <c r="B63" s="1051" t="s">
        <v>341</v>
      </c>
      <c r="C63" s="1052">
        <v>8.7999999999999995E-2</v>
      </c>
      <c r="D63" s="128"/>
      <c r="E63" s="1294" t="s">
        <v>442</v>
      </c>
      <c r="F63" s="1054"/>
      <c r="G63" s="1054"/>
      <c r="H63" s="1055">
        <f>SUM(J57)</f>
        <v>1134.3461767428528</v>
      </c>
      <c r="I63" s="128"/>
      <c r="J63" s="1056"/>
      <c r="K63" s="1057"/>
      <c r="L63" s="1058"/>
      <c r="M63" s="1058"/>
      <c r="N63" s="1058"/>
      <c r="O63" s="1058"/>
      <c r="P63" s="1058"/>
      <c r="Q63" s="1059"/>
      <c r="R63" s="128"/>
      <c r="S63" s="128"/>
      <c r="T63" s="128"/>
      <c r="U63" s="128"/>
    </row>
    <row r="64" spans="1:26">
      <c r="A64" s="128"/>
      <c r="B64" s="1293" t="s">
        <v>440</v>
      </c>
      <c r="C64" s="1052">
        <f>I8</f>
        <v>0.11473932950118138</v>
      </c>
      <c r="D64" s="128"/>
      <c r="E64" s="1294" t="s">
        <v>443</v>
      </c>
      <c r="F64" s="1054"/>
      <c r="G64" s="1054"/>
      <c r="H64" s="1055">
        <f>SUM(K57:Q57)</f>
        <v>11757.739644538466</v>
      </c>
      <c r="I64" s="128"/>
      <c r="J64" s="1051"/>
      <c r="K64" s="1057"/>
      <c r="L64" s="1315" t="s">
        <v>342</v>
      </c>
      <c r="M64" s="1315"/>
      <c r="N64" s="1315"/>
      <c r="O64" s="1315"/>
      <c r="P64" s="1315"/>
      <c r="Q64" s="1060"/>
      <c r="R64" s="128"/>
      <c r="S64" s="128"/>
      <c r="T64" s="1019"/>
      <c r="U64" s="128"/>
      <c r="Z64" s="1183"/>
    </row>
    <row r="65" spans="1:21">
      <c r="A65" s="128"/>
      <c r="B65" s="1293" t="s">
        <v>441</v>
      </c>
      <c r="C65" s="1052">
        <f>((Q7/I7)^(1/8))-1</f>
        <v>0.14201881332236521</v>
      </c>
      <c r="D65" s="128"/>
      <c r="E65" s="1053" t="s">
        <v>343</v>
      </c>
      <c r="F65" s="1054"/>
      <c r="G65" s="1054"/>
      <c r="H65" s="1055">
        <f>Q59/(1+C63)^R4</f>
        <v>24248.7328664751</v>
      </c>
      <c r="I65" s="128"/>
      <c r="J65" s="1051"/>
      <c r="K65" s="1061">
        <f>H71</f>
        <v>91.033785029424052</v>
      </c>
      <c r="L65" s="1062">
        <v>0.06</v>
      </c>
      <c r="M65" s="1063">
        <v>7.0000000000000007E-2</v>
      </c>
      <c r="N65" s="1064">
        <v>8.7999999999999995E-2</v>
      </c>
      <c r="O65" s="1063">
        <v>0.09</v>
      </c>
      <c r="P65" s="1065">
        <v>0.1</v>
      </c>
      <c r="Q65" s="1066"/>
      <c r="R65" s="128"/>
      <c r="S65" s="128"/>
      <c r="T65" s="128"/>
      <c r="U65" s="128"/>
    </row>
    <row r="66" spans="1:21">
      <c r="A66" s="128"/>
      <c r="B66" s="1051" t="s">
        <v>344</v>
      </c>
      <c r="C66" s="1067">
        <f>Q59/Q51</f>
        <v>16.322261663286003</v>
      </c>
      <c r="D66" s="128"/>
      <c r="E66" s="1068" t="s">
        <v>345</v>
      </c>
      <c r="F66" s="1069"/>
      <c r="G66" s="622"/>
      <c r="H66" s="1070">
        <f>SUM(H63:H65)</f>
        <v>37140.818687756415</v>
      </c>
      <c r="I66" s="128"/>
      <c r="J66" s="1051"/>
      <c r="K66" s="1071">
        <f>K67-0.005</f>
        <v>1.9999999999999997E-2</v>
      </c>
      <c r="L66" s="1072">
        <f t="dataTable" ref="L66:P70" dt2D="1" dtr="0" r1="C63" r2="C68"/>
        <v>151.94208920318277</v>
      </c>
      <c r="M66" s="1073">
        <v>115.32924145978399</v>
      </c>
      <c r="N66" s="1074">
        <v>77.01013626966116</v>
      </c>
      <c r="O66" s="1073">
        <v>73.999089048165445</v>
      </c>
      <c r="P66" s="1075">
        <v>61.271285927567817</v>
      </c>
      <c r="Q66" s="1066"/>
      <c r="R66" s="128"/>
      <c r="S66" s="128"/>
      <c r="T66" s="128"/>
      <c r="U66" s="128"/>
    </row>
    <row r="67" spans="1:21">
      <c r="A67" s="128"/>
      <c r="B67" s="1051" t="s">
        <v>346</v>
      </c>
      <c r="C67" s="1067">
        <f>+Q59/Q20</f>
        <v>13.9063203171699</v>
      </c>
      <c r="D67" s="128"/>
      <c r="E67" s="1076" t="s">
        <v>347</v>
      </c>
      <c r="F67" s="1054"/>
      <c r="G67" s="1054"/>
      <c r="H67" s="1077">
        <f>+'Quarterly Financial Model '!AY255</f>
        <v>8556.7450000000008</v>
      </c>
      <c r="I67" s="128"/>
      <c r="J67" s="1078" t="s">
        <v>348</v>
      </c>
      <c r="K67" s="1079">
        <f>K68-0.005</f>
        <v>2.4999999999999998E-2</v>
      </c>
      <c r="L67" s="1080">
        <v>174.21874274213607</v>
      </c>
      <c r="M67" s="1074">
        <v>128.59907346541834</v>
      </c>
      <c r="N67" s="1074">
        <v>83.468473794519085</v>
      </c>
      <c r="O67" s="1074">
        <v>80.02975190338951</v>
      </c>
      <c r="P67" s="1081">
        <v>65.661717962309183</v>
      </c>
      <c r="Q67" s="1066"/>
      <c r="R67" s="128"/>
      <c r="S67" s="128"/>
      <c r="T67" s="128"/>
      <c r="U67" s="128"/>
    </row>
    <row r="68" spans="1:21">
      <c r="A68" s="128"/>
      <c r="B68" s="1051" t="s">
        <v>349</v>
      </c>
      <c r="C68" s="1052">
        <f>CHOOSE(_Switch,C69,C70,C71)</f>
        <v>0.03</v>
      </c>
      <c r="D68" s="128"/>
      <c r="E68" s="1076" t="s">
        <v>350</v>
      </c>
      <c r="F68" s="1054"/>
      <c r="G68" s="1054"/>
      <c r="H68" s="1082">
        <f>+'Quarterly Financial Model '!AY208</f>
        <v>357.86026034509638</v>
      </c>
      <c r="I68" s="128"/>
      <c r="J68" s="1078" t="s">
        <v>351</v>
      </c>
      <c r="K68" s="1079">
        <v>0.03</v>
      </c>
      <c r="L68" s="1080">
        <v>203.90903619626019</v>
      </c>
      <c r="M68" s="1074">
        <v>145.17717139507039</v>
      </c>
      <c r="N68" s="1083">
        <v>91.033785029424052</v>
      </c>
      <c r="O68" s="1074">
        <v>87.05919784896011</v>
      </c>
      <c r="P68" s="1081">
        <v>70.673896441246328</v>
      </c>
      <c r="Q68" s="1066"/>
      <c r="R68" s="128"/>
      <c r="S68" s="128"/>
      <c r="T68" s="128"/>
      <c r="U68" s="128"/>
    </row>
    <row r="69" spans="1:21">
      <c r="A69" s="128"/>
      <c r="B69" s="985" t="s">
        <v>93</v>
      </c>
      <c r="C69" s="1084">
        <v>3.5000000000000003E-2</v>
      </c>
      <c r="D69" s="128"/>
      <c r="E69" s="1068" t="s">
        <v>352</v>
      </c>
      <c r="F69" s="622"/>
      <c r="G69" s="622"/>
      <c r="H69" s="1070">
        <f>H66-H67+H68</f>
        <v>28941.933948101509</v>
      </c>
      <c r="I69" s="128"/>
      <c r="J69" s="1078" t="s">
        <v>353</v>
      </c>
      <c r="K69" s="1079">
        <f>K68+0.005</f>
        <v>3.4999999999999996E-2</v>
      </c>
      <c r="L69" s="1080">
        <v>245.4610435176258</v>
      </c>
      <c r="M69" s="1074">
        <v>166.48128005849381</v>
      </c>
      <c r="N69" s="1074">
        <v>100.01930526264186</v>
      </c>
      <c r="O69" s="1074">
        <v>95.359764946991177</v>
      </c>
      <c r="P69" s="1081">
        <v>76.451251705312245</v>
      </c>
      <c r="Q69" s="1066"/>
      <c r="R69" s="128"/>
      <c r="S69" s="128"/>
      <c r="T69" s="128"/>
      <c r="U69" s="128"/>
    </row>
    <row r="70" spans="1:21">
      <c r="A70" s="128"/>
      <c r="B70" s="985" t="s">
        <v>94</v>
      </c>
      <c r="C70" s="1084">
        <v>0.03</v>
      </c>
      <c r="D70" s="128"/>
      <c r="E70" s="1076" t="s">
        <v>354</v>
      </c>
      <c r="F70" s="1054"/>
      <c r="G70" s="1054"/>
      <c r="H70" s="1085">
        <f>+'Quarterly Financial Model '!AY76</f>
        <v>317.92519600000003</v>
      </c>
      <c r="I70" s="128"/>
      <c r="J70" s="1051"/>
      <c r="K70" s="1086">
        <f>K69+0.005</f>
        <v>3.9999999999999994E-2</v>
      </c>
      <c r="L70" s="1087">
        <v>307.77091162712236</v>
      </c>
      <c r="M70" s="1088">
        <v>194.87430676577785</v>
      </c>
      <c r="N70" s="1088">
        <v>110.86878400362136</v>
      </c>
      <c r="O70" s="1088">
        <v>105.31272601816649</v>
      </c>
      <c r="P70" s="1089">
        <v>83.185023809029929</v>
      </c>
      <c r="Q70" s="1066"/>
      <c r="R70" s="128"/>
      <c r="S70" s="128"/>
      <c r="T70" s="128"/>
      <c r="U70" s="128"/>
    </row>
    <row r="71" spans="1:21">
      <c r="A71" s="128"/>
      <c r="B71" s="1020" t="s">
        <v>95</v>
      </c>
      <c r="C71" s="1090">
        <v>2.5000000000000001E-2</v>
      </c>
      <c r="D71" s="128"/>
      <c r="E71" s="1091" t="s">
        <v>355</v>
      </c>
      <c r="F71" s="1092"/>
      <c r="G71" s="1092"/>
      <c r="H71" s="1093">
        <f>+H69/H70</f>
        <v>91.033785029424052</v>
      </c>
      <c r="I71" s="128"/>
      <c r="J71" s="1094"/>
      <c r="K71" s="1095" t="str">
        <f>IF(N65&lt;&gt;C63,"**ERROR - WACC in cell C51 needs to be copied and pasted into cell O52 above**","")</f>
        <v/>
      </c>
      <c r="L71" s="1222"/>
      <c r="M71" s="1222"/>
      <c r="N71" s="1096"/>
      <c r="O71" s="1222"/>
      <c r="P71" s="1222"/>
      <c r="Q71" s="1097"/>
      <c r="R71" s="128"/>
      <c r="S71" s="128"/>
      <c r="T71" s="128"/>
      <c r="U71" s="128"/>
    </row>
    <row r="72" spans="1:21">
      <c r="A72" s="128"/>
      <c r="B72" s="128"/>
      <c r="C72" s="128"/>
      <c r="D72" s="128"/>
      <c r="E72" s="128"/>
      <c r="F72" s="128"/>
      <c r="G72" s="128"/>
      <c r="H72" s="128"/>
      <c r="I72" s="128"/>
      <c r="J72" s="128"/>
      <c r="K72" s="128"/>
      <c r="L72" s="128"/>
      <c r="M72" s="128"/>
      <c r="N72" s="128"/>
      <c r="O72" s="128"/>
      <c r="P72" s="128"/>
      <c r="Q72" s="128"/>
      <c r="R72" s="128"/>
      <c r="S72" s="128"/>
      <c r="T72" s="128"/>
      <c r="U72" s="128"/>
    </row>
    <row r="73" spans="1:21">
      <c r="A73" s="128"/>
      <c r="B73" s="128"/>
      <c r="C73" s="128"/>
      <c r="D73" s="128"/>
      <c r="E73" s="128"/>
      <c r="F73" s="128"/>
      <c r="G73" s="128"/>
      <c r="H73" s="128"/>
      <c r="I73" s="128"/>
      <c r="J73" s="128"/>
      <c r="K73" s="128"/>
      <c r="L73" s="128"/>
      <c r="M73" s="128"/>
      <c r="N73" s="128"/>
      <c r="O73" s="128"/>
      <c r="P73" s="802"/>
      <c r="Q73" s="128"/>
      <c r="R73" s="128"/>
      <c r="S73" s="128"/>
      <c r="T73" s="128"/>
      <c r="U73" s="128"/>
    </row>
    <row r="74" spans="1:21">
      <c r="A74" s="128"/>
      <c r="B74" s="1043" t="s">
        <v>356</v>
      </c>
      <c r="C74" s="1046"/>
      <c r="D74" s="1046"/>
      <c r="E74" s="1046"/>
      <c r="F74" s="1098"/>
      <c r="G74" s="128"/>
      <c r="H74" s="128"/>
      <c r="I74" s="128"/>
      <c r="J74" s="128"/>
      <c r="K74" s="128"/>
      <c r="L74" s="128"/>
      <c r="M74" s="128"/>
      <c r="N74" s="128"/>
      <c r="O74" s="128"/>
      <c r="P74" s="128"/>
      <c r="Q74" s="128"/>
      <c r="R74" s="128"/>
      <c r="S74" s="128"/>
      <c r="T74" s="128"/>
      <c r="U74" s="128"/>
    </row>
    <row r="75" spans="1:21">
      <c r="A75" s="128"/>
      <c r="B75" s="1099"/>
      <c r="C75" s="1054"/>
      <c r="D75" s="1054"/>
      <c r="E75" s="1054"/>
      <c r="F75" s="1100"/>
      <c r="G75" s="128"/>
      <c r="H75" s="128"/>
      <c r="I75" s="128"/>
      <c r="J75" s="128"/>
      <c r="K75" s="128"/>
      <c r="L75" s="128"/>
      <c r="M75" s="128"/>
      <c r="N75" s="128"/>
      <c r="O75" s="128"/>
      <c r="P75" s="128"/>
      <c r="Q75" s="128"/>
      <c r="R75" s="128"/>
      <c r="S75" s="128"/>
      <c r="T75" s="128"/>
      <c r="U75" s="128"/>
    </row>
    <row r="76" spans="1:21">
      <c r="A76" s="128"/>
      <c r="B76" s="1099" t="s">
        <v>357</v>
      </c>
      <c r="C76" s="1054"/>
      <c r="D76" s="1054"/>
      <c r="E76" s="1054"/>
      <c r="F76" s="1101"/>
      <c r="G76" s="128"/>
      <c r="H76" s="128"/>
      <c r="I76" s="128"/>
      <c r="J76" s="128"/>
      <c r="K76" s="128"/>
      <c r="L76" s="128"/>
      <c r="M76" s="128"/>
      <c r="N76" s="128"/>
      <c r="O76" s="128"/>
      <c r="P76" s="128"/>
      <c r="Q76" s="128"/>
      <c r="R76" s="128"/>
      <c r="S76" s="128"/>
      <c r="T76" s="128"/>
      <c r="U76" s="128"/>
    </row>
    <row r="77" spans="1:21">
      <c r="A77" s="128"/>
      <c r="B77" s="1051"/>
      <c r="C77" s="1054"/>
      <c r="D77" s="1054"/>
      <c r="E77" s="1054"/>
      <c r="F77" s="1101"/>
      <c r="G77" s="128"/>
      <c r="H77" s="128"/>
      <c r="I77" s="128"/>
      <c r="J77" s="128"/>
      <c r="K77" s="128"/>
      <c r="L77" s="128"/>
      <c r="M77" s="128"/>
      <c r="N77" s="128"/>
      <c r="O77" s="128"/>
      <c r="P77" s="128"/>
      <c r="Q77" s="128"/>
      <c r="R77" s="128"/>
      <c r="S77" s="128"/>
      <c r="T77" s="128"/>
      <c r="U77" s="128"/>
    </row>
    <row r="78" spans="1:21">
      <c r="A78" s="128"/>
      <c r="B78" s="1056" t="s">
        <v>358</v>
      </c>
      <c r="C78" s="1054"/>
      <c r="D78" s="1054"/>
      <c r="E78" s="1054"/>
      <c r="F78" s="1101"/>
      <c r="G78" s="128"/>
      <c r="H78" s="128"/>
      <c r="I78" s="128"/>
      <c r="J78" s="128"/>
      <c r="K78" s="128"/>
      <c r="L78" s="128"/>
      <c r="M78" s="128"/>
      <c r="N78" s="128"/>
      <c r="O78" s="128"/>
      <c r="P78" s="128"/>
      <c r="Q78" s="128"/>
      <c r="R78" s="128"/>
      <c r="S78" s="128"/>
      <c r="T78" s="128"/>
      <c r="U78" s="128"/>
    </row>
    <row r="79" spans="1:21">
      <c r="A79" s="128"/>
      <c r="B79" s="1051"/>
      <c r="C79" s="1054"/>
      <c r="D79" s="1054"/>
      <c r="E79" s="1054"/>
      <c r="F79" s="1102" t="s">
        <v>359</v>
      </c>
      <c r="G79" s="1103"/>
      <c r="H79" s="128"/>
      <c r="I79" s="128"/>
      <c r="J79" s="128"/>
      <c r="K79" s="128"/>
      <c r="L79" s="802"/>
      <c r="M79" s="128"/>
      <c r="N79" s="128"/>
      <c r="O79" s="128"/>
      <c r="P79" s="128"/>
      <c r="Q79" s="128"/>
      <c r="R79" s="128"/>
      <c r="S79" s="128"/>
      <c r="T79" s="128"/>
      <c r="U79" s="128"/>
    </row>
    <row r="80" spans="1:21">
      <c r="A80" s="128"/>
      <c r="B80" s="1051"/>
      <c r="C80" s="1104" t="s">
        <v>360</v>
      </c>
      <c r="D80" s="1105" t="s">
        <v>127</v>
      </c>
      <c r="E80" s="1105" t="s">
        <v>361</v>
      </c>
      <c r="F80" s="1102" t="s">
        <v>361</v>
      </c>
      <c r="G80" s="128"/>
      <c r="H80" s="128"/>
      <c r="I80" s="128"/>
      <c r="J80" s="128"/>
      <c r="K80" s="128"/>
      <c r="L80" s="802"/>
      <c r="M80" s="128"/>
      <c r="N80" s="128"/>
      <c r="O80" s="128"/>
      <c r="P80" s="128"/>
      <c r="Q80" s="128"/>
      <c r="R80" s="128"/>
      <c r="S80" s="128"/>
      <c r="T80" s="128"/>
      <c r="U80" s="128"/>
    </row>
    <row r="81" spans="1:21">
      <c r="A81" s="128"/>
      <c r="B81" s="1106" t="s">
        <v>362</v>
      </c>
      <c r="C81" s="1107">
        <v>13918</v>
      </c>
      <c r="D81" s="1108">
        <f>+C81/C83</f>
        <v>0.61927287717836166</v>
      </c>
      <c r="E81" s="1109">
        <f>+C97</f>
        <v>0.10600000000000001</v>
      </c>
      <c r="F81" s="1110">
        <f>(C81/$C$83)*E81</f>
        <v>6.5642924980906348E-2</v>
      </c>
      <c r="G81" s="128"/>
      <c r="H81" s="128"/>
      <c r="I81" s="128"/>
      <c r="J81" s="128"/>
      <c r="K81" s="128"/>
      <c r="L81" s="128"/>
      <c r="M81" s="128"/>
      <c r="N81" s="128"/>
      <c r="O81" s="128"/>
      <c r="P81" s="128"/>
      <c r="Q81" s="128"/>
      <c r="R81" s="128"/>
      <c r="S81" s="128"/>
      <c r="T81" s="128"/>
      <c r="U81" s="128"/>
    </row>
    <row r="82" spans="1:21">
      <c r="A82" s="128"/>
      <c r="B82" s="1111" t="s">
        <v>363</v>
      </c>
      <c r="C82" s="1112">
        <f>+H67</f>
        <v>8556.7450000000008</v>
      </c>
      <c r="D82" s="1113">
        <f>+C82/C83</f>
        <v>0.38072712282163823</v>
      </c>
      <c r="E82" s="1114">
        <f>3.5%*(1-0.35)</f>
        <v>2.2750000000000003E-2</v>
      </c>
      <c r="F82" s="1115">
        <f>(C82/$C$83)*E82</f>
        <v>8.6615420441922709E-3</v>
      </c>
      <c r="G82" s="128"/>
      <c r="H82" s="128"/>
      <c r="I82" s="128"/>
      <c r="J82" s="128"/>
      <c r="K82" s="128"/>
      <c r="L82" s="128"/>
      <c r="M82" s="128"/>
      <c r="N82" s="128"/>
      <c r="O82" s="128"/>
      <c r="P82" s="128"/>
      <c r="Q82" s="128"/>
      <c r="R82" s="128"/>
      <c r="S82" s="128"/>
      <c r="T82" s="128"/>
      <c r="U82" s="128"/>
    </row>
    <row r="83" spans="1:21">
      <c r="A83" s="128"/>
      <c r="B83" s="1116" t="s">
        <v>341</v>
      </c>
      <c r="C83" s="1117">
        <f>+C81+C82</f>
        <v>22474.745000000003</v>
      </c>
      <c r="D83" s="1118">
        <f>+D81+D82</f>
        <v>0.99999999999999989</v>
      </c>
      <c r="E83" s="1119"/>
      <c r="F83" s="1120">
        <f>F82+F81</f>
        <v>7.4304467025098617E-2</v>
      </c>
      <c r="G83" s="128"/>
      <c r="H83" s="128"/>
      <c r="I83" s="128"/>
      <c r="J83" s="128"/>
      <c r="K83" s="128"/>
      <c r="L83" s="128"/>
      <c r="M83" s="128"/>
      <c r="N83" s="128"/>
      <c r="O83" s="128"/>
      <c r="P83" s="128"/>
      <c r="Q83" s="128"/>
      <c r="R83" s="128"/>
      <c r="S83" s="128"/>
      <c r="T83" s="128"/>
      <c r="U83" s="128"/>
    </row>
    <row r="84" spans="1:21">
      <c r="A84" s="128"/>
      <c r="B84" s="1051"/>
      <c r="C84" s="1054"/>
      <c r="D84" s="1054"/>
      <c r="E84" s="1054"/>
      <c r="F84" s="1101"/>
      <c r="G84" s="128"/>
      <c r="H84" s="128"/>
      <c r="I84" s="128"/>
      <c r="J84" s="128"/>
      <c r="K84" s="128"/>
      <c r="L84" s="128"/>
      <c r="M84" s="128"/>
      <c r="N84" s="128"/>
      <c r="O84" s="128"/>
      <c r="P84" s="128"/>
      <c r="Q84" s="128"/>
      <c r="R84" s="128"/>
      <c r="S84" s="128"/>
      <c r="T84" s="128"/>
      <c r="U84" s="128"/>
    </row>
    <row r="85" spans="1:21">
      <c r="A85" s="128"/>
      <c r="B85" s="1051"/>
      <c r="C85" s="1054"/>
      <c r="D85" s="1054"/>
      <c r="E85" s="1054"/>
      <c r="F85" s="1101"/>
      <c r="G85" s="128"/>
      <c r="H85" s="128"/>
      <c r="I85" s="128"/>
      <c r="J85" s="128"/>
      <c r="K85" s="128"/>
      <c r="L85" s="128"/>
      <c r="M85" s="128"/>
      <c r="N85" s="128"/>
      <c r="O85" s="128"/>
      <c r="P85" s="128"/>
      <c r="Q85" s="128"/>
      <c r="R85" s="128"/>
      <c r="S85" s="128"/>
      <c r="T85" s="128"/>
      <c r="U85" s="128"/>
    </row>
    <row r="86" spans="1:21">
      <c r="A86" s="128"/>
      <c r="B86" s="1056" t="s">
        <v>364</v>
      </c>
      <c r="C86" s="1054"/>
      <c r="D86" s="1054"/>
      <c r="E86" s="1054"/>
      <c r="F86" s="1101"/>
      <c r="G86" s="128"/>
      <c r="H86" s="128"/>
      <c r="I86" s="128"/>
      <c r="J86" s="128"/>
      <c r="K86" s="128"/>
      <c r="L86" s="128"/>
      <c r="M86" s="128"/>
      <c r="N86" s="128"/>
      <c r="O86" s="128"/>
      <c r="P86" s="128"/>
      <c r="Q86" s="128"/>
      <c r="R86" s="128"/>
      <c r="S86" s="128"/>
      <c r="T86" s="128"/>
      <c r="U86" s="128"/>
    </row>
    <row r="87" spans="1:21">
      <c r="A87" s="128"/>
      <c r="B87" s="1051" t="s">
        <v>365</v>
      </c>
      <c r="C87" s="1054"/>
      <c r="D87" s="1054"/>
      <c r="E87" s="1054"/>
      <c r="F87" s="1101"/>
      <c r="G87" s="128"/>
      <c r="H87" s="128"/>
      <c r="I87" s="128"/>
      <c r="J87" s="128"/>
      <c r="K87" s="128"/>
      <c r="L87" s="128"/>
      <c r="M87" s="128"/>
      <c r="N87" s="128"/>
      <c r="O87" s="128"/>
      <c r="P87" s="128"/>
      <c r="Q87" s="128"/>
      <c r="R87" s="128"/>
      <c r="S87" s="128"/>
      <c r="T87" s="128"/>
      <c r="U87" s="128"/>
    </row>
    <row r="88" spans="1:21">
      <c r="A88" s="128"/>
      <c r="B88" s="1051"/>
      <c r="C88" s="1121"/>
      <c r="D88" s="1054"/>
      <c r="E88" s="1054"/>
      <c r="F88" s="1101"/>
      <c r="G88" s="128"/>
      <c r="H88" s="128"/>
      <c r="I88" s="128"/>
      <c r="J88" s="128"/>
      <c r="K88" s="128"/>
      <c r="L88" s="128"/>
      <c r="M88" s="128"/>
      <c r="N88" s="128"/>
      <c r="O88" s="128"/>
      <c r="P88" s="128"/>
      <c r="Q88" s="128"/>
      <c r="R88" s="128"/>
      <c r="S88" s="128"/>
      <c r="T88" s="128"/>
      <c r="U88" s="128"/>
    </row>
    <row r="89" spans="1:21">
      <c r="A89" s="128"/>
      <c r="B89" s="1116" t="s">
        <v>366</v>
      </c>
      <c r="C89" s="1122">
        <v>0.02</v>
      </c>
      <c r="D89" s="1123" t="s">
        <v>367</v>
      </c>
      <c r="E89" s="1054"/>
      <c r="F89" s="1101"/>
      <c r="G89" s="128" t="s">
        <v>368</v>
      </c>
      <c r="H89" s="128"/>
      <c r="I89" s="128"/>
      <c r="J89" s="128"/>
      <c r="K89" s="128"/>
      <c r="L89" s="128"/>
      <c r="M89" s="128"/>
      <c r="N89" s="128"/>
      <c r="O89" s="128"/>
      <c r="P89" s="128"/>
      <c r="Q89" s="128"/>
      <c r="R89" s="128"/>
      <c r="S89" s="128"/>
      <c r="T89" s="128"/>
      <c r="U89" s="128"/>
    </row>
    <row r="90" spans="1:21">
      <c r="A90" s="128"/>
      <c r="B90" s="1124" t="s">
        <v>369</v>
      </c>
      <c r="C90" s="1125"/>
      <c r="D90" s="1123"/>
      <c r="E90" s="1054"/>
      <c r="F90" s="1101"/>
      <c r="G90" s="128"/>
      <c r="H90" s="128"/>
      <c r="I90" s="128"/>
      <c r="J90" s="128"/>
      <c r="K90" s="128"/>
      <c r="L90" s="128"/>
      <c r="M90" s="128"/>
      <c r="N90" s="128"/>
      <c r="O90" s="128"/>
      <c r="P90" s="128"/>
      <c r="Q90" s="128"/>
      <c r="R90" s="128"/>
      <c r="S90" s="128"/>
      <c r="T90" s="128"/>
      <c r="U90" s="128"/>
    </row>
    <row r="91" spans="1:21">
      <c r="A91" s="128"/>
      <c r="B91" s="1116" t="s">
        <v>370</v>
      </c>
      <c r="C91" s="1126">
        <v>1.1000000000000001</v>
      </c>
      <c r="D91" s="1123"/>
      <c r="E91" s="1054"/>
      <c r="F91" s="1101"/>
      <c r="G91" s="128"/>
      <c r="H91" s="128"/>
      <c r="I91" s="128"/>
      <c r="J91" s="128"/>
      <c r="K91" s="128"/>
      <c r="L91" s="128"/>
      <c r="M91" s="128"/>
      <c r="N91" s="128"/>
      <c r="O91" s="128"/>
      <c r="P91" s="128"/>
      <c r="Q91" s="128"/>
      <c r="R91" s="128"/>
      <c r="S91" s="128"/>
      <c r="T91" s="128"/>
      <c r="U91" s="128"/>
    </row>
    <row r="92" spans="1:21">
      <c r="A92" s="128"/>
      <c r="B92" s="1124" t="s">
        <v>371</v>
      </c>
      <c r="C92" s="1121"/>
      <c r="D92" s="1123"/>
      <c r="E92" s="1054"/>
      <c r="F92" s="1101"/>
      <c r="G92" s="128"/>
      <c r="H92" s="128"/>
      <c r="I92" s="128"/>
      <c r="J92" s="128"/>
      <c r="K92" s="128"/>
      <c r="L92" s="128"/>
      <c r="M92" s="128"/>
      <c r="N92" s="128"/>
      <c r="O92" s="128"/>
      <c r="P92" s="128"/>
      <c r="Q92" s="128"/>
      <c r="R92" s="128"/>
      <c r="S92" s="128"/>
      <c r="T92" s="128"/>
      <c r="U92" s="128"/>
    </row>
    <row r="93" spans="1:21">
      <c r="A93" s="128"/>
      <c r="B93" s="1127" t="s">
        <v>372</v>
      </c>
      <c r="C93" s="1128">
        <f>C94+C95</f>
        <v>0.08</v>
      </c>
      <c r="D93" s="1123"/>
      <c r="E93" s="1054"/>
      <c r="F93" s="1101"/>
      <c r="G93" s="128"/>
      <c r="H93" s="128"/>
      <c r="I93" s="128"/>
      <c r="J93" s="128"/>
      <c r="K93" s="128"/>
      <c r="L93" s="128"/>
      <c r="M93" s="128"/>
      <c r="N93" s="128"/>
      <c r="O93" s="128"/>
      <c r="P93" s="128"/>
      <c r="Q93" s="128"/>
      <c r="R93" s="128"/>
      <c r="S93" s="128"/>
      <c r="T93" s="128"/>
      <c r="U93" s="128"/>
    </row>
    <row r="94" spans="1:21">
      <c r="A94" s="128"/>
      <c r="B94" s="1124" t="s">
        <v>373</v>
      </c>
      <c r="C94" s="1128">
        <f>+C89</f>
        <v>0.02</v>
      </c>
      <c r="D94" s="1129"/>
      <c r="E94" s="1054"/>
      <c r="F94" s="1101"/>
      <c r="G94" s="128"/>
      <c r="H94" s="128"/>
      <c r="I94" s="19"/>
      <c r="J94" s="18"/>
      <c r="K94" s="128"/>
      <c r="L94" s="128"/>
      <c r="M94" s="128"/>
      <c r="N94" s="128"/>
      <c r="O94" s="128"/>
      <c r="P94" s="128"/>
      <c r="Q94" s="128"/>
      <c r="R94" s="128"/>
      <c r="S94" s="128"/>
      <c r="T94" s="128"/>
      <c r="U94" s="128"/>
    </row>
    <row r="95" spans="1:21">
      <c r="A95" s="128"/>
      <c r="B95" s="621" t="s">
        <v>374</v>
      </c>
      <c r="C95" s="1130">
        <v>0.06</v>
      </c>
      <c r="D95" s="1123"/>
      <c r="E95" s="1054"/>
      <c r="F95" s="1101"/>
      <c r="G95" s="128"/>
      <c r="H95" s="128"/>
      <c r="I95" s="18"/>
      <c r="J95" s="1131"/>
      <c r="K95" s="18"/>
      <c r="L95" s="18"/>
      <c r="M95" s="18"/>
      <c r="N95" s="18"/>
      <c r="O95" s="18"/>
      <c r="P95" s="18"/>
      <c r="Q95" s="18"/>
      <c r="R95" s="128"/>
      <c r="S95" s="128"/>
      <c r="T95" s="128"/>
      <c r="U95" s="128"/>
    </row>
    <row r="96" spans="1:21">
      <c r="A96" s="128"/>
      <c r="B96" s="1132" t="s">
        <v>375</v>
      </c>
      <c r="C96" s="1133">
        <v>0.02</v>
      </c>
      <c r="D96" s="1054"/>
      <c r="E96" s="1054"/>
      <c r="F96" s="1101"/>
      <c r="G96" s="128"/>
      <c r="H96" s="128"/>
      <c r="I96" s="1134"/>
      <c r="J96" s="1135"/>
      <c r="K96" s="1131"/>
      <c r="L96" s="1131"/>
      <c r="M96" s="1131"/>
      <c r="N96" s="1131"/>
      <c r="O96" s="1131"/>
      <c r="P96" s="1131"/>
      <c r="Q96" s="1131"/>
      <c r="R96" s="128"/>
      <c r="S96" s="128"/>
      <c r="T96" s="128"/>
      <c r="U96" s="128"/>
    </row>
    <row r="97" spans="1:21">
      <c r="A97" s="128"/>
      <c r="B97" s="1116" t="s">
        <v>376</v>
      </c>
      <c r="C97" s="1136">
        <f>+C89+(C91*C95)+C96</f>
        <v>0.10600000000000001</v>
      </c>
      <c r="D97" s="1054"/>
      <c r="E97" s="1054"/>
      <c r="F97" s="1101"/>
      <c r="G97" s="128"/>
      <c r="H97" s="128"/>
      <c r="I97" s="1137"/>
      <c r="J97" s="1138"/>
      <c r="K97" s="1135"/>
      <c r="L97" s="1135"/>
      <c r="M97" s="1135"/>
      <c r="N97" s="1135"/>
      <c r="O97" s="1135"/>
      <c r="P97" s="1135"/>
      <c r="Q97" s="1135"/>
      <c r="R97" s="128"/>
      <c r="S97" s="128"/>
      <c r="T97" s="128"/>
      <c r="U97" s="128"/>
    </row>
  </sheetData>
  <mergeCells count="1">
    <mergeCell ref="L64:P64"/>
  </mergeCells>
  <dataValidations count="1">
    <dataValidation type="list" allowBlank="1" showInputMessage="1" showErrorMessage="1" sqref="R8">
      <formula1>"0,1,2,3"</formula1>
    </dataValidation>
  </dataValidations>
  <pageMargins left="0" right="0" top="0" bottom="0" header="0" footer="0"/>
  <pageSetup paperSize="5" scale="51" orientation="landscape" r:id="rId1"/>
  <headerFooter alignWithMargins="0"/>
  <ignoredErrors>
    <ignoredError sqref="M46:Q46 M50:Q50 N49:Q49 M48:Q48 N47:Q47" formula="1"/>
  </ignoredErrors>
  <drawing r:id="rId2"/>
  <legacyDrawing r:id="rId3"/>
  <controls>
    <mc:AlternateContent xmlns:mc="http://schemas.openxmlformats.org/markup-compatibility/2006">
      <mc:Choice Requires="x14">
        <control shapeId="5121" r:id="rId4" name="ComboBox1">
          <controlPr defaultSize="0" autoLine="0" linkedCell="'DCF Analysis'!$A$6" listFillRange="'DCF Analysis'!$A$7:$A$9" r:id="rId5">
            <anchor moveWithCells="1">
              <from>
                <xdr:col>1</xdr:col>
                <xdr:colOff>723900</xdr:colOff>
                <xdr:row>2</xdr:row>
                <xdr:rowOff>47625</xdr:rowOff>
              </from>
              <to>
                <xdr:col>1</xdr:col>
                <xdr:colOff>2085975</xdr:colOff>
                <xdr:row>4</xdr:row>
                <xdr:rowOff>9525</xdr:rowOff>
              </to>
            </anchor>
          </controlPr>
        </control>
      </mc:Choice>
      <mc:Fallback>
        <control shapeId="5121" r:id="rId4" name="ComboBox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pageSetUpPr fitToPage="1"/>
  </sheetPr>
  <dimension ref="A1:AO43"/>
  <sheetViews>
    <sheetView showGridLines="0" zoomScale="85" zoomScaleNormal="85" zoomScaleSheetLayoutView="100" workbookViewId="0">
      <selection activeCell="G23" sqref="G23"/>
    </sheetView>
  </sheetViews>
  <sheetFormatPr defaultColWidth="12.5703125" defaultRowHeight="13.5" customHeight="1"/>
  <cols>
    <col min="1" max="1" width="3.28515625" customWidth="1"/>
    <col min="2" max="2" width="24.140625" customWidth="1"/>
    <col min="3" max="3" width="17.42578125" customWidth="1"/>
    <col min="4" max="4" width="15.85546875" customWidth="1"/>
    <col min="5" max="6" width="12.5703125" customWidth="1" collapsed="1"/>
    <col min="7" max="7" width="21.7109375" customWidth="1" collapsed="1"/>
    <col min="8" max="9" width="12.5703125" customWidth="1" collapsed="1"/>
    <col min="10" max="10" width="18" customWidth="1"/>
    <col min="11" max="11" width="16.7109375" customWidth="1"/>
    <col min="12" max="15" width="12.5703125" customWidth="1"/>
    <col min="16" max="16" width="12.5703125" customWidth="1" collapsed="1"/>
    <col min="17" max="20" width="12.5703125" customWidth="1"/>
    <col min="21" max="21" width="12.5703125" customWidth="1" collapsed="1"/>
    <col min="22" max="25" width="12.5703125" customWidth="1"/>
    <col min="26" max="26" width="12.5703125" customWidth="1" collapsed="1"/>
    <col min="27" max="30" width="12.5703125" customWidth="1"/>
    <col min="31" max="31" width="12.5703125" customWidth="1" collapsed="1"/>
    <col min="32" max="35" width="12.5703125" customWidth="1"/>
    <col min="36" max="36" width="12.5703125" customWidth="1" collapsed="1"/>
    <col min="37" max="40" width="12.5703125" customWidth="1"/>
    <col min="41" max="41" width="12.5703125" customWidth="1" collapsed="1"/>
  </cols>
  <sheetData>
    <row r="1" spans="1:6" ht="13.5" customHeight="1">
      <c r="A1" s="1139"/>
      <c r="B1" s="1139"/>
      <c r="C1" s="1139"/>
      <c r="D1" s="1139"/>
      <c r="E1" s="1139"/>
      <c r="F1" s="1139"/>
    </row>
    <row r="2" spans="1:6" ht="15.75">
      <c r="A2" s="453"/>
      <c r="B2" s="1140" t="s">
        <v>377</v>
      </c>
      <c r="C2" s="453"/>
      <c r="D2" s="453"/>
      <c r="E2" s="453"/>
      <c r="F2" s="453"/>
    </row>
    <row r="3" spans="1:6" ht="14.25" customHeight="1">
      <c r="A3" s="122"/>
      <c r="B3" s="122"/>
      <c r="C3" s="453"/>
      <c r="D3" s="453"/>
      <c r="E3" s="453"/>
      <c r="F3" s="453"/>
    </row>
    <row r="4" spans="1:6" ht="18.75" customHeight="1">
      <c r="A4" s="113"/>
      <c r="B4" s="1141" t="s">
        <v>4</v>
      </c>
      <c r="C4" s="113"/>
      <c r="D4" s="113"/>
      <c r="E4" s="113"/>
      <c r="F4" s="113"/>
    </row>
    <row r="5" spans="1:6" ht="24" customHeight="1">
      <c r="A5" s="452"/>
      <c r="B5" s="452"/>
      <c r="C5" s="1142"/>
      <c r="D5" s="452"/>
      <c r="E5" s="452"/>
      <c r="F5" s="452"/>
    </row>
    <row r="6" spans="1:6" ht="13.5" customHeight="1">
      <c r="A6" s="452"/>
      <c r="B6" s="1143"/>
      <c r="C6" s="121" t="s">
        <v>378</v>
      </c>
      <c r="D6" s="21" t="s">
        <v>379</v>
      </c>
      <c r="E6" s="452"/>
      <c r="F6" s="452"/>
    </row>
    <row r="7" spans="1:6" ht="13.5" customHeight="1">
      <c r="A7" s="452"/>
      <c r="B7" s="1144"/>
      <c r="C7" s="1145" t="s">
        <v>380</v>
      </c>
      <c r="D7" s="1146" t="s">
        <v>127</v>
      </c>
      <c r="E7" s="452"/>
      <c r="F7" s="452"/>
    </row>
    <row r="8" spans="1:6" ht="13.5" customHeight="1">
      <c r="A8" s="452"/>
      <c r="B8" s="1147" t="s">
        <v>381</v>
      </c>
      <c r="C8" s="1148">
        <f>'DCF Analysis'!H71</f>
        <v>91.033785029424052</v>
      </c>
      <c r="D8" s="1149"/>
      <c r="E8" s="452"/>
      <c r="F8" s="452"/>
    </row>
    <row r="9" spans="1:6" ht="13.5" customHeight="1">
      <c r="A9" s="452"/>
      <c r="B9" s="1150" t="s">
        <v>382</v>
      </c>
      <c r="C9" s="1151">
        <f>C19</f>
        <v>92.657525705104575</v>
      </c>
      <c r="D9" s="1152"/>
      <c r="E9" s="452"/>
      <c r="F9" s="452"/>
    </row>
    <row r="10" spans="1:6" ht="13.5" customHeight="1">
      <c r="A10" s="452"/>
      <c r="B10" s="1153" t="s">
        <v>383</v>
      </c>
      <c r="C10" s="1154">
        <f>C9</f>
        <v>92.657525705104575</v>
      </c>
      <c r="D10" s="1155"/>
      <c r="E10" s="1156"/>
      <c r="F10" s="452"/>
    </row>
    <row r="11" spans="1:6" ht="13.5" customHeight="1">
      <c r="A11" s="452"/>
      <c r="B11" s="452"/>
      <c r="C11" s="452"/>
      <c r="D11" s="452"/>
      <c r="E11" s="452"/>
      <c r="F11" s="452"/>
    </row>
    <row r="12" spans="1:6" ht="13.5" customHeight="1">
      <c r="A12" s="452"/>
      <c r="B12" s="452"/>
      <c r="C12" s="452"/>
      <c r="D12" s="452"/>
      <c r="E12" s="452"/>
      <c r="F12" s="452"/>
    </row>
    <row r="13" spans="1:6" ht="13.5" customHeight="1">
      <c r="A13" s="452"/>
      <c r="B13" s="1157" t="s">
        <v>384</v>
      </c>
      <c r="C13" s="1158" t="s">
        <v>385</v>
      </c>
      <c r="D13" s="452"/>
      <c r="E13" s="452"/>
      <c r="F13" s="452"/>
    </row>
    <row r="14" spans="1:6" ht="13.5" customHeight="1">
      <c r="A14" s="452"/>
      <c r="B14" s="1159" t="s">
        <v>438</v>
      </c>
      <c r="C14" s="1160">
        <f>+'Quarterly Financial Model '!BE99</f>
        <v>4.2117057138683895</v>
      </c>
      <c r="D14" s="452"/>
      <c r="E14" s="452"/>
      <c r="F14" s="452"/>
    </row>
    <row r="15" spans="1:6" ht="13.5" customHeight="1">
      <c r="A15" s="452"/>
      <c r="B15" s="1150" t="s">
        <v>386</v>
      </c>
      <c r="C15" s="1161">
        <f>CHOOSE(_Switch,C16,C17,C18)</f>
        <v>22</v>
      </c>
      <c r="D15" s="452"/>
      <c r="E15" s="452"/>
      <c r="F15" s="452"/>
    </row>
    <row r="16" spans="1:6" ht="13.5" customHeight="1">
      <c r="A16" s="452"/>
      <c r="B16" s="1162" t="s">
        <v>93</v>
      </c>
      <c r="C16" s="1163">
        <v>24</v>
      </c>
      <c r="D16" s="452"/>
      <c r="E16" s="452"/>
      <c r="F16" s="452"/>
    </row>
    <row r="17" spans="1:8" ht="13.5" customHeight="1">
      <c r="A17" s="452"/>
      <c r="B17" s="1162" t="s">
        <v>94</v>
      </c>
      <c r="C17" s="1163">
        <v>22</v>
      </c>
      <c r="D17" s="452"/>
      <c r="E17" s="452"/>
      <c r="F17" s="452"/>
    </row>
    <row r="18" spans="1:8" ht="13.5" customHeight="1">
      <c r="A18" s="452"/>
      <c r="B18" s="1164" t="s">
        <v>95</v>
      </c>
      <c r="C18" s="1165">
        <v>18</v>
      </c>
      <c r="D18" s="452"/>
      <c r="E18" s="452"/>
      <c r="F18" s="452"/>
    </row>
    <row r="19" spans="1:8" ht="13.5" customHeight="1">
      <c r="A19" s="452"/>
      <c r="B19" s="1153" t="s">
        <v>383</v>
      </c>
      <c r="C19" s="1166">
        <f>+C14*C15</f>
        <v>92.657525705104575</v>
      </c>
      <c r="D19" s="452"/>
      <c r="E19" s="452"/>
      <c r="F19" s="452"/>
    </row>
    <row r="20" spans="1:8" ht="13.5" customHeight="1">
      <c r="A20" s="452"/>
      <c r="B20" s="452"/>
      <c r="C20" s="452"/>
      <c r="D20" s="452"/>
      <c r="E20" s="699"/>
      <c r="F20" s="452"/>
    </row>
    <row r="21" spans="1:8" ht="13.5" customHeight="1">
      <c r="A21" s="452"/>
      <c r="B21" s="1167" t="s">
        <v>39</v>
      </c>
      <c r="C21" s="1168">
        <v>3024.2630000000004</v>
      </c>
      <c r="D21" s="452"/>
      <c r="E21" s="452"/>
      <c r="F21" s="707"/>
    </row>
    <row r="22" spans="1:8" ht="13.5" customHeight="1">
      <c r="A22" s="452"/>
      <c r="B22" s="1150" t="s">
        <v>387</v>
      </c>
      <c r="C22" s="1169">
        <v>202.72400000000025</v>
      </c>
      <c r="D22" s="452"/>
      <c r="E22" s="452"/>
      <c r="F22" s="707"/>
    </row>
    <row r="23" spans="1:8" ht="13.5" customHeight="1">
      <c r="A23" s="452"/>
      <c r="B23" s="1170" t="s">
        <v>388</v>
      </c>
      <c r="C23" s="1171">
        <v>197.25820899999999</v>
      </c>
      <c r="D23" s="452"/>
      <c r="E23" s="452"/>
      <c r="F23" s="452"/>
      <c r="H23" s="1185"/>
    </row>
    <row r="24" spans="1:8" ht="13.5" customHeight="1">
      <c r="A24" s="452"/>
      <c r="B24" s="452"/>
      <c r="C24" s="452"/>
      <c r="D24" s="452"/>
      <c r="E24" s="452"/>
      <c r="F24" s="452"/>
    </row>
    <row r="25" spans="1:8" ht="13.5" customHeight="1">
      <c r="A25" s="452"/>
      <c r="B25" s="1167" t="s">
        <v>389</v>
      </c>
      <c r="C25" s="1172">
        <v>83.63</v>
      </c>
      <c r="D25" s="1156"/>
      <c r="E25" s="452"/>
      <c r="F25" s="452"/>
    </row>
    <row r="26" spans="1:8" ht="13.5" customHeight="1">
      <c r="A26" s="452"/>
      <c r="B26" s="1170" t="s">
        <v>390</v>
      </c>
      <c r="C26" s="1173">
        <f>+C10</f>
        <v>92.657525705104575</v>
      </c>
      <c r="D26" s="452"/>
      <c r="E26" s="452"/>
      <c r="F26" s="452"/>
    </row>
    <row r="27" spans="1:8" ht="13.5" customHeight="1">
      <c r="A27" s="452"/>
      <c r="B27" s="1174" t="s">
        <v>391</v>
      </c>
      <c r="C27" s="1175">
        <f>C26/C25-1</f>
        <v>0.10794602062781999</v>
      </c>
      <c r="D27" s="452"/>
      <c r="E27" s="452"/>
      <c r="F27" s="452"/>
    </row>
    <row r="28" spans="1:8" ht="13.5" customHeight="1">
      <c r="A28" s="452"/>
      <c r="B28" s="452"/>
      <c r="C28" s="1156"/>
      <c r="D28" s="452"/>
      <c r="E28" s="452"/>
      <c r="F28" s="452"/>
    </row>
    <row r="29" spans="1:8" ht="13.5" customHeight="1">
      <c r="A29" s="452"/>
      <c r="B29" s="452"/>
      <c r="C29" s="452"/>
      <c r="D29" s="452"/>
      <c r="E29" s="452"/>
      <c r="F29" s="452"/>
      <c r="G29" s="1183"/>
    </row>
    <row r="30" spans="1:8" ht="13.5" customHeight="1">
      <c r="A30" s="452"/>
      <c r="B30" s="452"/>
      <c r="C30" s="452"/>
      <c r="D30" s="452"/>
      <c r="E30" s="452"/>
      <c r="F30" s="452"/>
      <c r="G30" s="1183"/>
    </row>
    <row r="31" spans="1:8" ht="13.5" customHeight="1">
      <c r="A31" s="452"/>
      <c r="B31" s="452"/>
      <c r="C31" s="452"/>
      <c r="D31" s="452"/>
      <c r="E31" s="452"/>
      <c r="F31" s="452"/>
    </row>
    <row r="32" spans="1:8" ht="13.5" customHeight="1">
      <c r="A32" s="452"/>
      <c r="B32" s="452"/>
      <c r="C32" s="452"/>
      <c r="D32" s="452"/>
      <c r="E32" s="452"/>
      <c r="F32" s="452"/>
    </row>
    <row r="33" spans="1:7" ht="13.5" customHeight="1">
      <c r="A33" s="452"/>
      <c r="B33" s="452"/>
      <c r="C33" s="452"/>
      <c r="D33" s="452"/>
      <c r="E33" s="707"/>
      <c r="F33" s="452"/>
    </row>
    <row r="34" spans="1:7" ht="13.5" customHeight="1">
      <c r="A34" s="452"/>
      <c r="B34" s="452"/>
      <c r="C34" s="452"/>
      <c r="D34" s="1176"/>
      <c r="E34" s="452"/>
      <c r="F34" s="452"/>
    </row>
    <row r="35" spans="1:7" ht="13.5" customHeight="1">
      <c r="A35" s="452"/>
      <c r="B35" s="452"/>
      <c r="C35" s="452"/>
      <c r="D35" s="452"/>
      <c r="E35" s="452"/>
      <c r="F35" s="452"/>
    </row>
    <row r="36" spans="1:7" ht="13.5" customHeight="1">
      <c r="A36" s="452"/>
      <c r="B36" s="452"/>
      <c r="C36" s="452"/>
      <c r="D36" s="452"/>
      <c r="E36" s="452"/>
      <c r="F36" s="452"/>
    </row>
    <row r="37" spans="1:7" ht="13.5" customHeight="1">
      <c r="A37" s="452"/>
      <c r="B37" s="452"/>
      <c r="C37" s="452"/>
      <c r="D37" s="452"/>
      <c r="E37" s="1219"/>
      <c r="F37" s="1219"/>
    </row>
    <row r="38" spans="1:7" ht="13.5" customHeight="1">
      <c r="E38" s="1177"/>
      <c r="F38" s="1177"/>
      <c r="G38" s="1183"/>
    </row>
    <row r="41" spans="1:7" ht="13.5" customHeight="1">
      <c r="E41" s="1184"/>
      <c r="F41" s="1184"/>
    </row>
    <row r="42" spans="1:7" ht="13.5" customHeight="1">
      <c r="E42" s="1184"/>
      <c r="F42" s="1184"/>
    </row>
    <row r="43" spans="1:7" ht="13.5" customHeight="1">
      <c r="E43" s="1183"/>
      <c r="F43" s="1183"/>
    </row>
  </sheetData>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145" r:id="rId4" name="ComboBox1">
          <controlPr defaultSize="0" autoLine="0" autoPict="0" linkedCell="'DCF Analysis'!$A$6" listFillRange="'DCF Analysis'!$A$7:$A$9" r:id="rId5">
            <anchor moveWithCells="1">
              <from>
                <xdr:col>1</xdr:col>
                <xdr:colOff>28575</xdr:colOff>
                <xdr:row>4</xdr:row>
                <xdr:rowOff>9525</xdr:rowOff>
              </from>
              <to>
                <xdr:col>2</xdr:col>
                <xdr:colOff>1143000</xdr:colOff>
                <xdr:row>4</xdr:row>
                <xdr:rowOff>276225</xdr:rowOff>
              </to>
            </anchor>
          </controlPr>
        </control>
      </mc:Choice>
      <mc:Fallback>
        <control shapeId="6145" r:id="rId4" name="ComboBox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bestFit="1" customWidth="1"/>
    <col min="2" max="2" width="19.85546875" style="1336" customWidth="1"/>
    <col min="3" max="3" width="12" bestFit="1" customWidth="1"/>
    <col min="257" max="257" width="29.5703125" bestFit="1" customWidth="1"/>
    <col min="258" max="258" width="19.85546875" customWidth="1"/>
    <col min="259" max="259" width="12" bestFit="1" customWidth="1"/>
    <col min="513" max="513" width="29.5703125" bestFit="1" customWidth="1"/>
    <col min="514" max="514" width="19.85546875" customWidth="1"/>
    <col min="515" max="515" width="12" bestFit="1" customWidth="1"/>
    <col min="769" max="769" width="29.5703125" bestFit="1" customWidth="1"/>
    <col min="770" max="770" width="19.85546875" customWidth="1"/>
    <col min="771" max="771" width="12" bestFit="1" customWidth="1"/>
    <col min="1025" max="1025" width="29.5703125" bestFit="1" customWidth="1"/>
    <col min="1026" max="1026" width="19.85546875" customWidth="1"/>
    <col min="1027" max="1027" width="12" bestFit="1" customWidth="1"/>
    <col min="1281" max="1281" width="29.5703125" bestFit="1" customWidth="1"/>
    <col min="1282" max="1282" width="19.85546875" customWidth="1"/>
    <col min="1283" max="1283" width="12" bestFit="1" customWidth="1"/>
    <col min="1537" max="1537" width="29.5703125" bestFit="1" customWidth="1"/>
    <col min="1538" max="1538" width="19.85546875" customWidth="1"/>
    <col min="1539" max="1539" width="12" bestFit="1" customWidth="1"/>
    <col min="1793" max="1793" width="29.5703125" bestFit="1" customWidth="1"/>
    <col min="1794" max="1794" width="19.85546875" customWidth="1"/>
    <col min="1795" max="1795" width="12" bestFit="1" customWidth="1"/>
    <col min="2049" max="2049" width="29.5703125" bestFit="1" customWidth="1"/>
    <col min="2050" max="2050" width="19.85546875" customWidth="1"/>
    <col min="2051" max="2051" width="12" bestFit="1" customWidth="1"/>
    <col min="2305" max="2305" width="29.5703125" bestFit="1" customWidth="1"/>
    <col min="2306" max="2306" width="19.85546875" customWidth="1"/>
    <col min="2307" max="2307" width="12" bestFit="1" customWidth="1"/>
    <col min="2561" max="2561" width="29.5703125" bestFit="1" customWidth="1"/>
    <col min="2562" max="2562" width="19.85546875" customWidth="1"/>
    <col min="2563" max="2563" width="12" bestFit="1" customWidth="1"/>
    <col min="2817" max="2817" width="29.5703125" bestFit="1" customWidth="1"/>
    <col min="2818" max="2818" width="19.85546875" customWidth="1"/>
    <col min="2819" max="2819" width="12" bestFit="1" customWidth="1"/>
    <col min="3073" max="3073" width="29.5703125" bestFit="1" customWidth="1"/>
    <col min="3074" max="3074" width="19.85546875" customWidth="1"/>
    <col min="3075" max="3075" width="12" bestFit="1" customWidth="1"/>
    <col min="3329" max="3329" width="29.5703125" bestFit="1" customWidth="1"/>
    <col min="3330" max="3330" width="19.85546875" customWidth="1"/>
    <col min="3331" max="3331" width="12" bestFit="1" customWidth="1"/>
    <col min="3585" max="3585" width="29.5703125" bestFit="1" customWidth="1"/>
    <col min="3586" max="3586" width="19.85546875" customWidth="1"/>
    <col min="3587" max="3587" width="12" bestFit="1" customWidth="1"/>
    <col min="3841" max="3841" width="29.5703125" bestFit="1" customWidth="1"/>
    <col min="3842" max="3842" width="19.85546875" customWidth="1"/>
    <col min="3843" max="3843" width="12" bestFit="1" customWidth="1"/>
    <col min="4097" max="4097" width="29.5703125" bestFit="1" customWidth="1"/>
    <col min="4098" max="4098" width="19.85546875" customWidth="1"/>
    <col min="4099" max="4099" width="12" bestFit="1" customWidth="1"/>
    <col min="4353" max="4353" width="29.5703125" bestFit="1" customWidth="1"/>
    <col min="4354" max="4354" width="19.85546875" customWidth="1"/>
    <col min="4355" max="4355" width="12" bestFit="1" customWidth="1"/>
    <col min="4609" max="4609" width="29.5703125" bestFit="1" customWidth="1"/>
    <col min="4610" max="4610" width="19.85546875" customWidth="1"/>
    <col min="4611" max="4611" width="12" bestFit="1" customWidth="1"/>
    <col min="4865" max="4865" width="29.5703125" bestFit="1" customWidth="1"/>
    <col min="4866" max="4866" width="19.85546875" customWidth="1"/>
    <col min="4867" max="4867" width="12" bestFit="1" customWidth="1"/>
    <col min="5121" max="5121" width="29.5703125" bestFit="1" customWidth="1"/>
    <col min="5122" max="5122" width="19.85546875" customWidth="1"/>
    <col min="5123" max="5123" width="12" bestFit="1" customWidth="1"/>
    <col min="5377" max="5377" width="29.5703125" bestFit="1" customWidth="1"/>
    <col min="5378" max="5378" width="19.85546875" customWidth="1"/>
    <col min="5379" max="5379" width="12" bestFit="1" customWidth="1"/>
    <col min="5633" max="5633" width="29.5703125" bestFit="1" customWidth="1"/>
    <col min="5634" max="5634" width="19.85546875" customWidth="1"/>
    <col min="5635" max="5635" width="12" bestFit="1" customWidth="1"/>
    <col min="5889" max="5889" width="29.5703125" bestFit="1" customWidth="1"/>
    <col min="5890" max="5890" width="19.85546875" customWidth="1"/>
    <col min="5891" max="5891" width="12" bestFit="1" customWidth="1"/>
    <col min="6145" max="6145" width="29.5703125" bestFit="1" customWidth="1"/>
    <col min="6146" max="6146" width="19.85546875" customWidth="1"/>
    <col min="6147" max="6147" width="12" bestFit="1" customWidth="1"/>
    <col min="6401" max="6401" width="29.5703125" bestFit="1" customWidth="1"/>
    <col min="6402" max="6402" width="19.85546875" customWidth="1"/>
    <col min="6403" max="6403" width="12" bestFit="1" customWidth="1"/>
    <col min="6657" max="6657" width="29.5703125" bestFit="1" customWidth="1"/>
    <col min="6658" max="6658" width="19.85546875" customWidth="1"/>
    <col min="6659" max="6659" width="12" bestFit="1" customWidth="1"/>
    <col min="6913" max="6913" width="29.5703125" bestFit="1" customWidth="1"/>
    <col min="6914" max="6914" width="19.85546875" customWidth="1"/>
    <col min="6915" max="6915" width="12" bestFit="1" customWidth="1"/>
    <col min="7169" max="7169" width="29.5703125" bestFit="1" customWidth="1"/>
    <col min="7170" max="7170" width="19.85546875" customWidth="1"/>
    <col min="7171" max="7171" width="12" bestFit="1" customWidth="1"/>
    <col min="7425" max="7425" width="29.5703125" bestFit="1" customWidth="1"/>
    <col min="7426" max="7426" width="19.85546875" customWidth="1"/>
    <col min="7427" max="7427" width="12" bestFit="1" customWidth="1"/>
    <col min="7681" max="7681" width="29.5703125" bestFit="1" customWidth="1"/>
    <col min="7682" max="7682" width="19.85546875" customWidth="1"/>
    <col min="7683" max="7683" width="12" bestFit="1" customWidth="1"/>
    <col min="7937" max="7937" width="29.5703125" bestFit="1" customWidth="1"/>
    <col min="7938" max="7938" width="19.85546875" customWidth="1"/>
    <col min="7939" max="7939" width="12" bestFit="1" customWidth="1"/>
    <col min="8193" max="8193" width="29.5703125" bestFit="1" customWidth="1"/>
    <col min="8194" max="8194" width="19.85546875" customWidth="1"/>
    <col min="8195" max="8195" width="12" bestFit="1" customWidth="1"/>
    <col min="8449" max="8449" width="29.5703125" bestFit="1" customWidth="1"/>
    <col min="8450" max="8450" width="19.85546875" customWidth="1"/>
    <col min="8451" max="8451" width="12" bestFit="1" customWidth="1"/>
    <col min="8705" max="8705" width="29.5703125" bestFit="1" customWidth="1"/>
    <col min="8706" max="8706" width="19.85546875" customWidth="1"/>
    <col min="8707" max="8707" width="12" bestFit="1" customWidth="1"/>
    <col min="8961" max="8961" width="29.5703125" bestFit="1" customWidth="1"/>
    <col min="8962" max="8962" width="19.85546875" customWidth="1"/>
    <col min="8963" max="8963" width="12" bestFit="1" customWidth="1"/>
    <col min="9217" max="9217" width="29.5703125" bestFit="1" customWidth="1"/>
    <col min="9218" max="9218" width="19.85546875" customWidth="1"/>
    <col min="9219" max="9219" width="12" bestFit="1" customWidth="1"/>
    <col min="9473" max="9473" width="29.5703125" bestFit="1" customWidth="1"/>
    <col min="9474" max="9474" width="19.85546875" customWidth="1"/>
    <col min="9475" max="9475" width="12" bestFit="1" customWidth="1"/>
    <col min="9729" max="9729" width="29.5703125" bestFit="1" customWidth="1"/>
    <col min="9730" max="9730" width="19.85546875" customWidth="1"/>
    <col min="9731" max="9731" width="12" bestFit="1" customWidth="1"/>
    <col min="9985" max="9985" width="29.5703125" bestFit="1" customWidth="1"/>
    <col min="9986" max="9986" width="19.85546875" customWidth="1"/>
    <col min="9987" max="9987" width="12" bestFit="1" customWidth="1"/>
    <col min="10241" max="10241" width="29.5703125" bestFit="1" customWidth="1"/>
    <col min="10242" max="10242" width="19.85546875" customWidth="1"/>
    <col min="10243" max="10243" width="12" bestFit="1" customWidth="1"/>
    <col min="10497" max="10497" width="29.5703125" bestFit="1" customWidth="1"/>
    <col min="10498" max="10498" width="19.85546875" customWidth="1"/>
    <col min="10499" max="10499" width="12" bestFit="1" customWidth="1"/>
    <col min="10753" max="10753" width="29.5703125" bestFit="1" customWidth="1"/>
    <col min="10754" max="10754" width="19.85546875" customWidth="1"/>
    <col min="10755" max="10755" width="12" bestFit="1" customWidth="1"/>
    <col min="11009" max="11009" width="29.5703125" bestFit="1" customWidth="1"/>
    <col min="11010" max="11010" width="19.85546875" customWidth="1"/>
    <col min="11011" max="11011" width="12" bestFit="1" customWidth="1"/>
    <col min="11265" max="11265" width="29.5703125" bestFit="1" customWidth="1"/>
    <col min="11266" max="11266" width="19.85546875" customWidth="1"/>
    <col min="11267" max="11267" width="12" bestFit="1" customWidth="1"/>
    <col min="11521" max="11521" width="29.5703125" bestFit="1" customWidth="1"/>
    <col min="11522" max="11522" width="19.85546875" customWidth="1"/>
    <col min="11523" max="11523" width="12" bestFit="1" customWidth="1"/>
    <col min="11777" max="11777" width="29.5703125" bestFit="1" customWidth="1"/>
    <col min="11778" max="11778" width="19.85546875" customWidth="1"/>
    <col min="11779" max="11779" width="12" bestFit="1" customWidth="1"/>
    <col min="12033" max="12033" width="29.5703125" bestFit="1" customWidth="1"/>
    <col min="12034" max="12034" width="19.85546875" customWidth="1"/>
    <col min="12035" max="12035" width="12" bestFit="1" customWidth="1"/>
    <col min="12289" max="12289" width="29.5703125" bestFit="1" customWidth="1"/>
    <col min="12290" max="12290" width="19.85546875" customWidth="1"/>
    <col min="12291" max="12291" width="12" bestFit="1" customWidth="1"/>
    <col min="12545" max="12545" width="29.5703125" bestFit="1" customWidth="1"/>
    <col min="12546" max="12546" width="19.85546875" customWidth="1"/>
    <col min="12547" max="12547" width="12" bestFit="1" customWidth="1"/>
    <col min="12801" max="12801" width="29.5703125" bestFit="1" customWidth="1"/>
    <col min="12802" max="12802" width="19.85546875" customWidth="1"/>
    <col min="12803" max="12803" width="12" bestFit="1" customWidth="1"/>
    <col min="13057" max="13057" width="29.5703125" bestFit="1" customWidth="1"/>
    <col min="13058" max="13058" width="19.85546875" customWidth="1"/>
    <col min="13059" max="13059" width="12" bestFit="1" customWidth="1"/>
    <col min="13313" max="13313" width="29.5703125" bestFit="1" customWidth="1"/>
    <col min="13314" max="13314" width="19.85546875" customWidth="1"/>
    <col min="13315" max="13315" width="12" bestFit="1" customWidth="1"/>
    <col min="13569" max="13569" width="29.5703125" bestFit="1" customWidth="1"/>
    <col min="13570" max="13570" width="19.85546875" customWidth="1"/>
    <col min="13571" max="13571" width="12" bestFit="1" customWidth="1"/>
    <col min="13825" max="13825" width="29.5703125" bestFit="1" customWidth="1"/>
    <col min="13826" max="13826" width="19.85546875" customWidth="1"/>
    <col min="13827" max="13827" width="12" bestFit="1" customWidth="1"/>
    <col min="14081" max="14081" width="29.5703125" bestFit="1" customWidth="1"/>
    <col min="14082" max="14082" width="19.85546875" customWidth="1"/>
    <col min="14083" max="14083" width="12" bestFit="1" customWidth="1"/>
    <col min="14337" max="14337" width="29.5703125" bestFit="1" customWidth="1"/>
    <col min="14338" max="14338" width="19.85546875" customWidth="1"/>
    <col min="14339" max="14339" width="12" bestFit="1" customWidth="1"/>
    <col min="14593" max="14593" width="29.5703125" bestFit="1" customWidth="1"/>
    <col min="14594" max="14594" width="19.85546875" customWidth="1"/>
    <col min="14595" max="14595" width="12" bestFit="1" customWidth="1"/>
    <col min="14849" max="14849" width="29.5703125" bestFit="1" customWidth="1"/>
    <col min="14850" max="14850" width="19.85546875" customWidth="1"/>
    <col min="14851" max="14851" width="12" bestFit="1" customWidth="1"/>
    <col min="15105" max="15105" width="29.5703125" bestFit="1" customWidth="1"/>
    <col min="15106" max="15106" width="19.85546875" customWidth="1"/>
    <col min="15107" max="15107" width="12" bestFit="1" customWidth="1"/>
    <col min="15361" max="15361" width="29.5703125" bestFit="1" customWidth="1"/>
    <col min="15362" max="15362" width="19.85546875" customWidth="1"/>
    <col min="15363" max="15363" width="12" bestFit="1" customWidth="1"/>
    <col min="15617" max="15617" width="29.5703125" bestFit="1" customWidth="1"/>
    <col min="15618" max="15618" width="19.85546875" customWidth="1"/>
    <col min="15619" max="15619" width="12" bestFit="1" customWidth="1"/>
    <col min="15873" max="15873" width="29.5703125" bestFit="1" customWidth="1"/>
    <col min="15874" max="15874" width="19.85546875" customWidth="1"/>
    <col min="15875" max="15875" width="12" bestFit="1" customWidth="1"/>
    <col min="16129" max="16129" width="29.5703125" bestFit="1" customWidth="1"/>
    <col min="16130" max="16130" width="19.85546875" customWidth="1"/>
    <col min="16131" max="16131" width="12" bestFit="1" customWidth="1"/>
  </cols>
  <sheetData>
    <row r="1" spans="1:2">
      <c r="A1" t="s">
        <v>765</v>
      </c>
      <c r="B1" s="1335">
        <v>6.1</v>
      </c>
    </row>
    <row r="2" spans="1:2">
      <c r="A2" t="s">
        <v>766</v>
      </c>
      <c r="B2" s="1338">
        <v>43164.689814814818</v>
      </c>
    </row>
    <row r="3" spans="1:2">
      <c r="A3" t="s">
        <v>767</v>
      </c>
      <c r="B3" s="1336" t="s">
        <v>464</v>
      </c>
    </row>
    <row r="4" spans="1:2">
      <c r="A4" t="s">
        <v>768</v>
      </c>
      <c r="B4" s="1336" t="s">
        <v>769</v>
      </c>
    </row>
    <row r="5" spans="1:2">
      <c r="A5" t="s">
        <v>770</v>
      </c>
      <c r="B5" s="1336" t="s">
        <v>771</v>
      </c>
    </row>
    <row r="6" spans="1:2">
      <c r="A6" t="s">
        <v>772</v>
      </c>
    </row>
    <row r="7" spans="1:2">
      <c r="A7" t="s">
        <v>773</v>
      </c>
      <c r="B7" s="1336" t="s">
        <v>816</v>
      </c>
    </row>
    <row r="8" spans="1:2">
      <c r="A8" t="s">
        <v>774</v>
      </c>
      <c r="B8" s="1336" t="s">
        <v>775</v>
      </c>
    </row>
    <row r="9" spans="1:2">
      <c r="A9" t="s">
        <v>776</v>
      </c>
      <c r="B9" s="1336" t="s">
        <v>813</v>
      </c>
    </row>
    <row r="10" spans="1:2">
      <c r="A10" t="s">
        <v>777</v>
      </c>
    </row>
    <row r="11" spans="1:2">
      <c r="A11" t="s">
        <v>778</v>
      </c>
    </row>
    <row r="12" spans="1:2">
      <c r="A12" t="s">
        <v>779</v>
      </c>
    </row>
    <row r="13" spans="1:2">
      <c r="A13" t="s">
        <v>780</v>
      </c>
    </row>
    <row r="14" spans="1:2">
      <c r="A14" t="s">
        <v>781</v>
      </c>
    </row>
    <row r="15" spans="1:2">
      <c r="A15" t="s">
        <v>782</v>
      </c>
    </row>
    <row r="16" spans="1:2">
      <c r="A16" t="s">
        <v>783</v>
      </c>
    </row>
    <row r="17" spans="1:4">
      <c r="A17" t="s">
        <v>784</v>
      </c>
      <c r="B17" s="1336" t="s">
        <v>814</v>
      </c>
    </row>
    <row r="18" spans="1:4">
      <c r="A18" t="s">
        <v>785</v>
      </c>
      <c r="B18" s="1336" t="s">
        <v>465</v>
      </c>
    </row>
    <row r="19" spans="1:4">
      <c r="A19" t="s">
        <v>786</v>
      </c>
      <c r="B19" s="1336" t="s">
        <v>445</v>
      </c>
    </row>
    <row r="20" spans="1:4">
      <c r="A20" t="s">
        <v>787</v>
      </c>
      <c r="B20" s="1337">
        <v>981558109</v>
      </c>
    </row>
    <row r="21" spans="1:4">
      <c r="A21" t="s">
        <v>788</v>
      </c>
      <c r="B21" s="1336" t="s">
        <v>445</v>
      </c>
    </row>
    <row r="22" spans="1:4">
      <c r="A22" t="s">
        <v>789</v>
      </c>
      <c r="B22" s="1337" t="s">
        <v>450</v>
      </c>
    </row>
    <row r="23" spans="1:4">
      <c r="A23" t="s">
        <v>396</v>
      </c>
      <c r="B23" s="1335">
        <v>83.63</v>
      </c>
    </row>
    <row r="24" spans="1:4">
      <c r="A24" t="s">
        <v>395</v>
      </c>
      <c r="B24" s="1336" t="s">
        <v>398</v>
      </c>
      <c r="D24" t="s">
        <v>368</v>
      </c>
    </row>
    <row r="25" spans="1:4">
      <c r="A25" t="s">
        <v>790</v>
      </c>
      <c r="B25" s="1336" t="s">
        <v>817</v>
      </c>
    </row>
    <row r="26" spans="1:4">
      <c r="A26" t="s">
        <v>791</v>
      </c>
      <c r="B26" s="1336">
        <v>0</v>
      </c>
    </row>
    <row r="27" spans="1:4">
      <c r="A27" t="s">
        <v>792</v>
      </c>
      <c r="B27" s="1336" t="s">
        <v>793</v>
      </c>
    </row>
    <row r="28" spans="1:4">
      <c r="A28" t="s">
        <v>794</v>
      </c>
      <c r="B28" s="1336" t="s">
        <v>795</v>
      </c>
    </row>
    <row r="29" spans="1:4">
      <c r="A29" t="s">
        <v>796</v>
      </c>
    </row>
    <row r="30" spans="1:4">
      <c r="A30" t="s">
        <v>797</v>
      </c>
    </row>
    <row r="31" spans="1:4">
      <c r="A31" t="s">
        <v>798</v>
      </c>
    </row>
    <row r="32" spans="1:4">
      <c r="A32" t="s">
        <v>799</v>
      </c>
      <c r="B32" s="1335"/>
    </row>
    <row r="33" spans="1:2">
      <c r="A33" t="s">
        <v>800</v>
      </c>
      <c r="B33" s="1335"/>
    </row>
    <row r="34" spans="1:2">
      <c r="A34" t="s">
        <v>801</v>
      </c>
      <c r="B34" s="1335"/>
    </row>
    <row r="35" spans="1:2">
      <c r="A35" t="s">
        <v>802</v>
      </c>
      <c r="B35" s="1336">
        <v>1000000</v>
      </c>
    </row>
    <row r="36" spans="1:2">
      <c r="A36" t="s">
        <v>803</v>
      </c>
      <c r="B36" s="1336" t="s">
        <v>815</v>
      </c>
    </row>
    <row r="37" spans="1:2">
      <c r="A37" t="s">
        <v>804</v>
      </c>
      <c r="B37" s="1336" t="s">
        <v>805</v>
      </c>
    </row>
    <row r="38" spans="1:2">
      <c r="A38" t="s">
        <v>806</v>
      </c>
      <c r="B38" s="1336" t="s">
        <v>807</v>
      </c>
    </row>
    <row r="39" spans="1:2">
      <c r="A39" t="s">
        <v>808</v>
      </c>
      <c r="B39" s="1336" t="s">
        <v>444</v>
      </c>
    </row>
    <row r="40" spans="1:2">
      <c r="A40" t="s">
        <v>809</v>
      </c>
      <c r="B40" s="1336">
        <v>1500005525</v>
      </c>
    </row>
    <row r="41" spans="1:2">
      <c r="A41" t="s">
        <v>810</v>
      </c>
      <c r="B41" s="1336">
        <v>1</v>
      </c>
    </row>
    <row r="42" spans="1:2">
      <c r="A42" s="128" t="s">
        <v>811</v>
      </c>
    </row>
    <row r="43" spans="1:2">
      <c r="A43" t="s">
        <v>812</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cols>
    <col min="1" max="1" width="28.5703125" bestFit="1" customWidth="1"/>
    <col min="257" max="257" width="28.5703125" bestFit="1" customWidth="1"/>
    <col min="513" max="513" width="28.5703125" bestFit="1" customWidth="1"/>
    <col min="769" max="769" width="28.5703125" bestFit="1" customWidth="1"/>
    <col min="1025" max="1025" width="28.5703125" bestFit="1" customWidth="1"/>
    <col min="1281" max="1281" width="28.5703125" bestFit="1" customWidth="1"/>
    <col min="1537" max="1537" width="28.5703125" bestFit="1" customWidth="1"/>
    <col min="1793" max="1793" width="28.5703125" bestFit="1" customWidth="1"/>
    <col min="2049" max="2049" width="28.5703125" bestFit="1" customWidth="1"/>
    <col min="2305" max="2305" width="28.5703125" bestFit="1" customWidth="1"/>
    <col min="2561" max="2561" width="28.5703125" bestFit="1" customWidth="1"/>
    <col min="2817" max="2817" width="28.5703125" bestFit="1" customWidth="1"/>
    <col min="3073" max="3073" width="28.5703125" bestFit="1" customWidth="1"/>
    <col min="3329" max="3329" width="28.5703125" bestFit="1" customWidth="1"/>
    <col min="3585" max="3585" width="28.5703125" bestFit="1" customWidth="1"/>
    <col min="3841" max="3841" width="28.5703125" bestFit="1" customWidth="1"/>
    <col min="4097" max="4097" width="28.5703125" bestFit="1" customWidth="1"/>
    <col min="4353" max="4353" width="28.5703125" bestFit="1" customWidth="1"/>
    <col min="4609" max="4609" width="28.5703125" bestFit="1" customWidth="1"/>
    <col min="4865" max="4865" width="28.5703125" bestFit="1" customWidth="1"/>
    <col min="5121" max="5121" width="28.5703125" bestFit="1" customWidth="1"/>
    <col min="5377" max="5377" width="28.5703125" bestFit="1" customWidth="1"/>
    <col min="5633" max="5633" width="28.5703125" bestFit="1" customWidth="1"/>
    <col min="5889" max="5889" width="28.5703125" bestFit="1" customWidth="1"/>
    <col min="6145" max="6145" width="28.5703125" bestFit="1" customWidth="1"/>
    <col min="6401" max="6401" width="28.5703125" bestFit="1" customWidth="1"/>
    <col min="6657" max="6657" width="28.5703125" bestFit="1" customWidth="1"/>
    <col min="6913" max="6913" width="28.5703125" bestFit="1" customWidth="1"/>
    <col min="7169" max="7169" width="28.5703125" bestFit="1" customWidth="1"/>
    <col min="7425" max="7425" width="28.5703125" bestFit="1" customWidth="1"/>
    <col min="7681" max="7681" width="28.5703125" bestFit="1" customWidth="1"/>
    <col min="7937" max="7937" width="28.5703125" bestFit="1" customWidth="1"/>
    <col min="8193" max="8193" width="28.5703125" bestFit="1" customWidth="1"/>
    <col min="8449" max="8449" width="28.5703125" bestFit="1" customWidth="1"/>
    <col min="8705" max="8705" width="28.5703125" bestFit="1" customWidth="1"/>
    <col min="8961" max="8961" width="28.5703125" bestFit="1" customWidth="1"/>
    <col min="9217" max="9217" width="28.5703125" bestFit="1" customWidth="1"/>
    <col min="9473" max="9473" width="28.5703125" bestFit="1" customWidth="1"/>
    <col min="9729" max="9729" width="28.5703125" bestFit="1" customWidth="1"/>
    <col min="9985" max="9985" width="28.5703125" bestFit="1" customWidth="1"/>
    <col min="10241" max="10241" width="28.5703125" bestFit="1" customWidth="1"/>
    <col min="10497" max="10497" width="28.5703125" bestFit="1" customWidth="1"/>
    <col min="10753" max="10753" width="28.5703125" bestFit="1" customWidth="1"/>
    <col min="11009" max="11009" width="28.5703125" bestFit="1" customWidth="1"/>
    <col min="11265" max="11265" width="28.5703125" bestFit="1" customWidth="1"/>
    <col min="11521" max="11521" width="28.5703125" bestFit="1" customWidth="1"/>
    <col min="11777" max="11777" width="28.5703125" bestFit="1" customWidth="1"/>
    <col min="12033" max="12033" width="28.5703125" bestFit="1" customWidth="1"/>
    <col min="12289" max="12289" width="28.5703125" bestFit="1" customWidth="1"/>
    <col min="12545" max="12545" width="28.5703125" bestFit="1" customWidth="1"/>
    <col min="12801" max="12801" width="28.5703125" bestFit="1" customWidth="1"/>
    <col min="13057" max="13057" width="28.5703125" bestFit="1" customWidth="1"/>
    <col min="13313" max="13313" width="28.5703125" bestFit="1" customWidth="1"/>
    <col min="13569" max="13569" width="28.5703125" bestFit="1" customWidth="1"/>
    <col min="13825" max="13825" width="28.5703125" bestFit="1" customWidth="1"/>
    <col min="14081" max="14081" width="28.5703125" bestFit="1" customWidth="1"/>
    <col min="14337" max="14337" width="28.5703125" bestFit="1" customWidth="1"/>
    <col min="14593" max="14593" width="28.5703125" bestFit="1" customWidth="1"/>
    <col min="14849" max="14849" width="28.5703125" bestFit="1" customWidth="1"/>
    <col min="15105" max="15105" width="28.5703125" bestFit="1" customWidth="1"/>
    <col min="15361" max="15361" width="28.5703125" bestFit="1" customWidth="1"/>
    <col min="15617" max="15617" width="28.5703125" bestFit="1" customWidth="1"/>
    <col min="15873" max="15873" width="28.5703125" bestFit="1" customWidth="1"/>
    <col min="16129" max="16129" width="28.5703125" bestFit="1" customWidth="1"/>
  </cols>
  <sheetData>
    <row r="1" spans="1:1">
      <c r="A1" s="1196" t="s">
        <v>818</v>
      </c>
    </row>
    <row r="2" spans="1:1">
      <c r="A2" s="1196" t="s">
        <v>823</v>
      </c>
    </row>
    <row r="3" spans="1:1">
      <c r="A3" s="1196" t="s">
        <v>824</v>
      </c>
    </row>
    <row r="4" spans="1:1">
      <c r="A4" s="1196" t="s">
        <v>825</v>
      </c>
    </row>
    <row r="5" spans="1:1">
      <c r="A5" s="1196" t="s">
        <v>826</v>
      </c>
    </row>
    <row r="6" spans="1:1">
      <c r="A6" s="1196" t="s">
        <v>819</v>
      </c>
    </row>
    <row r="7" spans="1:1">
      <c r="A7" s="1196" t="s">
        <v>827</v>
      </c>
    </row>
    <row r="8" spans="1:1">
      <c r="A8" s="1196" t="s">
        <v>828</v>
      </c>
    </row>
    <row r="9" spans="1:1">
      <c r="A9" s="1196" t="s">
        <v>829</v>
      </c>
    </row>
    <row r="10" spans="1:1">
      <c r="A10" s="1196" t="s">
        <v>820</v>
      </c>
    </row>
    <row r="11" spans="1:1">
      <c r="A11" s="1196" t="s">
        <v>830</v>
      </c>
    </row>
    <row r="12" spans="1:1">
      <c r="A12" s="1196" t="s">
        <v>821</v>
      </c>
    </row>
    <row r="13" spans="1:1">
      <c r="A13" s="1196" t="s">
        <v>822</v>
      </c>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
  <sheetViews>
    <sheetView workbookViewId="0"/>
  </sheetViews>
  <sheetFormatPr defaultRowHeight="12.75"/>
  <sheetData>
    <row r="1" spans="1:12">
      <c r="A1" t="s">
        <v>449</v>
      </c>
    </row>
    <row r="2" spans="1:12">
      <c r="A2" s="1196" t="s">
        <v>446</v>
      </c>
      <c r="B2" s="1196" t="s">
        <v>398</v>
      </c>
      <c r="C2" s="1196" t="s">
        <v>400</v>
      </c>
      <c r="D2" s="1196" t="s">
        <v>392</v>
      </c>
      <c r="E2" s="1196" t="s">
        <v>447</v>
      </c>
      <c r="F2" s="1196" t="s">
        <v>450</v>
      </c>
      <c r="G2" s="1196" t="s">
        <v>448</v>
      </c>
      <c r="H2" s="1196" t="s">
        <v>458</v>
      </c>
      <c r="I2" s="1196" t="s">
        <v>401</v>
      </c>
      <c r="J2" s="1196" t="s">
        <v>392</v>
      </c>
      <c r="K2" s="1196" t="s">
        <v>399</v>
      </c>
      <c r="L2" s="1196" t="s">
        <v>392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109</vt:i4>
      </vt:variant>
    </vt:vector>
  </HeadingPairs>
  <TitlesOfParts>
    <vt:vector size="118" baseType="lpstr">
      <vt:lpstr>ImportantDisclosures</vt:lpstr>
      <vt:lpstr>Quarterly Financial Model </vt:lpstr>
      <vt:lpstr>Segment Detail </vt:lpstr>
      <vt:lpstr>Portfolio Manager's Snapshot</vt:lpstr>
      <vt:lpstr>Presentation Format</vt:lpstr>
      <vt:lpstr>DCF Analysis</vt:lpstr>
      <vt:lpstr>PT Interpolation</vt:lpstr>
      <vt:lpstr>IndexInformation</vt:lpstr>
      <vt:lpstr>ModPubIndex</vt:lpstr>
      <vt:lpstr>_Switch</vt:lpstr>
      <vt:lpstr>_Toggle</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'Quarterly Financial Model '!F2010_</vt:lpstr>
      <vt:lpstr>'Quarterly Financial Model '!F2011_</vt:lpstr>
      <vt:lpstr>'Quarterly Financial Model '!F2012_</vt:lpstr>
      <vt:lpstr>'Quarterly Financial Model '!FC_Balance_Q</vt:lpstr>
      <vt:lpstr>FC_DCF</vt:lpstr>
      <vt:lpstr>'Segment Detail '!FC_Revenue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Linking_11</vt:lpstr>
      <vt:lpstr>Linking_12</vt:lpstr>
      <vt:lpstr>Linking_13</vt:lpstr>
      <vt:lpstr>Linking_14</vt:lpstr>
      <vt:lpstr>Linking_2</vt:lpstr>
      <vt:lpstr>Linking_3</vt:lpstr>
      <vt:lpstr>Linking_5</vt:lpstr>
      <vt:lpstr>Linking_Range_1</vt:lpstr>
      <vt:lpstr>Linking_Range_10</vt:lpstr>
      <vt:lpstr>Linking_Range_11</vt:lpstr>
      <vt:lpstr>Linking_Range_12</vt:lpstr>
      <vt:lpstr>Linking_Range_13</vt:lpstr>
      <vt:lpstr>Linking_Range_15</vt:lpstr>
      <vt:lpstr>Linking_Range_16</vt:lpstr>
      <vt:lpstr>Linking_Range_17</vt:lpstr>
      <vt:lpstr>Linking_Range_19</vt:lpstr>
      <vt:lpstr>Linking_Range_2</vt:lpstr>
      <vt:lpstr>Linking_Range_26</vt:lpstr>
      <vt:lpstr>Linking_Range_27</vt:lpstr>
      <vt:lpstr>Linking_Range_28</vt:lpstr>
      <vt:lpstr>Linking_Range_29</vt:lpstr>
      <vt:lpstr>Linking_Range_3</vt:lpstr>
      <vt:lpstr>Linking_Range_30</vt:lpstr>
      <vt:lpstr>Linking_Range_31</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'Quarterly Financial Model '!PA_Balance_Q</vt:lpstr>
      <vt:lpstr>'Quarterly Financial Model '!PA_Cash_Q</vt:lpstr>
      <vt:lpstr>PA_DCF</vt:lpstr>
      <vt:lpstr>'Quarterly Financial Model '!PA_Income_Q</vt:lpstr>
      <vt:lpstr>'Segment Detail '!PA_Revenue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2016-08-03T14:27:12Z</dcterms:created>
  <dc:creator>Govil, Vasundhara (Research)</dc:creator>
  <cp:lastModifiedBy>Govil, Vasundhara (Research)</cp:lastModifiedBy>
  <cp:lastPrinted>2018-02-28T17:38:15Z</cp:lastPrinted>
  <dcterms:modified xsi:type="dcterms:W3CDTF">2018-03-05T21:33:22Z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31</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754315</vt:lpwstr>
  </property>
  <property fmtid="{D5CDD505-2E9C-101B-9397-08002B2CF9AE}" name="ERModPubCompanyName" pid="6">
    <vt:lpwstr>Worldpay Inc</vt:lpwstr>
  </property>
  <property fmtid="{D5CDD505-2E9C-101B-9397-08002B2CF9AE}" name="MSDH34TAG" pid="7">
    <vt:lpwstr>.TEZUF76X5TAHATHESADREYAK-00-INB160+*94600-06=d6872498/-20bc/-11e8/-9b95/-96f032c946f3,MD=20180305165053/-0500,ZZ=000Z-d505.</vt:lpwstr>
  </property>
</Properties>
</file>